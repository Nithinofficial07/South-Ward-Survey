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tc={0008e1bc-beda-4980-8ba7-903f6cbe46d6}</author>
    <author>tc={06aeb22d-8b4f-4a42-b5cf-ab6a9b03ffe7}</author>
    <author>tc={06ee0123-fffc-40be-93cb-b8193202ebae}</author>
    <author>tc={1f8e5b8f-87d7-4988-a75d-421add60a3d1}</author>
    <author>tc={316defb5-b2de-47de-b694-7b619e6e66a4}</author>
    <author>tc={3bb2ea87-3992-4de9-a744-98b7f38183f9}</author>
    <author>tc={613667a3-0473-46a0-9f10-102f30a6455b}</author>
    <author>tc={6fa4e3f2-a40e-423a-a877-533ee6eb9247}</author>
    <author>tc={805070a1-eb3d-4871-b708-f79deeb799d0}</author>
    <author>tc={84b76624-04c0-4f4f-8e8c-72484d9643cc}</author>
    <author>tc={e631d48b-670e-439e-b354-b7c997ac7e95}</author>
  </authors>
  <commentList>
    <comment authorId="0" xr:uid="{0008e1bc-beda-4980-8ba7-903f6cbe46d6}" ref="A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Nithin: I think we forgot to add 'saucer drain'. We need to add this if we have missed out on this.
</t>
      </text>
    </comment>
    <comment authorId="1" xr:uid="{06aeb22d-8b4f-4a42-b5cf-ab6a9b03ffe7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surveyors: need to add the locations for these roads.
</t>
      </text>
    </comment>
    <comment authorId="2" xr:uid="{06ee0123-fffc-40be-93cb-b8193202ebae}" ref="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 think you have course corrected on this. Good job but again. Multiple contradictory statements, Condition = required, comment = no existing attachment. Clarity on existing situation required.
</t>
      </text>
    </comment>
    <comment authorId="3" xr:uid="{1f8e5b8f-87d7-4988-a75d-421add60a3d1}" ref="T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If footpath is not existing then there is no need to mention side. Just put: n/a or 0 as required. Unnecessary data creates logical fallacies. Have made changes as per comments but should not happen in the future.
</t>
      </text>
    </comment>
    <comment authorId="4" xr:uid="{316defb5-b2de-47de-b694-7b619e6e66a4}" ref="L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need to know material. If nothing then it is a mud road.
</t>
      </text>
    </comment>
    <comment authorId="5" xr:uid="{3bb2ea87-3992-4de9-a744-98b7f38183f9}" ref="P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was a mistake. No need to put bund. there is no foot path space as per comments. Avoid such errors. Lot of data cleaning is required and that is a waste of time.
</t>
      </text>
    </comment>
    <comment authorId="6" xr:uid="{613667a3-0473-46a0-9f10-102f30a6455b}" ref="A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you need to stick to 1 metric. We are using mm, switching to inches will cause miscalculations. i.e NASA $125 million Mars Climate Orbiter to crash in 1999.
Nithin: change these to metric units.
</t>
      </text>
    </comment>
    <comment authorId="7" xr:uid="{6fa4e3f2-a40e-423a-a877-533ee6eb9247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 need proper distance not location details.
</t>
      </text>
    </comment>
    <comment authorId="8" xr:uid="{805070a1-eb3d-4871-b708-f79deeb799d0}" ref="P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Footpath does not exist but you put pavers this again is false data entry.
</t>
      </text>
    </comment>
    <comment authorId="9" xr:uid="{84b76624-04c0-4f4f-8e8c-72484d9643cc}" ref="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Nithin: Survey forms maintenance is spelled wrong, it is spelled as "maintiance" change that on all forms.
</t>
      </text>
    </comment>
    <comment authorId="10" xr:uid="{e631d48b-670e-439e-b354-b7c997ac7e95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Nithin: R-Conservency needs to be changed to Conservency on survey forms
</t>
      </text>
    </comment>
  </commentList>
</comments>
</file>

<file path=xl/sharedStrings.xml><?xml version="1.0" encoding="utf-8"?>
<sst xmlns="http://schemas.openxmlformats.org/spreadsheetml/2006/main" count="2426" uniqueCount="439">
  <si>
    <t>ROAD SURVEY — DVG SOUTH CONSTITUENCY — WARD NO. 11</t>
  </si>
  <si>
    <t>Ward No:</t>
  </si>
  <si>
    <t>Ward Name:</t>
  </si>
  <si>
    <t>Siddrameshwara badavane, Mandakibatti Layout, AK Colony</t>
  </si>
  <si>
    <t>Total Number of Roads</t>
  </si>
  <si>
    <t>nos</t>
  </si>
  <si>
    <t>Total Road Length</t>
  </si>
  <si>
    <t>#</t>
  </si>
  <si>
    <t>Timestamp</t>
  </si>
  <si>
    <t>Email address</t>
  </si>
  <si>
    <t>Surveyor Name</t>
  </si>
  <si>
    <t>Road Name (Main)</t>
  </si>
  <si>
    <t>Road Name (Cross)</t>
  </si>
  <si>
    <t>Area Name</t>
  </si>
  <si>
    <t>Dist. (m)</t>
  </si>
  <si>
    <t>Location (Google Maps link)</t>
  </si>
  <si>
    <t>Road Sign</t>
  </si>
  <si>
    <t>Use</t>
  </si>
  <si>
    <t>km</t>
  </si>
  <si>
    <t>Material</t>
  </si>
  <si>
    <t>Width (m)</t>
  </si>
  <si>
    <t>I.</t>
  </si>
  <si>
    <t>Road Condition</t>
  </si>
  <si>
    <t>Side (N/E)</t>
  </si>
  <si>
    <t>Attachment 1 Type</t>
  </si>
  <si>
    <t>Attachment 1 Width (m)</t>
  </si>
  <si>
    <t>Attachment 1 Dated</t>
  </si>
  <si>
    <t>II.</t>
  </si>
  <si>
    <t>Attachment 1 Condition</t>
  </si>
  <si>
    <t>Attachment 1 Notes</t>
  </si>
  <si>
    <t>Attachment 2 Type</t>
  </si>
  <si>
    <t>Length</t>
  </si>
  <si>
    <t>Attachment 2 Width (m)</t>
  </si>
  <si>
    <t>Area</t>
  </si>
  <si>
    <t>Action</t>
  </si>
  <si>
    <t xml:space="preserve">Std Rate </t>
  </si>
  <si>
    <t>Attachment 2 Dated</t>
  </si>
  <si>
    <t>Estimation</t>
  </si>
  <si>
    <t>III.</t>
  </si>
  <si>
    <t>Notes</t>
  </si>
  <si>
    <t>Attachment 2 Condition</t>
  </si>
  <si>
    <t>Attachment 2 Notes</t>
  </si>
  <si>
    <t>unit</t>
  </si>
  <si>
    <t>Side (S/W)</t>
  </si>
  <si>
    <t>Attachment 1 Type (S/W)</t>
  </si>
  <si>
    <t>IV.</t>
  </si>
  <si>
    <t>Attachment 1 Width (m) (S/W)</t>
  </si>
  <si>
    <t>V.</t>
  </si>
  <si>
    <t>VI. ROAD ONLY</t>
  </si>
  <si>
    <t>Attachment 1 Dated (S/W)</t>
  </si>
  <si>
    <t>m</t>
  </si>
  <si>
    <t>sqm</t>
  </si>
  <si>
    <t>Attachment 1 Condition (S/W)</t>
  </si>
  <si>
    <t>INR</t>
  </si>
  <si>
    <t>Attachment 1 Notes (S/W)</t>
  </si>
  <si>
    <t>I. Road</t>
  </si>
  <si>
    <t>Attachment 2 Type (S/W)</t>
  </si>
  <si>
    <t>Attachment 2 Width (m) (S/W)</t>
  </si>
  <si>
    <t>Rd.Sign</t>
  </si>
  <si>
    <t>Attachment 2 Dated (S/W)</t>
  </si>
  <si>
    <t>Attachment 2 Condition (S/W)</t>
  </si>
  <si>
    <t>Yes</t>
  </si>
  <si>
    <t>Attachment 2 Notes (S/W)</t>
  </si>
  <si>
    <t>SWG Side (N/E)</t>
  </si>
  <si>
    <t>SWG Type (N/E)</t>
  </si>
  <si>
    <t>VI. STORM WATER GUTTER</t>
  </si>
  <si>
    <t>SWG Width (m) (N/E)</t>
  </si>
  <si>
    <t>SWG Dated (N/E)</t>
  </si>
  <si>
    <t>SWG Condition (N/E)</t>
  </si>
  <si>
    <t>SWG Notes (N/E)</t>
  </si>
  <si>
    <t>na</t>
  </si>
  <si>
    <t>SWG Side (S/W)</t>
  </si>
  <si>
    <t>SWG Width (m) (S/W)</t>
  </si>
  <si>
    <t>VII. UNDERGROUND DRAINAGE</t>
  </si>
  <si>
    <t>No</t>
  </si>
  <si>
    <t>SWG Dated (S/W)</t>
  </si>
  <si>
    <t>SWG Condition (S/W)</t>
  </si>
  <si>
    <t>SWG Notes (S/W)</t>
  </si>
  <si>
    <t>VIIII. JALASIRI</t>
  </si>
  <si>
    <t>UGD Existing</t>
  </si>
  <si>
    <t>UGD Type</t>
  </si>
  <si>
    <t>UGD Date</t>
  </si>
  <si>
    <t>IX. ELECTRICAL LIGHTING</t>
  </si>
  <si>
    <t>UGD Pipe Dia (m)</t>
  </si>
  <si>
    <t>Damaged</t>
  </si>
  <si>
    <t>UGD Condition</t>
  </si>
  <si>
    <t>Jalasiri Existing</t>
  </si>
  <si>
    <t>Jalasiri Condition</t>
  </si>
  <si>
    <t>Jalasiri Note</t>
  </si>
  <si>
    <t>Light Type</t>
  </si>
  <si>
    <t>Road Name</t>
  </si>
  <si>
    <t>Road Type</t>
  </si>
  <si>
    <t>Electrical Condition</t>
  </si>
  <si>
    <t>Main Rd</t>
  </si>
  <si>
    <t>Volunteer</t>
  </si>
  <si>
    <t>Main</t>
  </si>
  <si>
    <t>Cross</t>
  </si>
  <si>
    <t>meghansnaik739@gmail.com</t>
  </si>
  <si>
    <t>Dist.</t>
  </si>
  <si>
    <t xml:space="preserve">Meghan S Naik </t>
  </si>
  <si>
    <t>Maharajpet road</t>
  </si>
  <si>
    <t>Loc</t>
  </si>
  <si>
    <t>ROAD</t>
  </si>
  <si>
    <t>??</t>
  </si>
  <si>
    <t>Attachement I (N/E)</t>
  </si>
  <si>
    <t>Residential</t>
  </si>
  <si>
    <t>Concrete</t>
  </si>
  <si>
    <t>Good</t>
  </si>
  <si>
    <t>East</t>
  </si>
  <si>
    <t>Attachement II (S/W)</t>
  </si>
  <si>
    <t>Comercial</t>
  </si>
  <si>
    <t>n/a</t>
  </si>
  <si>
    <t xml:space="preserve">Footpath development required </t>
  </si>
  <si>
    <t>(N/E)</t>
  </si>
  <si>
    <t>West</t>
  </si>
  <si>
    <t>Pavers</t>
  </si>
  <si>
    <t>Required</t>
  </si>
  <si>
    <t xml:space="preserve"> (S/W)</t>
  </si>
  <si>
    <t>Existing</t>
  </si>
  <si>
    <t>Type</t>
  </si>
  <si>
    <t>FFL Gutter</t>
  </si>
  <si>
    <t>Conservency</t>
  </si>
  <si>
    <t>Pipe Dia</t>
  </si>
  <si>
    <t>Condition</t>
  </si>
  <si>
    <t>Note</t>
  </si>
  <si>
    <t xml:space="preserve">Some portion cover slab required </t>
  </si>
  <si>
    <t>Road Material</t>
  </si>
  <si>
    <t>Stone</t>
  </si>
  <si>
    <t>Width</t>
  </si>
  <si>
    <t>Outdated</t>
  </si>
  <si>
    <t>Side</t>
  </si>
  <si>
    <t>Attachment 1</t>
  </si>
  <si>
    <t>Dated</t>
  </si>
  <si>
    <t>LED- Pole</t>
  </si>
  <si>
    <t>Attachment 2</t>
  </si>
  <si>
    <t>Gravell</t>
  </si>
  <si>
    <t>length*Width</t>
  </si>
  <si>
    <t>Convert to concrete</t>
  </si>
  <si>
    <t xml:space="preserve">Meghan </t>
  </si>
  <si>
    <t>Mud</t>
  </si>
  <si>
    <t>Mallikarjun temple back road</t>
  </si>
  <si>
    <t>Date</t>
  </si>
  <si>
    <t>Tar</t>
  </si>
  <si>
    <t>x</t>
  </si>
  <si>
    <t xml:space="preserve">Not existing </t>
  </si>
  <si>
    <t>White Topping</t>
  </si>
  <si>
    <t>mm</t>
  </si>
  <si>
    <t>Kalikadevi Road</t>
  </si>
  <si>
    <t>Aktar Raza</t>
  </si>
  <si>
    <t>North</t>
  </si>
  <si>
    <t>https://www.google.com/maps/search/?api=1&amp;query=14.4732522,75.9192997</t>
  </si>
  <si>
    <t xml:space="preserve">Some cleaning work required </t>
  </si>
  <si>
    <t>Maintenance</t>
  </si>
  <si>
    <t>LED- LT Line</t>
  </si>
  <si>
    <t>II. Attachment (N,S,E,W)</t>
  </si>
  <si>
    <t>Type (N/S) + (E/W)</t>
  </si>
  <si>
    <t>Pavement</t>
  </si>
  <si>
    <t>Pavement (Elevated)</t>
  </si>
  <si>
    <t>Bommalingya galli</t>
  </si>
  <si>
    <t xml:space="preserve"> Ward 11</t>
  </si>
  <si>
    <t>Pavers (Elevated)</t>
  </si>
  <si>
    <t>Pavers Ramp (Elevated)</t>
  </si>
  <si>
    <t>Divider (Concrete)</t>
  </si>
  <si>
    <t>No existing attachments</t>
  </si>
  <si>
    <t>charlie pailwan road</t>
  </si>
  <si>
    <t>Divider (Planter)</t>
  </si>
  <si>
    <t>--</t>
  </si>
  <si>
    <t>https://www.google.com/maps/search/?api=1&amp;query=14.4751098,75.9190651</t>
  </si>
  <si>
    <t>Curb (Planterbox)</t>
  </si>
  <si>
    <t xml:space="preserve">Maintiance </t>
  </si>
  <si>
    <t>lights and curb stone and paints</t>
  </si>
  <si>
    <t>Exposed Soil</t>
  </si>
  <si>
    <t>Pevement Ramp (Elevated)</t>
  </si>
  <si>
    <t>paints and marking, signages</t>
  </si>
  <si>
    <t>South</t>
  </si>
  <si>
    <t>Planterbox (Curb)</t>
  </si>
  <si>
    <t>2.3*1.2</t>
  </si>
  <si>
    <t>paints</t>
  </si>
  <si>
    <t>1.8m</t>
  </si>
  <si>
    <t>Bund</t>
  </si>
  <si>
    <t>planter box with decorative arts neefed</t>
  </si>
  <si>
    <t>No Gutter</t>
  </si>
  <si>
    <t>no</t>
  </si>
  <si>
    <t>N/A</t>
  </si>
  <si>
    <t>not need gutter</t>
  </si>
  <si>
    <t>NA</t>
  </si>
  <si>
    <t>300mm</t>
  </si>
  <si>
    <t>good</t>
  </si>
  <si>
    <t>issues HSC service related</t>
  </si>
  <si>
    <t>maintainence need</t>
  </si>
  <si>
    <t>aazam MAASJID RD</t>
  </si>
  <si>
    <t>2ND</t>
  </si>
  <si>
    <t>Nasrajpete</t>
  </si>
  <si>
    <r>
      <rPr>
        <rFont val="Arial"/>
        <b/>
        <color rgb="FF1155CC"/>
        <sz val="11.0"/>
        <u/>
      </rPr>
      <t>https://www.google.com/maps/search/?api=1&amp;query=14.4739541,75.9191241</t>
    </r>
  </si>
  <si>
    <t>Additional Required</t>
  </si>
  <si>
    <t>Kadlebalu nanjappa galli</t>
  </si>
  <si>
    <t>Ward 11</t>
  </si>
  <si>
    <t>Elevated Gutter</t>
  </si>
  <si>
    <t>HOUSE SERVICE CONNECTION DAMAGED</t>
  </si>
  <si>
    <t>III. SWG (N,S,E,W)</t>
  </si>
  <si>
    <t>N R PETE 1ST CROSS</t>
  </si>
  <si>
    <t>1ST</t>
  </si>
  <si>
    <r>
      <rPr>
        <rFont val="Arial"/>
        <b/>
        <color rgb="FF1155CC"/>
        <sz val="11.0"/>
        <u/>
      </rPr>
      <t>https://www.google.com/maps/search/?api=1&amp;query=14.473621,75.9188915</t>
    </r>
  </si>
  <si>
    <t>No Gutter req</t>
  </si>
  <si>
    <t>GOOD</t>
  </si>
  <si>
    <t>MAINTAINENCE</t>
  </si>
  <si>
    <t>MAINTAINENSE</t>
  </si>
  <si>
    <t>NR PETE CONSERVENCY IN BETWEEN MAIN ROAD AND 1ST CROSS</t>
  </si>
  <si>
    <r>
      <rPr>
        <rFont val="Arial"/>
        <b/>
        <color rgb="FF1155CC"/>
        <sz val="11.0"/>
        <u/>
      </rPr>
      <t>https://www.google.com/maps/search/?api=1&amp;query=14.4758399,75.9236194</t>
    </r>
  </si>
  <si>
    <t>IIV. UGD</t>
  </si>
  <si>
    <t>Cover Slab req</t>
  </si>
  <si>
    <t>N R PETE 3RD CROSS</t>
  </si>
  <si>
    <t>PVC</t>
  </si>
  <si>
    <t>3RD</t>
  </si>
  <si>
    <t>Sub</t>
  </si>
  <si>
    <r>
      <rPr>
        <rFont val="Arial"/>
        <b/>
        <color rgb="FF1155CC"/>
        <sz val="11.0"/>
        <u/>
      </rPr>
      <t>https://www.google.com/maps/search/?api=1&amp;query=14.4766888,75.9286087</t>
    </r>
  </si>
  <si>
    <t>UPVC</t>
  </si>
  <si>
    <t>Karishivappana galli</t>
  </si>
  <si>
    <t xml:space="preserve">RESTORATION REQIRED </t>
  </si>
  <si>
    <t>MAINTAINENCE COVERING SLABS IS REQUIRED</t>
  </si>
  <si>
    <t>No work been done</t>
  </si>
  <si>
    <t>V. JALASIRI</t>
  </si>
  <si>
    <t>HOUSEHOLD SERVICE CONNECTION NEED</t>
  </si>
  <si>
    <t>CONSERVENCY IN BETWEEN 3RD AND 4TH</t>
  </si>
  <si>
    <r>
      <rPr>
        <rFont val="Arial"/>
        <b/>
        <color rgb="FF1155CC"/>
        <sz val="11.0"/>
        <u/>
      </rPr>
      <t>https://www.google.com/maps/search/?api=1&amp;query=14.4741054,75.9205325</t>
    </r>
  </si>
  <si>
    <t xml:space="preserve">Debris removal work to be needed </t>
  </si>
  <si>
    <t>N r pet 4th cross</t>
  </si>
  <si>
    <t>VI.ELECTRICAL</t>
  </si>
  <si>
    <t>4th cross</t>
  </si>
  <si>
    <t xml:space="preserve">Maintenance </t>
  </si>
  <si>
    <t>Solar</t>
  </si>
  <si>
    <t xml:space="preserve">Pavement </t>
  </si>
  <si>
    <t>Sodium</t>
  </si>
  <si>
    <t>Megh</t>
  </si>
  <si>
    <t>Ejardhar galli</t>
  </si>
  <si>
    <t>FFL</t>
  </si>
  <si>
    <t>Led</t>
  </si>
  <si>
    <t>Nasrajpet concorence 1</t>
  </si>
  <si>
    <t xml:space="preserve">No drainage existing </t>
  </si>
  <si>
    <t xml:space="preserve">Outdated </t>
  </si>
  <si>
    <t>To be maintain</t>
  </si>
  <si>
    <t>No street lights</t>
  </si>
  <si>
    <t>Concerence between 4th cross NR pet and KR road</t>
  </si>
  <si>
    <t>Chigateri galli</t>
  </si>
  <si>
    <t>Hsd maintenance required</t>
  </si>
  <si>
    <t>Imam nagar 1st cross</t>
  </si>
  <si>
    <t>1st cross</t>
  </si>
  <si>
    <t>Imam nagar</t>
  </si>
  <si>
    <t>Cleaning required</t>
  </si>
  <si>
    <t xml:space="preserve">HSC maintenance </t>
  </si>
  <si>
    <t>LED</t>
  </si>
  <si>
    <t>Imam nagar 2nd cross</t>
  </si>
  <si>
    <t>Elevated</t>
  </si>
  <si>
    <t xml:space="preserve">Water not coming </t>
  </si>
  <si>
    <t>Main Concerence behind imam nagar 1 st cross</t>
  </si>
  <si>
    <t>R-Conservency</t>
  </si>
  <si>
    <t>Flood condition on road during rain</t>
  </si>
  <si>
    <t xml:space="preserve">Sub </t>
  </si>
  <si>
    <t>Hubballi chowdappana galli</t>
  </si>
  <si>
    <t>New line required</t>
  </si>
  <si>
    <t>Replacement of Ugd required</t>
  </si>
  <si>
    <t>Connection not there</t>
  </si>
  <si>
    <t>Concerence 1 in concrence 1st main</t>
  </si>
  <si>
    <t>Replacement Ugd required</t>
  </si>
  <si>
    <t>Maintenance required</t>
  </si>
  <si>
    <t>Concerence 2</t>
  </si>
  <si>
    <t>Storm water drain required</t>
  </si>
  <si>
    <t xml:space="preserve">Replacement </t>
  </si>
  <si>
    <t>Imam nagar jhandekatha road</t>
  </si>
  <si>
    <t>Basawaraj pete 2nd c/s</t>
  </si>
  <si>
    <t>Connection not provided</t>
  </si>
  <si>
    <t>rOAD 1</t>
  </si>
  <si>
    <t xml:space="preserve">Good and perfect </t>
  </si>
  <si>
    <t>Maharaj road</t>
  </si>
  <si>
    <t>Basawaraj pete 1st c/s</t>
  </si>
  <si>
    <t>Old bethur road</t>
  </si>
  <si>
    <t>Main road</t>
  </si>
  <si>
    <t>Not in ward 11</t>
  </si>
  <si>
    <t>Maharaj pete road</t>
  </si>
  <si>
    <t>Concorence</t>
  </si>
  <si>
    <t xml:space="preserve">Pipe drain </t>
  </si>
  <si>
    <t xml:space="preserve">Maharaj pete road </t>
  </si>
  <si>
    <t>Hijadhar galli 1 st crosss</t>
  </si>
  <si>
    <t xml:space="preserve">Meghan S </t>
  </si>
  <si>
    <t xml:space="preserve">Hijadhar galli </t>
  </si>
  <si>
    <t>2nd cs</t>
  </si>
  <si>
    <t xml:space="preserve">No swg existing </t>
  </si>
  <si>
    <t xml:space="preserve">Hijadar galli </t>
  </si>
  <si>
    <t>3rd cs</t>
  </si>
  <si>
    <t>Bsc</t>
  </si>
  <si>
    <t>Infront of kalikadevi temple (concorence)</t>
  </si>
  <si>
    <t xml:space="preserve">Required </t>
  </si>
  <si>
    <t/>
  </si>
  <si>
    <t xml:space="preserve">Harapanahalli main </t>
  </si>
  <si>
    <t>1st cs</t>
  </si>
  <si>
    <t>Himamnagar</t>
  </si>
  <si>
    <t>https://maps.app.goo.gl/Z49PYuAGhwDWY59o9</t>
  </si>
  <si>
    <t xml:space="preserve">Footpath not existing </t>
  </si>
  <si>
    <t xml:space="preserve">Some portion need cover slab and cleaning work </t>
  </si>
  <si>
    <t>Some portion need cover slab and cleaning work</t>
  </si>
  <si>
    <t xml:space="preserve">1st Main </t>
  </si>
  <si>
    <t xml:space="preserve">Himamnagar </t>
  </si>
  <si>
    <t>https://maps.app.goo.gl/P4E51ihXg5LzbcHb7</t>
  </si>
  <si>
    <t>https://maps.app.goo.gl/EeMgWCb33e8tLXHp9?g_st=ac</t>
  </si>
  <si>
    <t xml:space="preserve">Pvc </t>
  </si>
  <si>
    <t>https://maps.app.goo.gl/dkhhZcoX8uvAdN9VA?g_st=ac</t>
  </si>
  <si>
    <t xml:space="preserve">Footpath not existing 
</t>
  </si>
  <si>
    <t xml:space="preserve">Not in good condition </t>
  </si>
  <si>
    <t>Existing not good</t>
  </si>
  <si>
    <t>https://maps.app.goo.gl/bnm4b5Ebtmqjf9tb6?g_st=ac</t>
  </si>
  <si>
    <t>Jandekatte road</t>
  </si>
  <si>
    <t>https://maps.app.goo.gl/hXycaA2gv6ZKksSu9?g_st=ac</t>
  </si>
  <si>
    <t>Not sure</t>
  </si>
  <si>
    <t>1st main</t>
  </si>
  <si>
    <t>https://maps.app.goo.gl/vzAk3Feg2GFbAALX8?g_st=ac</t>
  </si>
  <si>
    <t xml:space="preserve">Bethur road </t>
  </si>
  <si>
    <t xml:space="preserve">Venkateswara temple </t>
  </si>
  <si>
    <t>https://maps.app.goo.gl/rHKUZ1WpEvDxrwt37?g_st=ac</t>
  </si>
  <si>
    <t xml:space="preserve">4th </t>
  </si>
  <si>
    <t>https://maps.app.goo.gl/ubvRsAKEZSBjDchK6?g_st=ac</t>
  </si>
  <si>
    <t xml:space="preserve">Not existing 
</t>
  </si>
  <si>
    <t>4th</t>
  </si>
  <si>
    <t>4th cs</t>
  </si>
  <si>
    <t>https://maps.app.goo.gl/mcZL1toBs3mcv96b7?g_st=ac</t>
  </si>
  <si>
    <t xml:space="preserve">Some portion need work </t>
  </si>
  <si>
    <t>First cs</t>
  </si>
  <si>
    <t>https://maps.app.goo.gl/cnSQbJ7whb2rrvoy7?g_st=ac</t>
  </si>
  <si>
    <t xml:space="preserve">8 inch pipe </t>
  </si>
  <si>
    <t xml:space="preserve">Blockage </t>
  </si>
  <si>
    <t>8 inch</t>
  </si>
  <si>
    <t>3rd main</t>
  </si>
  <si>
    <t xml:space="preserve">1st cross </t>
  </si>
  <si>
    <t>https://maps.app.goo.gl/d65PjHrtMVSi6CnE9</t>
  </si>
  <si>
    <t xml:space="preserve">2 nd </t>
  </si>
  <si>
    <t>https://maps.app.goo.gl/zEFuScnT9n4Ubg5x9?g_st=ac</t>
  </si>
  <si>
    <t xml:space="preserve">8 inch </t>
  </si>
  <si>
    <t>Blocked</t>
  </si>
  <si>
    <t xml:space="preserve">Blocked </t>
  </si>
  <si>
    <t>4th main</t>
  </si>
  <si>
    <t xml:space="preserve">2nd concorence </t>
  </si>
  <si>
    <t>https://maps.app.goo.gl/Dkoki7tnirN5Wh6D9?g_st=ac</t>
  </si>
  <si>
    <t xml:space="preserve">Noe xisting footpath </t>
  </si>
  <si>
    <t xml:space="preserve">3rd concorence </t>
  </si>
  <si>
    <t>https://maps.app.goo.gl/q8QPJYKpbUkf8bN69?g_st=ac</t>
  </si>
  <si>
    <t>8inch</t>
  </si>
  <si>
    <t>4rd main</t>
  </si>
  <si>
    <t>4rd concorence</t>
  </si>
  <si>
    <t>Himamnagarà</t>
  </si>
  <si>
    <t>https://goo.gl/maps/Cao2Ews4qX328fuG8</t>
  </si>
  <si>
    <t>3rd</t>
  </si>
  <si>
    <t xml:space="preserve">Himamnagarà </t>
  </si>
  <si>
    <t>https://maps.app.goo.gl/VhZVs6i2W7bDAH5PA</t>
  </si>
  <si>
    <t xml:space="preserve"> https://maps.app.goo.gl/YvwVTMNqHoiWbcEw9?g_st=ac</t>
  </si>
  <si>
    <t xml:space="preserve"> 3rd concorence </t>
  </si>
  <si>
    <t>https://maps.app.goo.gl/v2U46wWZGFd6wLKG6?g_st=ac</t>
  </si>
  <si>
    <t>28inch</t>
  </si>
  <si>
    <t>5th</t>
  </si>
  <si>
    <t>https://maps.app.goo.gl/bt5zuDjDMEuLPn2D8?g_st=ac</t>
  </si>
  <si>
    <t xml:space="preserve">Swg not existing </t>
  </si>
  <si>
    <t xml:space="preserve">Seg not existing </t>
  </si>
  <si>
    <t xml:space="preserve">3rd main </t>
  </si>
  <si>
    <t xml:space="preserve">5th concorence </t>
  </si>
  <si>
    <t>https://maps.app.goo.gl/7dystqmVthHb8EGh7?g_st=ac</t>
  </si>
  <si>
    <t xml:space="preserve">6th </t>
  </si>
  <si>
    <t>https://maps.app.goo.gl/w6q13exaGSC6SCuy8</t>
  </si>
  <si>
    <t>6th</t>
  </si>
  <si>
    <t>https://maps.app.goo.gl/RFgRXp7auaoay39T9</t>
  </si>
  <si>
    <t>Taluk office back</t>
  </si>
  <si>
    <t>https://maps.app.goo.gl/SP7QfHB1DFnp1jTt6?g_st=ac</t>
  </si>
  <si>
    <t>Venkateswara temple road</t>
  </si>
  <si>
    <t>Venkateswara temple cross</t>
  </si>
  <si>
    <t>https://maps.app.goo.gl/KRZ5ZTZ1b8Rnz8cS8?g_st=ac</t>
  </si>
  <si>
    <t>Himamnagarà 1st main</t>
  </si>
  <si>
    <t>https://maps.app.goo.gl/PJKUK25Bh8S5TKcs6</t>
  </si>
  <si>
    <t>Maintenance required and blocked</t>
  </si>
  <si>
    <t xml:space="preserve">Maintenance required and blocked </t>
  </si>
  <si>
    <t xml:space="preserve">Not in working condition </t>
  </si>
  <si>
    <t xml:space="preserve">Himamnagarà 1st main </t>
  </si>
  <si>
    <t>https://maps.app.goo.gl/jjMmdVZ7Y3t4CEiQ7?g_st=ac</t>
  </si>
  <si>
    <t xml:space="preserve">Maintenance required </t>
  </si>
  <si>
    <t>5th cs</t>
  </si>
  <si>
    <t>https://maps.app.goo.gl/yEGJBSs2pDu5TgUF9</t>
  </si>
  <si>
    <t>Footpath not existing</t>
  </si>
  <si>
    <t>6th cs</t>
  </si>
  <si>
    <t>https://maps.app.goo.gl/oFYZ3bZtpKyWmvgW6?g_st=ac</t>
  </si>
  <si>
    <t>7th cs</t>
  </si>
  <si>
    <t>https://maps.app.goo.gl/v9vC3ToCTrv4Maqu8?g_st=ac</t>
  </si>
  <si>
    <t>Himamnagarà main road</t>
  </si>
  <si>
    <t xml:space="preserve">Main road </t>
  </si>
  <si>
    <t>https://maps.app.goo.gl/vccMcyb6uCFCgKmb9</t>
  </si>
  <si>
    <t>Nokrani shadi mahal</t>
  </si>
  <si>
    <t>https://maps.app.goo.gl/HPoPae5TomKj1ftu5</t>
  </si>
  <si>
    <t>Hubli chowdappa galli</t>
  </si>
  <si>
    <t>Narasarajpet conservense</t>
  </si>
  <si>
    <t>https://maps.app.goo.gl/vATSSiCdhDfqfuM96?g_st=ac</t>
  </si>
  <si>
    <t>Hubli chowdappa galli main road</t>
  </si>
  <si>
    <t>Narasarajpet 4th cs</t>
  </si>
  <si>
    <t xml:space="preserve">Hubballi chowdappana galli </t>
  </si>
  <si>
    <t>https://maps.app.goo.gl/Ky2p7DabPqiMkv4F7?g_st=ac</t>
  </si>
  <si>
    <t xml:space="preserve">Footpath 
Footpath Only some portion covered </t>
  </si>
  <si>
    <t xml:space="preserve">Footpath some portion covered </t>
  </si>
  <si>
    <t xml:space="preserve">Hubballi chowdappana galli main road </t>
  </si>
  <si>
    <t>Narasarajpet 3rd cs</t>
  </si>
  <si>
    <t>https://maps.app.goo.gl/jm2BRh1q8KRMRtwK8?g_st=ac</t>
  </si>
  <si>
    <t>Narasarajpet 2nd cs</t>
  </si>
  <si>
    <t>https://maps.app.goo.gl/9A5wd6Hv82x1qdTe7?g_st=ac</t>
  </si>
  <si>
    <t xml:space="preserve">Hubli chowdappa galli main road </t>
  </si>
  <si>
    <t>Narasarajpet 1at cs</t>
  </si>
  <si>
    <t xml:space="preserve">Hubli chowdappa galli </t>
  </si>
  <si>
    <t>https://maps.app.goo.gl/hWnH4vcXUqwkL7hd8</t>
  </si>
  <si>
    <t>Narasarajpet conservense 2</t>
  </si>
  <si>
    <t>https://maps.app.goo.gl/Fup4JNqkbQ2QHLVV7?g_st=ac</t>
  </si>
  <si>
    <t xml:space="preserve">Very high odour and harmful not in working condition </t>
  </si>
  <si>
    <t>Very high odour and harmful not in working condition</t>
  </si>
  <si>
    <t>Chamrajpet Main road</t>
  </si>
  <si>
    <t>Charli pailwan auto stand</t>
  </si>
  <si>
    <t xml:space="preserve">Chamrajpet Main road </t>
  </si>
  <si>
    <t>https://maps.app.goo.gl/wMURHzxxVFpsnTCH7</t>
  </si>
  <si>
    <t>Dandi durgamma temple road</t>
  </si>
  <si>
    <t>https://maps.app.goo.gl/gfdTZVKNke8z9Wje9</t>
  </si>
  <si>
    <t xml:space="preserve">Basawaraj pete </t>
  </si>
  <si>
    <t>https://maps.app.goo.gl/raisQufUmrBY9cGw5?g_st=ac</t>
  </si>
  <si>
    <t xml:space="preserve">Dandi durgamma concurrency </t>
  </si>
  <si>
    <t>Dandi durgamma concurrency</t>
  </si>
  <si>
    <t>Basawaraj pet</t>
  </si>
  <si>
    <t>https://maps.app.goo.gl/xR5edxNNJLNrMGiy5</t>
  </si>
  <si>
    <t>https://maps.app.goo.gl/nN6F7fhs5phSSNW47</t>
  </si>
  <si>
    <t xml:space="preserve">Some portion not fully covered by Pavers.only North side is taken as per the ward 11 boundary </t>
  </si>
  <si>
    <t>Not in coming under the ward 11</t>
  </si>
  <si>
    <t xml:space="preserve">Some portion not fully covered and maintainance required </t>
  </si>
  <si>
    <t>Not coming under ward 11</t>
  </si>
  <si>
    <t xml:space="preserve">Basawaraj pet </t>
  </si>
  <si>
    <t>https://maps.app.goo.gl/UGR6Tf8F1Z5vQgNn9</t>
  </si>
  <si>
    <t>8 inch pupe</t>
  </si>
  <si>
    <t xml:space="preserve">Old bethur road </t>
  </si>
  <si>
    <t xml:space="preserve">Basawaraj pet Main </t>
  </si>
  <si>
    <t>https://maps.app.goo.gl/jyWXartJ4NXkT4dR6?g_st=ac</t>
  </si>
  <si>
    <t xml:space="preserve">Some portion damaged </t>
  </si>
  <si>
    <t>https://maps.app.goo.gl/tPHpu5js7HvojjNN6?g_st=ac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</si>
</sst>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27">
    <font>
      <sz val="10.0"/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/>
    <font>
      <color rgb="FF274E13"/>
      <name val="Arial"/>
      <scheme val="minor"/>
    </font>
    <font>
      <color rgb="FFFF0000"/>
      <name val="Arial"/>
      <scheme val="minor"/>
    </font>
    <font>
      <color rgb="FF7F6000"/>
      <name val="Arial"/>
      <scheme val="minor"/>
    </font>
    <font>
      <color rgb="FF0000FF"/>
      <name val="Arial"/>
      <scheme val="minor"/>
    </font>
    <font>
      <color rgb="FFB45F06"/>
      <name val="Arial"/>
      <scheme val="minor"/>
    </font>
    <font>
      <color rgb="FF20124D"/>
      <name val="Arial"/>
      <scheme val="minor"/>
    </font>
    <font>
      <color rgb="FF666666"/>
      <name val="Arial"/>
      <scheme val="minor"/>
    </font>
    <font>
      <color rgb="FFCC0000"/>
      <name val="Arial"/>
      <scheme val="minor"/>
    </font>
    <font>
      <color rgb="FF38761D"/>
      <name val="Arial"/>
      <scheme val="minor"/>
    </font>
    <font>
      <color rgb="FF990000"/>
      <name val="Arial"/>
      <scheme val="minor"/>
    </font>
    <font>
      <color rgb="FF9900FF"/>
      <name val="Arial"/>
      <scheme val="minor"/>
    </font>
    <font>
      <color rgb="FF073763"/>
      <name val="Arial"/>
      <scheme val="minor"/>
    </font>
    <font>
      <sz val="11.0"/>
      <color theme="1"/>
      <name val="Arial"/>
    </font>
    <font>
      <color rgb="FF351C75"/>
      <name val="Arial"/>
      <scheme val="minor"/>
    </font>
    <font>
      <b/>
      <u/>
      <sz val="11.0"/>
      <color rgb="FF1155CC"/>
      <name val="Arial"/>
    </font>
    <font>
      <color rgb="FF783F04"/>
      <name val="Arial"/>
      <scheme val="minor"/>
    </font>
    <font>
      <color rgb="FF1C4587"/>
      <name val="Arial"/>
      <scheme val="minor"/>
    </font>
    <font>
      <color rgb="FF999999"/>
      <name val="Arial"/>
    </font>
    <font>
      <b/>
      <color theme="1"/>
      <name val="Arial"/>
      <scheme val="minor"/>
    </font>
    <font>
      <color rgb="FFFF9900"/>
      <name val="Arial"/>
      <scheme val="minor"/>
    </font>
    <font>
      <u/>
      <color rgb="FF0000FF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F4CCCC"/>
        <bgColor rgb="FFF4CCCC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B45F06"/>
        <bgColor rgb="FFB45F0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18">
    <border/>
    <border>
      <left style="thick">
        <color rgb="FF0000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textRotation="0" vertical="center"/>
    </xf>
    <xf borderId="0" fillId="3" fontId="2" numFmtId="0" xfId="0" applyAlignment="1" applyFill="1" applyFont="1">
      <alignment vertical="bottom"/>
    </xf>
    <xf borderId="0" fillId="2" fontId="1" numFmtId="0" xfId="0" applyAlignment="1" applyFont="1">
      <alignment horizontal="left" readingOrder="0" shrinkToFit="0" textRotation="0" vertical="center" wrapText="1"/>
    </xf>
    <xf borderId="0" fillId="3" fontId="3" numFmtId="0" xfId="0" applyAlignment="1" applyFont="1">
      <alignment vertical="bottom"/>
    </xf>
    <xf borderId="0" fillId="2" fontId="1" numFmtId="0" xfId="0" applyAlignment="1" applyFont="1">
      <alignment horizontal="left" readingOrder="0" textRotation="0"/>
    </xf>
    <xf borderId="0" fillId="3" fontId="3" numFmtId="0" xfId="0" applyAlignment="1" applyFont="1">
      <alignment horizontal="left" vertical="bottom"/>
    </xf>
    <xf borderId="1" fillId="3" fontId="3" numFmtId="0" xfId="0" applyAlignment="1" applyBorder="1" applyFon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right" readingOrder="0" textRotation="0"/>
    </xf>
    <xf borderId="2" fillId="4" fontId="2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textRotation="90" vertical="center"/>
    </xf>
    <xf borderId="2" fillId="2" fontId="1" numFmtId="0" xfId="0" applyAlignment="1" applyBorder="1" applyFont="1">
      <alignment horizontal="center" readingOrder="0" shrinkToFit="0" textRotation="90" vertical="center" wrapText="1"/>
    </xf>
    <xf borderId="2" fillId="2" fontId="1" numFmtId="0" xfId="0" applyBorder="1" applyFont="1"/>
    <xf borderId="3" fillId="4" fontId="2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readingOrder="0"/>
    </xf>
    <xf borderId="4" fillId="0" fontId="5" numFmtId="0" xfId="0" applyBorder="1" applyFont="1"/>
    <xf borderId="5" fillId="0" fontId="5" numFmtId="0" xfId="0" applyBorder="1" applyFont="1"/>
    <xf borderId="2" fillId="4" fontId="2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textRotation="90" vertical="center"/>
    </xf>
    <xf borderId="3" fillId="5" fontId="2" numFmtId="0" xfId="0" applyAlignment="1" applyBorder="1" applyFill="1" applyFont="1">
      <alignment horizontal="center" readingOrder="0" vertical="bottom"/>
    </xf>
    <xf borderId="6" fillId="0" fontId="4" numFmtId="0" xfId="0" applyAlignment="1" applyBorder="1" applyFont="1">
      <alignment horizontal="center" readingOrder="0" textRotation="90" vertical="center"/>
    </xf>
    <xf borderId="6" fillId="0" fontId="4" numFmtId="0" xfId="0" applyAlignment="1" applyBorder="1" applyFont="1">
      <alignment horizontal="center" readingOrder="0" shrinkToFit="0" textRotation="90" vertical="center" wrapText="1"/>
    </xf>
    <xf borderId="2" fillId="6" fontId="6" numFmtId="0" xfId="0" applyAlignment="1" applyBorder="1" applyFill="1" applyFont="1">
      <alignment readingOrder="0"/>
    </xf>
    <xf borderId="3" fillId="7" fontId="2" numFmtId="0" xfId="0" applyAlignment="1" applyBorder="1" applyFill="1" applyFont="1">
      <alignment horizontal="center" vertical="bottom"/>
    </xf>
    <xf borderId="2" fillId="6" fontId="6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7" fillId="0" fontId="5" numFmtId="0" xfId="0" applyBorder="1" applyFont="1"/>
    <xf borderId="2" fillId="8" fontId="7" numFmtId="0" xfId="0" applyAlignment="1" applyBorder="1" applyFill="1" applyFont="1">
      <alignment readingOrder="0"/>
    </xf>
    <xf borderId="3" fillId="9" fontId="2" numFmtId="0" xfId="0" applyAlignment="1" applyBorder="1" applyFill="1" applyFont="1">
      <alignment horizontal="center" vertical="bottom"/>
    </xf>
    <xf borderId="3" fillId="10" fontId="2" numFmtId="0" xfId="0" applyAlignment="1" applyBorder="1" applyFill="1" applyFont="1">
      <alignment horizontal="center" vertical="bottom"/>
    </xf>
    <xf borderId="8" fillId="0" fontId="5" numFmtId="0" xfId="0" applyBorder="1" applyFont="1"/>
    <xf borderId="9" fillId="11" fontId="8" numFmtId="0" xfId="0" applyAlignment="1" applyBorder="1" applyFill="1" applyFont="1">
      <alignment readingOrder="0"/>
    </xf>
    <xf borderId="3" fillId="12" fontId="2" numFmtId="0" xfId="0" applyAlignment="1" applyBorder="1" applyFill="1" applyFont="1">
      <alignment horizontal="center" readingOrder="0" vertical="bottom"/>
    </xf>
    <xf borderId="9" fillId="6" fontId="6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4" numFmtId="0" xfId="0" applyBorder="1" applyFont="1"/>
    <xf borderId="6" fillId="4" fontId="2" numFmtId="0" xfId="0" applyAlignment="1" applyBorder="1" applyFont="1">
      <alignment horizontal="center"/>
    </xf>
    <xf borderId="10" fillId="0" fontId="4" numFmtId="0" xfId="0" applyAlignment="1" applyBorder="1" applyFont="1">
      <alignment horizontal="center" readingOrder="0" shrinkToFit="0" textRotation="90" vertical="center" wrapText="1"/>
    </xf>
    <xf borderId="8" fillId="13" fontId="9" numFmtId="0" xfId="0" applyAlignment="1" applyBorder="1" applyFill="1" applyFont="1">
      <alignment readingOrder="0"/>
    </xf>
    <xf borderId="2" fillId="0" fontId="4" numFmtId="0" xfId="0" applyAlignment="1" applyBorder="1" applyFont="1">
      <alignment shrinkToFit="0" wrapText="1"/>
    </xf>
    <xf borderId="8" fillId="14" fontId="6" numFmtId="0" xfId="0" applyAlignment="1" applyBorder="1" applyFill="1" applyFont="1">
      <alignment readingOrder="0"/>
    </xf>
    <xf borderId="8" fillId="0" fontId="4" numFmtId="0" xfId="0" applyBorder="1" applyFont="1"/>
    <xf borderId="0" fillId="0" fontId="4" numFmtId="0" xfId="0" applyAlignment="1" applyFont="1">
      <alignment readingOrder="0" shrinkToFit="0" vertical="center" wrapText="0"/>
    </xf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3" fillId="15" fontId="2" numFmtId="0" xfId="0" applyAlignment="1" applyBorder="1" applyFill="1" applyFont="1">
      <alignment horizontal="center" vertical="bottom"/>
    </xf>
    <xf borderId="0" fillId="16" fontId="7" numFmtId="0" xfId="0" applyAlignment="1" applyFill="1" applyFont="1">
      <alignment readingOrder="0" shrinkToFit="0" vertical="center" wrapText="0"/>
    </xf>
    <xf borderId="2" fillId="6" fontId="6" numFmtId="0" xfId="0" applyAlignment="1" applyBorder="1" applyFont="1">
      <alignment readingOrder="0" shrinkToFit="0" vertical="center" wrapText="0"/>
    </xf>
    <xf borderId="2" fillId="17" fontId="10" numFmtId="0" xfId="0" applyAlignment="1" applyBorder="1" applyFill="1" applyFont="1">
      <alignment readingOrder="0" shrinkToFit="0" vertical="center" wrapText="0"/>
    </xf>
    <xf borderId="3" fillId="18" fontId="2" numFmtId="0" xfId="0" applyAlignment="1" applyBorder="1" applyFill="1" applyFont="1">
      <alignment horizontal="center" readingOrder="0" vertical="bottom"/>
    </xf>
    <xf borderId="2" fillId="13" fontId="9" numFmtId="0" xfId="0" applyAlignment="1" applyBorder="1" applyFont="1">
      <alignment readingOrder="0" shrinkToFit="0" vertical="center" wrapText="0"/>
    </xf>
    <xf borderId="3" fillId="19" fontId="2" numFmtId="0" xfId="0" applyAlignment="1" applyBorder="1" applyFill="1" applyFont="1">
      <alignment horizontal="center" readingOrder="0" vertical="bottom"/>
    </xf>
    <xf borderId="2" fillId="20" fontId="11" numFmtId="0" xfId="0" applyAlignment="1" applyBorder="1" applyFill="1" applyFont="1">
      <alignment readingOrder="0"/>
    </xf>
    <xf borderId="2" fillId="0" fontId="4" numFmtId="14" xfId="0" applyAlignment="1" applyBorder="1" applyFont="1" applyNumberFormat="1">
      <alignment readingOrder="0" shrinkToFit="0" vertical="center" wrapText="0"/>
    </xf>
    <xf borderId="2" fillId="21" fontId="12" numFmtId="0" xfId="0" applyAlignment="1" applyBorder="1" applyFill="1" applyFont="1">
      <alignment readingOrder="0" shrinkToFit="0" vertical="center" wrapText="0"/>
    </xf>
    <xf borderId="2" fillId="14" fontId="6" numFmtId="0" xfId="0" applyAlignment="1" applyBorder="1" applyFont="1">
      <alignment readingOrder="0"/>
    </xf>
    <xf borderId="3" fillId="4" fontId="2" numFmtId="0" xfId="0" applyAlignment="1" applyBorder="1" applyFont="1">
      <alignment horizontal="center" vertical="bottom"/>
    </xf>
    <xf borderId="2" fillId="11" fontId="13" numFmtId="0" xfId="0" applyAlignment="1" applyBorder="1" applyFont="1">
      <alignment readingOrder="0" shrinkToFit="0" vertical="center" wrapText="0"/>
    </xf>
    <xf borderId="2" fillId="6" fontId="14" numFmtId="0" xfId="0" applyAlignment="1" applyBorder="1" applyFont="1">
      <alignment readingOrder="0" shrinkToFit="0" vertical="center" wrapText="0"/>
    </xf>
    <xf borderId="2" fillId="8" fontId="7" numFmtId="0" xfId="0" applyAlignment="1" applyBorder="1" applyFont="1">
      <alignment readingOrder="0" shrinkToFit="0" vertical="center" wrapText="0"/>
    </xf>
    <xf borderId="2" fillId="17" fontId="10" numFmtId="0" xfId="0" applyAlignment="1" applyBorder="1" applyFont="1">
      <alignment readingOrder="0"/>
    </xf>
    <xf borderId="6" fillId="4" fontId="2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9" fillId="6" fontId="6" numFmtId="0" xfId="0" applyAlignment="1" applyBorder="1" applyFont="1">
      <alignment readingOrder="0"/>
    </xf>
    <xf borderId="9" fillId="14" fontId="6" numFmtId="0" xfId="0" applyAlignment="1" applyBorder="1" applyFont="1">
      <alignment readingOrder="0"/>
    </xf>
    <xf borderId="6" fillId="4" fontId="2" numFmtId="0" xfId="0" applyAlignment="1" applyBorder="1" applyFont="1">
      <alignment horizontal="center" vertical="center"/>
    </xf>
    <xf borderId="2" fillId="11" fontId="15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horizontal="center" readingOrder="0" shrinkToFit="0" textRotation="90" vertical="center" wrapText="1"/>
    </xf>
    <xf borderId="6" fillId="4" fontId="2" numFmtId="0" xfId="0" applyAlignment="1" applyBorder="1" applyFont="1">
      <alignment horizontal="left" vertical="center"/>
    </xf>
    <xf borderId="8" fillId="6" fontId="6" numFmtId="0" xfId="0" applyAlignment="1" applyBorder="1" applyFont="1">
      <alignment readingOrder="0"/>
    </xf>
    <xf borderId="2" fillId="4" fontId="2" numFmtId="0" xfId="0" applyAlignment="1" applyBorder="1" applyFont="1">
      <alignment horizontal="center" vertical="center"/>
    </xf>
    <xf borderId="2" fillId="20" fontId="16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0" fontId="4" numFmtId="165" xfId="0" applyAlignment="1" applyBorder="1" applyFont="1" applyNumberFormat="1">
      <alignment readingOrder="0" shrinkToFit="0" vertical="center" wrapText="0"/>
    </xf>
    <xf borderId="2" fillId="0" fontId="4" numFmtId="164" xfId="0" applyAlignment="1" applyBorder="1" applyFont="1" applyNumberFormat="1">
      <alignment readingOrder="0"/>
    </xf>
    <xf borderId="2" fillId="0" fontId="4" numFmtId="0" xfId="0" applyAlignment="1" applyBorder="1" applyFont="1">
      <alignment readingOrder="0" shrinkToFit="0" vertical="center" wrapText="0"/>
    </xf>
    <xf borderId="2" fillId="0" fontId="4" numFmtId="164" xfId="0" applyBorder="1" applyFont="1" applyNumberFormat="1"/>
    <xf borderId="2" fillId="4" fontId="3" numFmtId="0" xfId="0" applyAlignment="1" applyBorder="1" applyFont="1">
      <alignment vertical="center"/>
    </xf>
    <xf borderId="2" fillId="0" fontId="4" numFmtId="0" xfId="0" applyAlignment="1" applyBorder="1" applyFont="1">
      <alignment shrinkToFit="0" vertical="center" wrapText="0"/>
    </xf>
    <xf borderId="2" fillId="22" fontId="17" numFmtId="0" xfId="0" applyAlignment="1" applyBorder="1" applyFill="1" applyFont="1">
      <alignment readingOrder="0"/>
    </xf>
    <xf borderId="6" fillId="11" fontId="15" numFmtId="0" xfId="0" applyAlignment="1" applyBorder="1" applyFont="1">
      <alignment readingOrder="0"/>
    </xf>
    <xf borderId="6" fillId="14" fontId="6" numFmtId="0" xfId="0" applyAlignment="1" applyBorder="1" applyFont="1">
      <alignment readingOrder="0"/>
    </xf>
    <xf borderId="6" fillId="0" fontId="4" numFmtId="0" xfId="0" applyBorder="1" applyFont="1"/>
    <xf borderId="2" fillId="0" fontId="4" numFmtId="14" xfId="0" applyAlignment="1" applyBorder="1" applyFont="1" applyNumberFormat="1">
      <alignment readingOrder="0" shrinkToFit="0" vertical="center" wrapText="0"/>
    </xf>
    <xf borderId="2" fillId="0" fontId="3" numFmtId="0" xfId="0" applyAlignment="1" applyBorder="1" applyFont="1">
      <alignment horizontal="right" vertical="bottom"/>
    </xf>
    <xf borderId="2" fillId="0" fontId="18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20" fontId="19" numFmtId="0" xfId="0" applyAlignment="1" applyBorder="1" applyFont="1">
      <alignment readingOrder="0" shrinkToFit="0" vertical="center" wrapText="0"/>
    </xf>
    <xf borderId="11" fillId="6" fontId="6" numFmtId="0" xfId="0" applyAlignment="1" applyBorder="1" applyFont="1">
      <alignment readingOrder="0"/>
    </xf>
    <xf borderId="11" fillId="14" fontId="6" numFmtId="0" xfId="0" applyAlignment="1" applyBorder="1" applyFont="1">
      <alignment readingOrder="0"/>
    </xf>
    <xf borderId="11" fillId="0" fontId="4" numFmtId="0" xfId="0" applyBorder="1" applyFont="1"/>
    <xf borderId="2" fillId="0" fontId="20" numFmtId="0" xfId="0" applyAlignment="1" applyBorder="1" applyFont="1">
      <alignment vertical="bottom"/>
    </xf>
    <xf borderId="2" fillId="20" fontId="16" numFmtId="0" xfId="0" applyAlignment="1" applyBorder="1" applyFont="1">
      <alignment readingOrder="0"/>
    </xf>
    <xf borderId="2" fillId="17" fontId="21" numFmtId="0" xfId="0" applyAlignment="1" applyBorder="1" applyFont="1">
      <alignment readingOrder="0"/>
    </xf>
    <xf borderId="2" fillId="0" fontId="3" numFmtId="0" xfId="0" applyAlignment="1" applyBorder="1" applyFont="1">
      <alignment horizontal="left" vertical="bottom"/>
    </xf>
    <xf borderId="12" fillId="21" fontId="12" numFmtId="0" xfId="0" applyAlignment="1" applyBorder="1" applyFont="1">
      <alignment readingOrder="0"/>
    </xf>
    <xf borderId="13" fillId="0" fontId="4" numFmtId="0" xfId="0" applyAlignment="1" applyBorder="1" applyFont="1">
      <alignment horizontal="center" readingOrder="0" textRotation="90" vertical="center"/>
    </xf>
    <xf borderId="13" fillId="0" fontId="4" numFmtId="0" xfId="0" applyAlignment="1" applyBorder="1" applyFont="1">
      <alignment horizontal="center" readingOrder="0" shrinkToFit="0" textRotation="90" vertical="center" wrapText="1"/>
    </xf>
    <xf borderId="14" fillId="6" fontId="14" numFmtId="0" xfId="0" applyAlignment="1" applyBorder="1" applyFont="1">
      <alignment readingOrder="0"/>
    </xf>
    <xf borderId="14" fillId="14" fontId="6" numFmtId="0" xfId="0" applyAlignment="1" applyBorder="1" applyFont="1">
      <alignment readingOrder="0"/>
    </xf>
    <xf borderId="14" fillId="0" fontId="4" numFmtId="0" xfId="0" applyBorder="1" applyFont="1"/>
    <xf borderId="2" fillId="23" fontId="14" numFmtId="0" xfId="0" applyAlignment="1" applyBorder="1" applyFill="1" applyFont="1">
      <alignment readingOrder="0"/>
    </xf>
    <xf borderId="2" fillId="18" fontId="6" numFmtId="0" xfId="0" applyAlignment="1" applyBorder="1" applyFont="1">
      <alignment readingOrder="0"/>
    </xf>
    <xf borderId="2" fillId="20" fontId="4" numFmtId="0" xfId="0" applyAlignment="1" applyBorder="1" applyFont="1">
      <alignment readingOrder="0"/>
    </xf>
    <xf borderId="2" fillId="22" fontId="22" numFmtId="0" xfId="0" applyAlignment="1" applyBorder="1" applyFont="1">
      <alignment readingOrder="0"/>
    </xf>
    <xf borderId="2" fillId="0" fontId="23" numFmtId="0" xfId="0" applyAlignment="1" applyBorder="1" applyFont="1">
      <alignment readingOrder="0" vertical="bottom"/>
    </xf>
    <xf borderId="2" fillId="16" fontId="7" numFmtId="0" xfId="0" applyAlignment="1" applyBorder="1" applyFont="1">
      <alignment readingOrder="0"/>
    </xf>
    <xf borderId="2" fillId="0" fontId="3" numFmtId="0" xfId="0" applyAlignment="1" applyBorder="1" applyFont="1">
      <alignment horizontal="right" readingOrder="0" vertical="bottom"/>
    </xf>
    <xf borderId="9" fillId="21" fontId="12" numFmtId="0" xfId="0" applyAlignment="1" applyBorder="1" applyFont="1">
      <alignment readingOrder="0"/>
    </xf>
    <xf borderId="12" fillId="14" fontId="6" numFmtId="0" xfId="0" applyAlignment="1" applyBorder="1" applyFont="1">
      <alignment readingOrder="0"/>
    </xf>
    <xf borderId="12" fillId="0" fontId="4" numFmtId="0" xfId="0" applyBorder="1" applyFont="1"/>
    <xf borderId="13" fillId="0" fontId="4" numFmtId="0" xfId="0" applyAlignment="1" applyBorder="1" applyFont="1">
      <alignment horizontal="center" shrinkToFit="0" textRotation="90" vertical="center" wrapText="1"/>
    </xf>
    <xf borderId="14" fillId="6" fontId="6" numFmtId="0" xfId="0" applyAlignment="1" applyBorder="1" applyFont="1">
      <alignment readingOrder="0"/>
    </xf>
    <xf borderId="2" fillId="14" fontId="12" numFmtId="0" xfId="0" applyAlignment="1" applyBorder="1" applyFont="1">
      <alignment readingOrder="0" shrinkToFit="0" vertical="center" wrapText="0"/>
    </xf>
    <xf borderId="2" fillId="22" fontId="9" numFmtId="0" xfId="0" applyAlignment="1" applyBorder="1" applyFont="1">
      <alignment readingOrder="0"/>
    </xf>
    <xf borderId="9" fillId="8" fontId="7" numFmtId="0" xfId="0" applyAlignment="1" applyBorder="1" applyFont="1">
      <alignment readingOrder="0"/>
    </xf>
    <xf borderId="6" fillId="8" fontId="7" numFmtId="0" xfId="0" applyAlignment="1" applyBorder="1" applyFont="1">
      <alignment readingOrder="0"/>
    </xf>
    <xf borderId="2" fillId="11" fontId="15" numFmtId="0" xfId="0" applyAlignment="1" applyBorder="1" applyFont="1">
      <alignment readingOrder="0"/>
    </xf>
    <xf borderId="6" fillId="22" fontId="9" numFmtId="0" xfId="0" applyAlignment="1" applyBorder="1" applyFont="1">
      <alignment readingOrder="0"/>
    </xf>
    <xf borderId="2" fillId="17" fontId="21" numFmtId="0" xfId="0" applyAlignment="1" applyBorder="1" applyFont="1">
      <alignment readingOrder="0" shrinkToFit="0" vertical="center" wrapText="0"/>
    </xf>
    <xf borderId="2" fillId="0" fontId="24" numFmtId="0" xfId="0" applyAlignment="1" applyBorder="1" applyFont="1">
      <alignment readingOrder="0"/>
    </xf>
    <xf borderId="15" fillId="17" fontId="10" numFmtId="0" xfId="0" applyAlignment="1" applyBorder="1" applyFont="1">
      <alignment readingOrder="0"/>
    </xf>
    <xf borderId="16" fillId="6" fontId="6" numFmtId="0" xfId="0" applyAlignment="1" applyBorder="1" applyFont="1">
      <alignment readingOrder="0"/>
    </xf>
    <xf borderId="16" fillId="22" fontId="9" numFmtId="0" xfId="0" applyAlignment="1" applyBorder="1" applyFont="1">
      <alignment readingOrder="0"/>
    </xf>
    <xf borderId="0" fillId="0" fontId="4" numFmtId="0" xfId="0" applyAlignment="1" applyFont="1">
      <alignment horizontal="center" readingOrder="0" textRotation="90" vertical="center"/>
    </xf>
    <xf borderId="0" fillId="0" fontId="4" numFmtId="0" xfId="0" applyAlignment="1" applyFont="1">
      <alignment horizontal="center" readingOrder="0" shrinkToFit="0" textRotation="90" vertical="center" wrapText="1"/>
    </xf>
    <xf borderId="2" fillId="20" fontId="19" numFmtId="0" xfId="0" applyAlignment="1" applyBorder="1" applyFont="1">
      <alignment readingOrder="0"/>
    </xf>
    <xf borderId="2" fillId="13" fontId="9" numFmtId="0" xfId="0" applyAlignment="1" applyBorder="1" applyFont="1">
      <alignment readingOrder="0"/>
    </xf>
    <xf borderId="2" fillId="17" fontId="25" numFmtId="0" xfId="0" applyAlignment="1" applyBorder="1" applyFont="1">
      <alignment readingOrder="0"/>
    </xf>
    <xf borderId="2" fillId="11" fontId="13" numFmtId="0" xfId="0" applyAlignment="1" applyBorder="1" applyFont="1">
      <alignment readingOrder="0"/>
    </xf>
    <xf borderId="0" fillId="16" fontId="7" numFmtId="0" xfId="0" applyAlignment="1" applyFont="1">
      <alignment readingOrder="0"/>
    </xf>
    <xf borderId="0" fillId="21" fontId="12" numFmtId="0" xfId="0" applyAlignment="1" applyFont="1">
      <alignment readingOrder="0"/>
    </xf>
    <xf borderId="2" fillId="0" fontId="3" numFmtId="0" xfId="0" applyAlignment="1" applyBorder="1" applyFont="1">
      <alignment horizontal="left" readingOrder="0" vertical="bottom"/>
    </xf>
    <xf borderId="2" fillId="0" fontId="4" numFmtId="0" xfId="0" applyAlignment="1" applyBorder="1" applyFont="1">
      <alignment horizontal="left"/>
    </xf>
    <xf borderId="3" fillId="0" fontId="4" numFmtId="0" xfId="0" applyBorder="1" applyFont="1"/>
    <xf borderId="17" fillId="0" fontId="4" numFmtId="0" xfId="0" applyBorder="1" applyFont="1"/>
    <xf borderId="2" fillId="0" fontId="26" numFmtId="0" xfId="0" applyAlignment="1" applyBorder="1" applyFont="1">
      <alignment readingOrder="0" shrinkToFit="0" vertical="center" wrapText="0"/>
    </xf>
    <xf borderId="2" fillId="17" fontId="25" numFmtId="0" xfId="0" applyAlignment="1" applyBorder="1" applyFont="1">
      <alignment readingOrder="0" shrinkToFit="0" vertical="center" wrapText="0"/>
    </xf>
    <xf borderId="2" fillId="16" fontId="7" numFmtId="0" xfId="0" applyAlignment="1" applyBorder="1" applyFont="1">
      <alignment readingOrder="0" shrinkToFit="0" vertical="center" wrapText="0"/>
    </xf>
    <xf borderId="2" fillId="11" fontId="8" numFmtId="0" xfId="0" applyAlignment="1" applyBorder="1" applyFont="1">
      <alignment readingOrder="0" shrinkToFit="0" vertical="center" wrapText="0"/>
    </xf>
    <xf borderId="2" fillId="22" fontId="2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left"/>
    </xf>
    <xf borderId="1" fillId="0" fontId="4" numFmtId="0" xfId="0" applyBorder="1" applyFont="1"/>
    <xf borderId="2" fillId="20" fontId="11" numFmtId="0" xfId="0" applyAlignment="1" applyBorder="1" applyFont="1">
      <alignment readingOrder="0" shrinkToFit="0" vertical="center" wrapText="0"/>
    </xf>
    <xf borderId="2" fillId="16" fontId="7" numFmtId="0" xfId="0" applyAlignment="1" applyBorder="1" applyFont="1">
      <alignment horizontal="right" readingOrder="0" shrinkToFit="0" vertical="center" wrapText="0"/>
    </xf>
    <xf borderId="2" fillId="6" fontId="6" numFmtId="0" xfId="0" applyAlignment="1" applyBorder="1" applyFont="1">
      <alignment readingOrder="0" shrinkToFit="0" vertical="center" wrapText="0"/>
    </xf>
    <xf borderId="2" fillId="17" fontId="10" numFmtId="0" xfId="0" applyAlignment="1" applyBorder="1" applyFont="1">
      <alignment readingOrder="0" shrinkToFit="0" vertical="center" wrapText="0"/>
    </xf>
    <xf borderId="2" fillId="21" fontId="12" numFmtId="0" xfId="0" applyAlignment="1" applyBorder="1" applyFont="1">
      <alignment readingOrder="0" shrinkToFit="0" vertical="center" wrapText="0"/>
    </xf>
    <xf borderId="2" fillId="14" fontId="12" numFmtId="0" xfId="0" applyAlignment="1" applyBorder="1" applyFont="1">
      <alignment readingOrder="0" shrinkToFit="0" vertical="center" wrapText="0"/>
    </xf>
    <xf borderId="2" fillId="13" fontId="9" numFmtId="0" xfId="0" applyAlignment="1" applyBorder="1" applyFont="1">
      <alignment readingOrder="0" shrinkToFit="0" vertical="center" wrapText="0"/>
    </xf>
    <xf borderId="2" fillId="11" fontId="13" numFmtId="0" xfId="0" applyAlignment="1" applyBorder="1" applyFont="1">
      <alignment readingOrder="0" shrinkToFit="0" vertical="center" wrapText="0"/>
    </xf>
    <xf borderId="2" fillId="22" fontId="22" numFmtId="0" xfId="0" applyAlignment="1" applyBorder="1" applyFont="1">
      <alignment readingOrder="0" shrinkToFit="0" vertical="center" wrapText="0"/>
    </xf>
    <xf borderId="0" fillId="16" fontId="4" numFmtId="0" xfId="0" applyAlignment="1" applyFont="1">
      <alignment readingOrder="0" shrinkToFit="0" vertical="center" wrapText="0"/>
    </xf>
    <xf borderId="2" fillId="16" fontId="4" numFmtId="0" xfId="0" applyAlignment="1" applyBorder="1" applyFont="1">
      <alignment readingOrder="0" shrinkToFit="0" vertical="center" wrapText="0"/>
    </xf>
    <xf borderId="2" fillId="16" fontId="4" numFmtId="0" xfId="0" applyAlignment="1" applyBorder="1" applyFont="1">
      <alignment shrinkToFit="0" vertical="center" wrapText="0"/>
    </xf>
    <xf borderId="2" fillId="16" fontId="6" numFmtId="0" xfId="0" applyAlignment="1" applyBorder="1" applyFont="1">
      <alignment readingOrder="0" shrinkToFit="0" vertical="center" wrapText="0"/>
    </xf>
    <xf borderId="2" fillId="16" fontId="10" numFmtId="0" xfId="0" applyAlignment="1" applyBorder="1" applyFont="1">
      <alignment readingOrder="0" shrinkToFit="0" vertical="center" wrapText="0"/>
    </xf>
    <xf borderId="2" fillId="16" fontId="12" numFmtId="0" xfId="0" applyAlignment="1" applyBorder="1" applyFont="1">
      <alignment readingOrder="0" shrinkToFit="0" vertical="center" wrapText="0"/>
    </xf>
    <xf borderId="2" fillId="16" fontId="9" numFmtId="0" xfId="0" applyAlignment="1" applyBorder="1" applyFont="1">
      <alignment readingOrder="0" shrinkToFit="0" vertical="center" wrapText="0"/>
    </xf>
    <xf borderId="2" fillId="16" fontId="13" numFmtId="0" xfId="0" applyAlignment="1" applyBorder="1" applyFont="1">
      <alignment readingOrder="0" shrinkToFit="0" vertical="center" wrapText="0"/>
    </xf>
    <xf borderId="2" fillId="16" fontId="22" numFmtId="0" xfId="0" applyAlignment="1" applyBorder="1" applyFont="1">
      <alignment readingOrder="0" shrinkToFit="0" vertical="center" wrapText="0"/>
    </xf>
    <xf borderId="2" fillId="16" fontId="4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2" pivot="0" name="DS-style">
      <tableStyleElement dxfId="1" type="firstRowStripe"/>
      <tableStyleElement dxfId="2" type="secondRowStripe"/>
    </tableStyle>
    <tableStyle count="2" pivot="0" name="DS-style 2">
      <tableStyleElement dxfId="1" type="firstRowStripe"/>
      <tableStyleElement dxfId="2" type="secondRowStripe"/>
    </tableStyle>
    <tableStyle count="2" pivot="0" name="DS-style 3">
      <tableStyleElement dxfId="2" type="firstRowStripe"/>
      <tableStyleElement dxfId="1" type="secondRowStripe"/>
    </tableStyle>
    <tableStyle count="2" pivot="0" name="DS-style 4">
      <tableStyleElement dxfId="2" type="firstRowStripe"/>
      <tableStyleElement dxfId="1" type="secondRowStripe"/>
    </tableStyle>
    <tableStyle count="2" pivot="0" name="DS-style 5">
      <tableStyleElement dxfId="2" type="firstRowStripe"/>
      <tableStyleElement dxfId="1" type="secondRowStripe"/>
    </tableStyle>
    <tableStyle count="2" pivot="0" name="DS-style 6">
      <tableStyleElement dxfId="2" type="firstRowStripe"/>
      <tableStyleElement dxfId="1" type="secondRowStripe"/>
    </tableStyle>
    <tableStyle count="2" pivot="0" name="DS-style 7">
      <tableStyleElement dxfId="1" type="firstRowStripe"/>
      <tableStyleElement dxfId="2" type="secondRowStripe"/>
    </tableStyle>
    <tableStyle count="5" pivot="0" name="Form responses 1-style">
      <tableStyleElement dxfId="3" type="headerRow"/>
      <tableStyleElement dxfId="1" type="firstRowStripe"/>
      <tableStyleElement dxfId="2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12bbe73e-7046-4a9b-b4fc-54fc2f40dd5c}" providerId="google-sheets"/>
</x18tc:personList>
</file>

<file path=xl/tables/table1.xml><?xml version="1.0" encoding="utf-8"?>
<table xmlns="http://schemas.openxmlformats.org/spreadsheetml/2006/main" totalsRowCount="1" ref="A1:BE77" displayName="Form_Responses" name="Form_Responses" id="8">
  <tableColumns count="57">
    <tableColumn name="#" id="1"/>
    <tableColumn name="Timestamp" id="2"/>
    <tableColumn name="Email address" id="3"/>
    <tableColumn name="Surveyor Name" id="4"/>
    <tableColumn name="Road Name (Main)" id="5"/>
    <tableColumn name="Road Name (Cross)" id="6"/>
    <tableColumn name="Area Name" id="7"/>
    <tableColumn totalsRowFunction="custom"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C7:D9" displayName="Table_1" name="Table_1" id="1">
  <tableColumns count="2">
    <tableColumn name="Column1" id="1"/>
    <tableColumn name="Column2" id="2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C13" displayName="Table_2" name="Table_2" id="2">
  <tableColumns count="1">
    <tableColumn name="Column1" id="1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19:C23" displayName="Table_3" name="Table_3" id="3">
  <tableColumns count="1">
    <tableColumn name="Column1" id="1"/>
  </tableColumns>
  <tableStyleInfo name="D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4:D29" displayName="Table_4" name="Table_4" id="4">
  <tableColumns count="2">
    <tableColumn name="Column1" id="1"/>
    <tableColumn name="Column2" id="2"/>
  </tableColumns>
  <tableStyleInfo name="D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4:C40" displayName="Table_5" name="Table_5" id="5">
  <tableColumns count="1">
    <tableColumn name="Column1" id="1"/>
  </tableColumns>
  <tableStyleInfo name="D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41:C76" displayName="Table_6" name="Table_6" id="6">
  <tableColumns count="1">
    <tableColumn name="Column1" id="1"/>
  </tableColumns>
  <tableStyleInfo name="DS-style 6" showColumnStripes="0" showFirstColumn="1" showLastColumn="1" showRowStripes="1"/>
</table>
</file>

<file path=xl/tables/table8.xml><?xml version="1.0" encoding="utf-8"?>
<table xmlns="http://schemas.openxmlformats.org/spreadsheetml/2006/main" headerRowCount="0" ref="C78:C90" displayName="Table_7" name="Table_7" id="7">
  <tableColumns count="1">
    <tableColumn name="Column1" id="1"/>
  </tableColumns>
  <tableStyleInfo name="D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7" dT="2026-07-26T22:33:09.00" personId="{12bbe73e-7046-4a9b-b4fc-54fc2f40dd5c}" id="{0008e1bc-beda-4980-8ba7-903f6cbe46d6}" done="0">
    <x18tc:text xml:space="preserve">Nithin: I think we forgot to add 'saucer drain'. We need to add this if we have missed out on this.</x18tc:text>
  </x18tc:threadedComment>
  <x18tc:threadedComment ref="H60" dT="2026-07-26T23:09:06.00" personId="{12bbe73e-7046-4a9b-b4fc-54fc2f40dd5c}" id="{6fa4e3f2-a40e-423a-a877-533ee6eb9247}" done="0">
    <x18tc:text xml:space="preserve">Ward Surveyor: I need proper distance not location details.</x18tc:text>
  </x18tc:threadedComment>
  <x18tc:threadedComment ref="T63" dT="2026-07-26T22:18:36.00" personId="{12bbe73e-7046-4a9b-b4fc-54fc2f40dd5c}" id="{1f8e5b8f-87d7-4988-a75d-421add60a3d1}" done="0">
    <x18tc:text xml:space="preserve">Ward surveyor: If footpath is not existing then there is no need to mention side. Just put: n/a or 0 as required. Unnecessary data creates logical fallacies. Have made changes as per comments but should not happen in the future.</x18tc:text>
  </x18tc:threadedComment>
  <x18tc:threadedComment ref="L14" dT="2026-07-26T22:10:29.00" personId="{12bbe73e-7046-4a9b-b4fc-54fc2f40dd5c}" id="{316defb5-b2de-47de-b694-7b619e6e66a4}" done="0">
    <x18tc:text xml:space="preserve">Ward surveyor: need to know material. If nothing then it is a mud road.</x18tc:text>
  </x18tc:threadedComment>
  <x18tc:threadedComment ref="I2" dT="2026-07-26T22:04:35.00" personId="{12bbe73e-7046-4a9b-b4fc-54fc2f40dd5c}" id="{06aeb22d-8b4f-4a42-b5cf-ab6a9b03ffe7}" done="0">
    <x18tc:text xml:space="preserve">Ward surveyors: need to add the locations for these roads.</x18tc:text>
  </x18tc:threadedComment>
  <x18tc:threadedComment ref="P58" dT="2026-07-26T22:20:46.00" personId="{12bbe73e-7046-4a9b-b4fc-54fc2f40dd5c}" id="{3bb2ea87-3992-4de9-a744-98b7f38183f9}" done="0">
    <x18tc:text xml:space="preserve">This was a mistake. No need to put bund. there is no foot path space as per comments. Avoid such errors. Lot of data cleaning is required and that is a waste of time.</x18tc:text>
  </x18tc:threadedComment>
  <x18tc:threadedComment ref="N16" dT="2026-07-26T22:12:25.00" personId="{12bbe73e-7046-4a9b-b4fc-54fc2f40dd5c}" id="{84b76624-04c0-4f4f-8e8c-72484d9643cc}" done="0">
    <x18tc:text xml:space="preserve">Nithin: Survey forms maintenance is spelled wrong, it is spelled as "maintiance" change that on all forms.</x18tc:text>
  </x18tc:threadedComment>
  <x18tc:threadedComment ref="P54" dT="2026-07-26T22:21:22.00" personId="{12bbe73e-7046-4a9b-b4fc-54fc2f40dd5c}" id="{805070a1-eb3d-4871-b708-f79deeb799d0}" done="0">
    <x18tc:text xml:space="preserve">Footpath does not exist but you put pavers this again is false data entry.</x18tc:text>
  </x18tc:threadedComment>
  <x18tc:threadedComment ref="AR28" dT="2026-07-26T22:46:31.00" personId="{12bbe73e-7046-4a9b-b4fc-54fc2f40dd5c}" id="{613667a3-0473-46a0-9f10-102f30a6455b}" done="0">
    <x18tc:text xml:space="preserve">Ward surveyor: you need to stick to 1 metric. We are using mm, switching to inches will cause miscalculations. i.e NASA $125 million Mars Climate Orbiter to crash in 1999.
Nithin: change these to metric units.</x18tc:text>
  </x18tc:threadedComment>
  <x18tc:threadedComment ref="S4" dT="2026-07-26T22:23:25.00" personId="{12bbe73e-7046-4a9b-b4fc-54fc2f40dd5c}" id="{06ee0123-fffc-40be-93cb-b8193202ebae}" done="0">
    <x18tc:text xml:space="preserve">Ward surveyor: I think you have course corrected on this. Good job but again. Multiple contradictory statements, Condition = required, comment = no existing attachment. Clarity on existing situation required.</x18tc:text>
  </x18tc:threadedComment>
  <x18tc:threadedComment ref="K13" dT="2026-07-26T22:09:04.00" personId="{12bbe73e-7046-4a9b-b4fc-54fc2f40dd5c}" id="{e631d48b-670e-439e-b354-b7c997ac7e95}" done="0">
    <x18tc:text xml:space="preserve">Nithin: R-Conservency needs to be changed to Conservency on survey forms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hWnH4vcXUqwkL7hd8" TargetMode="External"/><Relationship Id="rId42" Type="http://schemas.openxmlformats.org/officeDocument/2006/relationships/hyperlink" Target="https://maps.app.goo.gl/wMURHzxxVFpsnTCH7" TargetMode="External"/><Relationship Id="rId41" Type="http://schemas.openxmlformats.org/officeDocument/2006/relationships/hyperlink" Target="https://maps.app.goo.gl/Fup4JNqkbQ2QHLVV7?g_st=ac" TargetMode="External"/><Relationship Id="rId44" Type="http://schemas.openxmlformats.org/officeDocument/2006/relationships/hyperlink" Target="https://maps.app.goo.gl/raisQufUmrBY9cGw5?g_st=ac" TargetMode="External"/><Relationship Id="rId43" Type="http://schemas.openxmlformats.org/officeDocument/2006/relationships/hyperlink" Target="https://maps.app.goo.gl/gfdTZVKNke8z9Wje9" TargetMode="External"/><Relationship Id="rId46" Type="http://schemas.openxmlformats.org/officeDocument/2006/relationships/hyperlink" Target="https://maps.app.goo.gl/nN6F7fhs5phSSNW47" TargetMode="External"/><Relationship Id="rId45" Type="http://schemas.openxmlformats.org/officeDocument/2006/relationships/hyperlink" Target="https://maps.app.goo.gl/xR5edxNNJLNrMGiy5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Z49PYuAGhwDWY59o9" TargetMode="External"/><Relationship Id="rId9" Type="http://schemas.openxmlformats.org/officeDocument/2006/relationships/hyperlink" Target="https://maps.app.goo.gl/hXycaA2gv6ZKksSu9?g_st=ac" TargetMode="External"/><Relationship Id="rId48" Type="http://schemas.openxmlformats.org/officeDocument/2006/relationships/hyperlink" Target="https://maps.app.goo.gl/jyWXartJ4NXkT4dR6?g_st=ac" TargetMode="External"/><Relationship Id="rId47" Type="http://schemas.openxmlformats.org/officeDocument/2006/relationships/hyperlink" Target="https://maps.app.goo.gl/UGR6Tf8F1Z5vQgNn9" TargetMode="External"/><Relationship Id="rId49" Type="http://schemas.openxmlformats.org/officeDocument/2006/relationships/hyperlink" Target="https://maps.app.goo.gl/tPHpu5js7HvojjNN6?g_st=ac" TargetMode="External"/><Relationship Id="rId5" Type="http://schemas.openxmlformats.org/officeDocument/2006/relationships/hyperlink" Target="https://maps.app.goo.gl/P4E51ihXg5LzbcHb7" TargetMode="External"/><Relationship Id="rId6" Type="http://schemas.openxmlformats.org/officeDocument/2006/relationships/hyperlink" Target="https://maps.app.goo.gl/EeMgWCb33e8tLXHp9?g_st=ac" TargetMode="External"/><Relationship Id="rId7" Type="http://schemas.openxmlformats.org/officeDocument/2006/relationships/hyperlink" Target="https://maps.app.goo.gl/dkhhZcoX8uvAdN9VA?g_st=ac" TargetMode="External"/><Relationship Id="rId8" Type="http://schemas.openxmlformats.org/officeDocument/2006/relationships/hyperlink" Target="https://maps.app.goo.gl/bnm4b5Ebtmqjf9tb6?g_st=ac" TargetMode="External"/><Relationship Id="rId31" Type="http://schemas.openxmlformats.org/officeDocument/2006/relationships/hyperlink" Target="https://maps.app.goo.gl/yEGJBSs2pDu5TgUF9" TargetMode="External"/><Relationship Id="rId30" Type="http://schemas.openxmlformats.org/officeDocument/2006/relationships/hyperlink" Target="https://maps.app.goo.gl/jjMmdVZ7Y3t4CEiQ7?g_st=ac" TargetMode="External"/><Relationship Id="rId33" Type="http://schemas.openxmlformats.org/officeDocument/2006/relationships/hyperlink" Target="https://maps.app.goo.gl/v9vC3ToCTrv4Maqu8?g_st=ac" TargetMode="External"/><Relationship Id="rId32" Type="http://schemas.openxmlformats.org/officeDocument/2006/relationships/hyperlink" Target="https://maps.app.goo.gl/oFYZ3bZtpKyWmvgW6?g_st=ac" TargetMode="External"/><Relationship Id="rId35" Type="http://schemas.openxmlformats.org/officeDocument/2006/relationships/hyperlink" Target="https://maps.app.goo.gl/HPoPae5TomKj1ftu5" TargetMode="External"/><Relationship Id="rId34" Type="http://schemas.openxmlformats.org/officeDocument/2006/relationships/hyperlink" Target="https://maps.app.goo.gl/vccMcyb6uCFCgKmb9" TargetMode="External"/><Relationship Id="rId37" Type="http://schemas.openxmlformats.org/officeDocument/2006/relationships/hyperlink" Target="https://maps.app.goo.gl/Ky2p7DabPqiMkv4F7?g_st=ac" TargetMode="External"/><Relationship Id="rId36" Type="http://schemas.openxmlformats.org/officeDocument/2006/relationships/hyperlink" Target="https://maps.app.goo.gl/vATSSiCdhDfqfuM96?g_st=ac" TargetMode="External"/><Relationship Id="rId39" Type="http://schemas.openxmlformats.org/officeDocument/2006/relationships/hyperlink" Target="https://maps.app.goo.gl/9A5wd6Hv82x1qdTe7?g_st=ac" TargetMode="External"/><Relationship Id="rId38" Type="http://schemas.openxmlformats.org/officeDocument/2006/relationships/hyperlink" Target="https://maps.app.goo.gl/jm2BRh1q8KRMRtwK8?g_st=ac" TargetMode="External"/><Relationship Id="rId20" Type="http://schemas.openxmlformats.org/officeDocument/2006/relationships/hyperlink" Target="https://maps.app.goo.gl/VhZVs6i2W7bDAH5PA" TargetMode="External"/><Relationship Id="rId22" Type="http://schemas.openxmlformats.org/officeDocument/2006/relationships/hyperlink" Target="https://maps.app.goo.gl/v2U46wWZGFd6wLKG6?g_st=ac" TargetMode="External"/><Relationship Id="rId21" Type="http://schemas.openxmlformats.org/officeDocument/2006/relationships/hyperlink" Target="https://maps.app.goo.gl/YvwVTMNqHoiWbcEw9?g_st=ac" TargetMode="External"/><Relationship Id="rId24" Type="http://schemas.openxmlformats.org/officeDocument/2006/relationships/hyperlink" Target="https://maps.app.goo.gl/7dystqmVthHb8EGh7?g_st=ac" TargetMode="External"/><Relationship Id="rId23" Type="http://schemas.openxmlformats.org/officeDocument/2006/relationships/hyperlink" Target="https://maps.app.goo.gl/bt5zuDjDMEuLPn2D8?g_st=ac" TargetMode="External"/><Relationship Id="rId26" Type="http://schemas.openxmlformats.org/officeDocument/2006/relationships/hyperlink" Target="https://maps.app.goo.gl/RFgRXp7auaoay39T9" TargetMode="External"/><Relationship Id="rId25" Type="http://schemas.openxmlformats.org/officeDocument/2006/relationships/hyperlink" Target="https://maps.app.goo.gl/w6q13exaGSC6SCuy8" TargetMode="External"/><Relationship Id="rId28" Type="http://schemas.openxmlformats.org/officeDocument/2006/relationships/hyperlink" Target="https://maps.app.goo.gl/KRZ5ZTZ1b8Rnz8cS8?g_st=ac" TargetMode="External"/><Relationship Id="rId27" Type="http://schemas.openxmlformats.org/officeDocument/2006/relationships/hyperlink" Target="https://maps.app.goo.gl/SP7QfHB1DFnp1jTt6?g_st=ac" TargetMode="External"/><Relationship Id="rId29" Type="http://schemas.openxmlformats.org/officeDocument/2006/relationships/hyperlink" Target="https://maps.app.goo.gl/PJKUK25Bh8S5TKcs6" TargetMode="External"/><Relationship Id="rId51" Type="http://schemas.openxmlformats.org/officeDocument/2006/relationships/vmlDrawing" Target="../drawings/vmlDrawing1.vml"/><Relationship Id="rId50" Type="http://schemas.openxmlformats.org/officeDocument/2006/relationships/drawing" Target="../drawings/drawing1.xml"/><Relationship Id="rId53" Type="http://schemas.openxmlformats.org/officeDocument/2006/relationships/table" Target="../tables/table1.xml"/><Relationship Id="rId11" Type="http://schemas.openxmlformats.org/officeDocument/2006/relationships/hyperlink" Target="https://maps.app.goo.gl/rHKUZ1WpEvDxrwt37?g_st=ac" TargetMode="External"/><Relationship Id="rId10" Type="http://schemas.openxmlformats.org/officeDocument/2006/relationships/hyperlink" Target="https://maps.app.goo.gl/vzAk3Feg2GFbAALX8?g_st=ac" TargetMode="External"/><Relationship Id="rId13" Type="http://schemas.openxmlformats.org/officeDocument/2006/relationships/hyperlink" Target="https://maps.app.goo.gl/mcZL1toBs3mcv96b7?g_st=ac" TargetMode="External"/><Relationship Id="rId12" Type="http://schemas.openxmlformats.org/officeDocument/2006/relationships/hyperlink" Target="https://maps.app.goo.gl/ubvRsAKEZSBjDchK6?g_st=ac" TargetMode="External"/><Relationship Id="rId15" Type="http://schemas.openxmlformats.org/officeDocument/2006/relationships/hyperlink" Target="https://maps.app.goo.gl/d65PjHrtMVSi6CnE9" TargetMode="External"/><Relationship Id="rId14" Type="http://schemas.openxmlformats.org/officeDocument/2006/relationships/hyperlink" Target="https://maps.app.goo.gl/cnSQbJ7whb2rrvoy7?g_st=ac" TargetMode="External"/><Relationship Id="rId17" Type="http://schemas.openxmlformats.org/officeDocument/2006/relationships/hyperlink" Target="https://maps.app.goo.gl/Dkoki7tnirN5Wh6D9?g_st=ac" TargetMode="External"/><Relationship Id="rId16" Type="http://schemas.openxmlformats.org/officeDocument/2006/relationships/hyperlink" Target="https://maps.app.goo.gl/zEFuScnT9n4Ubg5x9?g_st=ac" TargetMode="External"/><Relationship Id="rId19" Type="http://schemas.openxmlformats.org/officeDocument/2006/relationships/hyperlink" Target="https://goo.gl/maps/Cao2Ews4qX328fuG8" TargetMode="External"/><Relationship Id="rId18" Type="http://schemas.openxmlformats.org/officeDocument/2006/relationships/hyperlink" Target="https://maps.app.goo.gl/q8QPJYKpbUkf8bN69?g_st=a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?api=1&amp;query=14.4732522,75.9192997" TargetMode="External"/><Relationship Id="rId2" Type="http://schemas.openxmlformats.org/officeDocument/2006/relationships/hyperlink" Target="https://www.google.com/maps/search/?api=1&amp;query=14.4751098,75.9190651" TargetMode="External"/><Relationship Id="rId3" Type="http://schemas.openxmlformats.org/officeDocument/2006/relationships/hyperlink" Target="https://www.google.com/maps/search/?api=1&amp;query=14.4739541,75.9191241" TargetMode="External"/><Relationship Id="rId4" Type="http://schemas.openxmlformats.org/officeDocument/2006/relationships/hyperlink" Target="https://www.google.com/maps/search/?api=1&amp;query=14.473621,75.9188915" TargetMode="External"/><Relationship Id="rId5" Type="http://schemas.openxmlformats.org/officeDocument/2006/relationships/hyperlink" Target="https://www.google.com/maps/search/?api=1&amp;query=14.4758399,75.9236194" TargetMode="External"/><Relationship Id="rId6" Type="http://schemas.openxmlformats.org/officeDocument/2006/relationships/hyperlink" Target="https://www.google.com/maps/search/?api=1&amp;query=14.4766888,75.9286087" TargetMode="External"/><Relationship Id="rId7" Type="http://schemas.openxmlformats.org/officeDocument/2006/relationships/hyperlink" Target="https://www.google.com/maps/search/?api=1&amp;query=14.4741054,75.9205325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hidden="1" min="2" max="4" width="18.88"/>
    <col customWidth="1" min="5" max="5" width="19.0"/>
    <col customWidth="1" min="6" max="6" width="16.25"/>
    <col customWidth="1" min="7" max="7" width="14.63"/>
    <col customWidth="1" min="8" max="8" width="9.63"/>
    <col customWidth="1" min="9" max="9" width="13.13"/>
    <col customWidth="1" min="10" max="10" width="9.5"/>
    <col customWidth="1" min="11" max="11" width="11.88"/>
    <col customWidth="1" min="12" max="12" width="11.38"/>
    <col customWidth="1" min="13" max="13" width="9.63"/>
    <col customWidth="1" min="14" max="14" width="12.88"/>
    <col customWidth="1" min="15" max="15" width="9.75"/>
    <col customWidth="1" min="16" max="20" width="15.75"/>
    <col customWidth="1" hidden="1" min="21" max="25" width="15.75"/>
    <col customWidth="1" min="26" max="26" width="10.38"/>
    <col customWidth="1" min="27" max="31" width="15.63"/>
    <col customWidth="1" hidden="1" min="32" max="36" width="15.63"/>
    <col customWidth="1" min="37" max="37" width="13.13"/>
    <col customWidth="1" min="38" max="47" width="13.25"/>
    <col customWidth="1" min="48" max="48" width="18.88"/>
    <col customWidth="1" min="49" max="52" width="13.25"/>
    <col customWidth="1" min="53" max="55" width="13.0"/>
    <col customWidth="1" min="56" max="57" width="13.25"/>
    <col customWidth="1" hidden="1" min="58" max="63" width="18.88"/>
  </cols>
  <sheetData>
    <row r="1" ht="28.5" customHeight="1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19</v>
      </c>
      <c r="M1" s="9" t="s">
        <v>20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28</v>
      </c>
      <c r="T1" s="9" t="s">
        <v>29</v>
      </c>
      <c r="U1" s="9" t="s">
        <v>30</v>
      </c>
      <c r="V1" s="9" t="s">
        <v>32</v>
      </c>
      <c r="W1" s="9" t="s">
        <v>36</v>
      </c>
      <c r="X1" s="9" t="s">
        <v>40</v>
      </c>
      <c r="Y1" s="9" t="s">
        <v>41</v>
      </c>
      <c r="Z1" s="9" t="s">
        <v>43</v>
      </c>
      <c r="AA1" s="9" t="s">
        <v>44</v>
      </c>
      <c r="AB1" s="9" t="s">
        <v>46</v>
      </c>
      <c r="AC1" s="9" t="s">
        <v>49</v>
      </c>
      <c r="AD1" s="9" t="s">
        <v>52</v>
      </c>
      <c r="AE1" s="9" t="s">
        <v>54</v>
      </c>
      <c r="AF1" s="9" t="s">
        <v>56</v>
      </c>
      <c r="AG1" s="9" t="s">
        <v>57</v>
      </c>
      <c r="AH1" s="9" t="s">
        <v>59</v>
      </c>
      <c r="AI1" s="9" t="s">
        <v>60</v>
      </c>
      <c r="AJ1" s="9" t="s">
        <v>62</v>
      </c>
      <c r="AK1" s="9" t="s">
        <v>63</v>
      </c>
      <c r="AL1" s="9" t="s">
        <v>64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71</v>
      </c>
      <c r="AR1" s="9" t="s">
        <v>72</v>
      </c>
      <c r="AS1" s="9" t="s">
        <v>75</v>
      </c>
      <c r="AT1" s="9" t="s">
        <v>76</v>
      </c>
      <c r="AU1" s="9" t="s">
        <v>77</v>
      </c>
      <c r="AV1" s="9" t="s">
        <v>79</v>
      </c>
      <c r="AW1" s="9" t="s">
        <v>80</v>
      </c>
      <c r="AX1" s="9" t="s">
        <v>81</v>
      </c>
      <c r="AY1" s="9" t="s">
        <v>83</v>
      </c>
      <c r="AZ1" s="9" t="s">
        <v>85</v>
      </c>
      <c r="BA1" s="9" t="s">
        <v>86</v>
      </c>
      <c r="BB1" s="9" t="s">
        <v>87</v>
      </c>
      <c r="BC1" s="9" t="s">
        <v>88</v>
      </c>
      <c r="BD1" s="9" t="s">
        <v>89</v>
      </c>
      <c r="BE1" s="9" t="s">
        <v>92</v>
      </c>
      <c r="BF1" s="42"/>
      <c r="BG1" s="42"/>
      <c r="BH1" s="42"/>
      <c r="BI1" s="42"/>
      <c r="BJ1" s="42"/>
      <c r="BK1" s="42"/>
    </row>
    <row r="2" ht="13.5" customHeight="1">
      <c r="A2" s="45">
        <v>1.0</v>
      </c>
      <c r="B2" s="46">
        <v>46224.48286748843</v>
      </c>
      <c r="C2" s="47" t="s">
        <v>97</v>
      </c>
      <c r="D2" s="47" t="s">
        <v>99</v>
      </c>
      <c r="E2" s="47" t="s">
        <v>100</v>
      </c>
      <c r="F2" s="48"/>
      <c r="G2" s="48"/>
      <c r="H2" s="48"/>
      <c r="I2" s="50" t="s">
        <v>103</v>
      </c>
      <c r="J2" s="51" t="s">
        <v>61</v>
      </c>
      <c r="K2" s="52" t="s">
        <v>105</v>
      </c>
      <c r="L2" s="51" t="s">
        <v>106</v>
      </c>
      <c r="M2" s="47">
        <v>4.3</v>
      </c>
      <c r="N2" s="51" t="s">
        <v>107</v>
      </c>
      <c r="O2" s="54" t="s">
        <v>108</v>
      </c>
      <c r="P2" s="48"/>
      <c r="Q2" s="47">
        <v>1.5</v>
      </c>
      <c r="R2" s="57">
        <v>42572.0</v>
      </c>
      <c r="S2" s="58" t="s">
        <v>111</v>
      </c>
      <c r="T2" s="47" t="s">
        <v>112</v>
      </c>
      <c r="U2" s="48"/>
      <c r="V2" s="48"/>
      <c r="W2" s="48"/>
      <c r="X2" s="48"/>
      <c r="Y2" s="48"/>
      <c r="Z2" s="61" t="s">
        <v>114</v>
      </c>
      <c r="AA2" s="62" t="s">
        <v>115</v>
      </c>
      <c r="AB2" s="47">
        <v>1.2</v>
      </c>
      <c r="AC2" s="57">
        <v>42572.0</v>
      </c>
      <c r="AD2" s="63" t="s">
        <v>116</v>
      </c>
      <c r="AE2" s="47" t="s">
        <v>112</v>
      </c>
      <c r="AF2" s="48"/>
      <c r="AG2" s="48"/>
      <c r="AH2" s="48"/>
      <c r="AI2" s="48"/>
      <c r="AJ2" s="48"/>
      <c r="AK2" s="54" t="s">
        <v>108</v>
      </c>
      <c r="AL2" s="51" t="s">
        <v>120</v>
      </c>
      <c r="AM2" s="47">
        <v>0.6</v>
      </c>
      <c r="AN2" s="57">
        <v>44763.0</v>
      </c>
      <c r="AO2" s="51" t="s">
        <v>107</v>
      </c>
      <c r="AP2" s="48"/>
      <c r="AQ2" s="61" t="s">
        <v>114</v>
      </c>
      <c r="AR2" s="47">
        <v>0.45</v>
      </c>
      <c r="AS2" s="57">
        <v>42572.0</v>
      </c>
      <c r="AT2" s="51" t="s">
        <v>107</v>
      </c>
      <c r="AU2" s="47" t="s">
        <v>125</v>
      </c>
      <c r="AV2" s="51" t="s">
        <v>61</v>
      </c>
      <c r="AW2" s="70" t="s">
        <v>127</v>
      </c>
      <c r="AX2" s="57">
        <v>42206.0</v>
      </c>
      <c r="AY2" s="47">
        <v>0.225</v>
      </c>
      <c r="AZ2" s="75" t="s">
        <v>129</v>
      </c>
      <c r="BA2" s="51" t="s">
        <v>61</v>
      </c>
      <c r="BB2" s="51" t="s">
        <v>107</v>
      </c>
      <c r="BC2" s="48"/>
      <c r="BD2" s="51" t="s">
        <v>133</v>
      </c>
      <c r="BE2" s="51" t="s">
        <v>107</v>
      </c>
      <c r="BF2" s="28"/>
      <c r="BG2" s="28"/>
      <c r="BH2" s="28"/>
      <c r="BI2" s="28"/>
      <c r="BJ2" s="28"/>
      <c r="BK2" s="28"/>
    </row>
    <row r="3" ht="13.5" customHeight="1">
      <c r="A3" s="76">
        <v>2.0</v>
      </c>
      <c r="B3" s="77">
        <v>46224.497111793986</v>
      </c>
      <c r="C3" s="79" t="s">
        <v>97</v>
      </c>
      <c r="D3" s="79" t="s">
        <v>138</v>
      </c>
      <c r="E3" s="79" t="s">
        <v>121</v>
      </c>
      <c r="F3" s="79" t="s">
        <v>140</v>
      </c>
      <c r="G3" s="82"/>
      <c r="H3" s="79">
        <v>98.0</v>
      </c>
      <c r="I3" s="50" t="s">
        <v>103</v>
      </c>
      <c r="J3" s="51" t="s">
        <v>61</v>
      </c>
      <c r="K3" s="51" t="s">
        <v>121</v>
      </c>
      <c r="L3" s="51" t="s">
        <v>106</v>
      </c>
      <c r="M3" s="79">
        <v>2.3</v>
      </c>
      <c r="N3" s="51" t="s">
        <v>107</v>
      </c>
      <c r="O3" s="54" t="s">
        <v>108</v>
      </c>
      <c r="P3" s="82"/>
      <c r="Q3" s="82"/>
      <c r="R3" s="82"/>
      <c r="S3" s="63" t="s">
        <v>116</v>
      </c>
      <c r="T3" s="79" t="s">
        <v>144</v>
      </c>
      <c r="U3" s="82"/>
      <c r="V3" s="79"/>
      <c r="W3" s="82"/>
      <c r="X3" s="82"/>
      <c r="Y3" s="79"/>
      <c r="Z3" s="61" t="s">
        <v>114</v>
      </c>
      <c r="AA3" s="82"/>
      <c r="AB3" s="79">
        <v>0.45</v>
      </c>
      <c r="AC3" s="87">
        <v>44398.0</v>
      </c>
      <c r="AD3" s="51" t="s">
        <v>107</v>
      </c>
      <c r="AE3" s="79" t="s">
        <v>107</v>
      </c>
      <c r="AF3" s="82"/>
      <c r="AG3" s="79"/>
      <c r="AH3" s="87"/>
      <c r="AI3" s="79"/>
      <c r="AJ3" s="82"/>
      <c r="AK3" s="92" t="s">
        <v>149</v>
      </c>
      <c r="AL3" s="51" t="s">
        <v>120</v>
      </c>
      <c r="AM3" s="79">
        <v>0.46</v>
      </c>
      <c r="AN3" s="87">
        <v>44398.0</v>
      </c>
      <c r="AO3" s="51" t="s">
        <v>107</v>
      </c>
      <c r="AP3" s="79" t="s">
        <v>151</v>
      </c>
      <c r="AQ3" s="82"/>
      <c r="AR3" s="82"/>
      <c r="AS3" s="82"/>
      <c r="AT3" s="82"/>
      <c r="AU3" s="79" t="s">
        <v>74</v>
      </c>
      <c r="AV3" s="51" t="s">
        <v>61</v>
      </c>
      <c r="AW3" s="70" t="s">
        <v>127</v>
      </c>
      <c r="AX3" s="87">
        <v>44763.0</v>
      </c>
      <c r="AY3" s="79">
        <v>0.225</v>
      </c>
      <c r="AZ3" s="51" t="s">
        <v>107</v>
      </c>
      <c r="BA3" s="51" t="s">
        <v>61</v>
      </c>
      <c r="BB3" s="51" t="s">
        <v>107</v>
      </c>
      <c r="BC3" s="82"/>
      <c r="BD3" s="52" t="s">
        <v>153</v>
      </c>
      <c r="BE3" s="51" t="s">
        <v>107</v>
      </c>
      <c r="BF3" s="28"/>
      <c r="BG3" s="28"/>
      <c r="BH3" s="28"/>
      <c r="BI3" s="28"/>
      <c r="BJ3" s="28"/>
      <c r="BK3" s="28"/>
    </row>
    <row r="4" ht="13.5" customHeight="1">
      <c r="A4" s="76">
        <v>3.0</v>
      </c>
      <c r="B4" s="77">
        <v>46224.50305605324</v>
      </c>
      <c r="C4" s="79" t="s">
        <v>97</v>
      </c>
      <c r="D4" s="79" t="s">
        <v>138</v>
      </c>
      <c r="E4" s="79" t="s">
        <v>158</v>
      </c>
      <c r="F4" s="79">
        <v>11.0</v>
      </c>
      <c r="G4" s="79" t="s">
        <v>159</v>
      </c>
      <c r="H4" s="79">
        <v>100.23</v>
      </c>
      <c r="I4" s="50" t="s">
        <v>103</v>
      </c>
      <c r="J4" s="51" t="s">
        <v>61</v>
      </c>
      <c r="K4" s="52" t="s">
        <v>105</v>
      </c>
      <c r="L4" s="51" t="s">
        <v>106</v>
      </c>
      <c r="M4" s="79">
        <v>3.8</v>
      </c>
      <c r="N4" s="51" t="s">
        <v>107</v>
      </c>
      <c r="O4" s="54" t="s">
        <v>108</v>
      </c>
      <c r="P4" s="82"/>
      <c r="Q4" s="79">
        <v>1.0</v>
      </c>
      <c r="R4" s="87">
        <v>42572.0</v>
      </c>
      <c r="S4" s="63" t="s">
        <v>116</v>
      </c>
      <c r="T4" s="79" t="s">
        <v>163</v>
      </c>
      <c r="U4" s="82"/>
      <c r="V4" s="79"/>
      <c r="W4" s="87"/>
      <c r="X4" s="79"/>
      <c r="Y4" s="82"/>
      <c r="Z4" s="61" t="s">
        <v>114</v>
      </c>
      <c r="AA4" s="82"/>
      <c r="AB4" s="82"/>
      <c r="AC4" s="87">
        <v>42572.0</v>
      </c>
      <c r="AD4" s="63" t="s">
        <v>116</v>
      </c>
      <c r="AE4" s="82"/>
      <c r="AF4" s="82"/>
      <c r="AG4" s="82"/>
      <c r="AH4" s="82"/>
      <c r="AI4" s="82"/>
      <c r="AJ4" s="82"/>
      <c r="AK4" s="54" t="s">
        <v>108</v>
      </c>
      <c r="AL4" s="51" t="s">
        <v>120</v>
      </c>
      <c r="AM4" s="79">
        <v>1.1</v>
      </c>
      <c r="AN4" s="87">
        <v>42572.0</v>
      </c>
      <c r="AO4" s="82"/>
      <c r="AP4" s="82"/>
      <c r="AQ4" s="61" t="s">
        <v>114</v>
      </c>
      <c r="AR4" s="82"/>
      <c r="AS4" s="87">
        <v>42572.0</v>
      </c>
      <c r="AT4" s="51" t="s">
        <v>107</v>
      </c>
      <c r="AU4" s="82"/>
      <c r="AV4" s="51" t="s">
        <v>61</v>
      </c>
      <c r="AW4" s="70" t="s">
        <v>127</v>
      </c>
      <c r="AX4" s="87">
        <v>42206.0</v>
      </c>
      <c r="AY4" s="79">
        <v>0.225</v>
      </c>
      <c r="AZ4" s="51" t="s">
        <v>107</v>
      </c>
      <c r="BA4" s="51" t="s">
        <v>61</v>
      </c>
      <c r="BB4" s="51" t="s">
        <v>107</v>
      </c>
      <c r="BC4" s="82"/>
      <c r="BD4" s="52" t="s">
        <v>153</v>
      </c>
      <c r="BE4" s="51" t="s">
        <v>107</v>
      </c>
      <c r="BF4" s="28"/>
      <c r="BG4" s="28"/>
      <c r="BH4" s="28"/>
      <c r="BI4" s="28"/>
      <c r="BJ4" s="28"/>
      <c r="BK4" s="28"/>
    </row>
    <row r="5" ht="13.5" customHeight="1">
      <c r="A5" s="45">
        <v>4.0</v>
      </c>
      <c r="B5" s="77">
        <v>46224.50783819445</v>
      </c>
      <c r="C5" s="79" t="s">
        <v>97</v>
      </c>
      <c r="D5" s="79" t="s">
        <v>138</v>
      </c>
      <c r="E5" s="79" t="s">
        <v>195</v>
      </c>
      <c r="F5" s="82"/>
      <c r="G5" s="79" t="s">
        <v>196</v>
      </c>
      <c r="H5" s="79">
        <v>108.6</v>
      </c>
      <c r="I5" s="50" t="s">
        <v>103</v>
      </c>
      <c r="J5" s="63" t="s">
        <v>74</v>
      </c>
      <c r="K5" s="52" t="s">
        <v>105</v>
      </c>
      <c r="L5" s="51" t="s">
        <v>106</v>
      </c>
      <c r="M5" s="79">
        <v>4.3</v>
      </c>
      <c r="N5" s="51" t="s">
        <v>107</v>
      </c>
      <c r="O5" s="58" t="s">
        <v>111</v>
      </c>
      <c r="P5" s="58" t="s">
        <v>111</v>
      </c>
      <c r="Q5" s="118">
        <v>0.0</v>
      </c>
      <c r="R5" s="118" t="s">
        <v>111</v>
      </c>
      <c r="S5" s="58" t="s">
        <v>111</v>
      </c>
      <c r="T5" s="79" t="s">
        <v>166</v>
      </c>
      <c r="U5" s="82"/>
      <c r="V5" s="82"/>
      <c r="W5" s="82"/>
      <c r="X5" s="82"/>
      <c r="Y5" s="79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79"/>
      <c r="AK5" s="54" t="s">
        <v>108</v>
      </c>
      <c r="AL5" s="51" t="s">
        <v>120</v>
      </c>
      <c r="AM5" s="79">
        <v>0.5</v>
      </c>
      <c r="AN5" s="87">
        <v>42572.0</v>
      </c>
      <c r="AO5" s="51" t="s">
        <v>107</v>
      </c>
      <c r="AP5" s="82"/>
      <c r="AQ5" s="61" t="s">
        <v>114</v>
      </c>
      <c r="AR5" s="79">
        <v>0.5</v>
      </c>
      <c r="AS5" s="87">
        <v>42572.0</v>
      </c>
      <c r="AT5" s="51" t="s">
        <v>107</v>
      </c>
      <c r="AU5" s="79" t="s">
        <v>107</v>
      </c>
      <c r="AV5" s="51" t="s">
        <v>61</v>
      </c>
      <c r="AW5" s="70" t="s">
        <v>127</v>
      </c>
      <c r="AX5" s="87">
        <v>42572.0</v>
      </c>
      <c r="AY5" s="79">
        <v>0.225</v>
      </c>
      <c r="AZ5" s="51" t="s">
        <v>107</v>
      </c>
      <c r="BA5" s="51" t="s">
        <v>61</v>
      </c>
      <c r="BB5" s="51" t="s">
        <v>107</v>
      </c>
      <c r="BC5" s="82"/>
      <c r="BD5" s="82"/>
      <c r="BE5" s="82"/>
      <c r="BF5" s="28"/>
      <c r="BG5" s="28"/>
      <c r="BH5" s="28"/>
      <c r="BI5" s="28"/>
      <c r="BJ5" s="28"/>
      <c r="BK5" s="28"/>
    </row>
    <row r="6" ht="13.5" customHeight="1">
      <c r="A6" s="76">
        <v>5.0</v>
      </c>
      <c r="B6" s="77">
        <v>46224.51412511574</v>
      </c>
      <c r="C6" s="79" t="s">
        <v>97</v>
      </c>
      <c r="D6" s="79" t="s">
        <v>138</v>
      </c>
      <c r="E6" s="79" t="s">
        <v>214</v>
      </c>
      <c r="F6" s="79" t="s">
        <v>217</v>
      </c>
      <c r="G6" s="79" t="s">
        <v>196</v>
      </c>
      <c r="H6" s="79">
        <v>124.7</v>
      </c>
      <c r="I6" s="50" t="s">
        <v>103</v>
      </c>
      <c r="J6" s="51" t="s">
        <v>61</v>
      </c>
      <c r="K6" s="52" t="s">
        <v>105</v>
      </c>
      <c r="L6" s="51" t="s">
        <v>106</v>
      </c>
      <c r="M6" s="79">
        <v>2.9</v>
      </c>
      <c r="N6" s="51" t="s">
        <v>107</v>
      </c>
      <c r="O6" s="54" t="s">
        <v>108</v>
      </c>
      <c r="P6" s="62" t="s">
        <v>115</v>
      </c>
      <c r="Q6" s="79">
        <v>1.0</v>
      </c>
      <c r="R6" s="87">
        <v>44033.0</v>
      </c>
      <c r="S6" s="63" t="s">
        <v>116</v>
      </c>
      <c r="T6" s="79" t="s">
        <v>220</v>
      </c>
      <c r="U6" s="79"/>
      <c r="V6" s="82"/>
      <c r="W6" s="82"/>
      <c r="X6" s="82"/>
      <c r="Y6" s="82"/>
      <c r="Z6" s="61" t="s">
        <v>114</v>
      </c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54" t="s">
        <v>108</v>
      </c>
      <c r="AL6" s="51" t="s">
        <v>120</v>
      </c>
      <c r="AM6" s="79">
        <v>0.5</v>
      </c>
      <c r="AN6" s="87">
        <v>42572.0</v>
      </c>
      <c r="AO6" s="124" t="s">
        <v>152</v>
      </c>
      <c r="AP6" s="79" t="s">
        <v>225</v>
      </c>
      <c r="AQ6" s="61" t="s">
        <v>114</v>
      </c>
      <c r="AR6" s="79">
        <v>0.5</v>
      </c>
      <c r="AS6" s="87">
        <v>42572.0</v>
      </c>
      <c r="AT6" s="51" t="s">
        <v>107</v>
      </c>
      <c r="AU6" s="79" t="s">
        <v>107</v>
      </c>
      <c r="AV6" s="51" t="s">
        <v>61</v>
      </c>
      <c r="AW6" s="70" t="s">
        <v>127</v>
      </c>
      <c r="AX6" s="87">
        <v>42572.0</v>
      </c>
      <c r="AY6" s="79">
        <v>0.225</v>
      </c>
      <c r="AZ6" s="51" t="s">
        <v>107</v>
      </c>
      <c r="BA6" s="51" t="s">
        <v>61</v>
      </c>
      <c r="BB6" s="51" t="s">
        <v>107</v>
      </c>
      <c r="BC6" s="82"/>
      <c r="BD6" s="52" t="s">
        <v>153</v>
      </c>
      <c r="BE6" s="51" t="s">
        <v>107</v>
      </c>
      <c r="BF6" s="28"/>
      <c r="BG6" s="28"/>
      <c r="BH6" s="28"/>
      <c r="BI6" s="28"/>
      <c r="BJ6" s="28"/>
      <c r="BK6" s="28"/>
    </row>
    <row r="7" ht="13.5" customHeight="1">
      <c r="A7" s="76">
        <v>6.0</v>
      </c>
      <c r="B7" s="77">
        <v>46224.51997421296</v>
      </c>
      <c r="C7" s="79" t="s">
        <v>97</v>
      </c>
      <c r="D7" s="79" t="s">
        <v>233</v>
      </c>
      <c r="E7" s="79" t="s">
        <v>234</v>
      </c>
      <c r="F7" s="82"/>
      <c r="G7" s="79" t="s">
        <v>196</v>
      </c>
      <c r="H7" s="79">
        <v>152.8</v>
      </c>
      <c r="I7" s="50" t="s">
        <v>103</v>
      </c>
      <c r="J7" s="51" t="s">
        <v>61</v>
      </c>
      <c r="K7" s="52" t="s">
        <v>105</v>
      </c>
      <c r="L7" s="51" t="s">
        <v>106</v>
      </c>
      <c r="M7" s="79">
        <v>4.4</v>
      </c>
      <c r="N7" s="51" t="s">
        <v>107</v>
      </c>
      <c r="O7" s="54" t="s">
        <v>108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61" t="s">
        <v>114</v>
      </c>
      <c r="AA7" s="62" t="s">
        <v>115</v>
      </c>
      <c r="AB7" s="82"/>
      <c r="AC7" s="82"/>
      <c r="AD7" s="82"/>
      <c r="AE7" s="82"/>
      <c r="AF7" s="82"/>
      <c r="AG7" s="82"/>
      <c r="AH7" s="82"/>
      <c r="AI7" s="82"/>
      <c r="AJ7" s="82"/>
      <c r="AK7" s="54" t="s">
        <v>108</v>
      </c>
      <c r="AL7" s="51" t="s">
        <v>120</v>
      </c>
      <c r="AM7" s="82"/>
      <c r="AN7" s="82"/>
      <c r="AO7" s="82"/>
      <c r="AP7" s="79" t="s">
        <v>238</v>
      </c>
      <c r="AQ7" s="61" t="s">
        <v>114</v>
      </c>
      <c r="AR7" s="79">
        <v>0.45</v>
      </c>
      <c r="AS7" s="87">
        <v>44398.0</v>
      </c>
      <c r="AT7" s="51" t="s">
        <v>107</v>
      </c>
      <c r="AU7" s="82"/>
      <c r="AV7" s="51" t="s">
        <v>61</v>
      </c>
      <c r="AW7" s="75" t="s">
        <v>212</v>
      </c>
      <c r="AX7" s="87">
        <v>45859.0</v>
      </c>
      <c r="AY7" s="79">
        <v>0.225</v>
      </c>
      <c r="AZ7" s="51" t="s">
        <v>107</v>
      </c>
      <c r="BA7" s="51" t="s">
        <v>61</v>
      </c>
      <c r="BB7" s="51" t="s">
        <v>107</v>
      </c>
      <c r="BC7" s="82"/>
      <c r="BD7" s="52" t="s">
        <v>153</v>
      </c>
      <c r="BE7" s="51" t="s">
        <v>107</v>
      </c>
      <c r="BF7" s="28"/>
      <c r="BG7" s="28"/>
      <c r="BH7" s="28"/>
      <c r="BI7" s="28"/>
      <c r="BJ7" s="28"/>
      <c r="BK7" s="28"/>
    </row>
    <row r="8" ht="13.5" customHeight="1">
      <c r="A8" s="45">
        <v>7.0</v>
      </c>
      <c r="B8" s="77">
        <v>46224.52568712963</v>
      </c>
      <c r="C8" s="79" t="s">
        <v>97</v>
      </c>
      <c r="D8" s="79" t="s">
        <v>233</v>
      </c>
      <c r="E8" s="79" t="s">
        <v>214</v>
      </c>
      <c r="F8" s="79" t="s">
        <v>243</v>
      </c>
      <c r="G8" s="79" t="s">
        <v>196</v>
      </c>
      <c r="H8" s="79">
        <v>172.5</v>
      </c>
      <c r="I8" s="50" t="s">
        <v>103</v>
      </c>
      <c r="J8" s="51" t="s">
        <v>61</v>
      </c>
      <c r="K8" s="52" t="s">
        <v>105</v>
      </c>
      <c r="L8" s="51" t="s">
        <v>106</v>
      </c>
      <c r="M8" s="79">
        <v>3.0</v>
      </c>
      <c r="N8" s="51" t="s">
        <v>107</v>
      </c>
      <c r="O8" s="54" t="s">
        <v>108</v>
      </c>
      <c r="P8" s="62" t="s">
        <v>115</v>
      </c>
      <c r="Q8" s="82"/>
      <c r="R8" s="82"/>
      <c r="S8" s="82"/>
      <c r="T8" s="82"/>
      <c r="U8" s="82"/>
      <c r="V8" s="82"/>
      <c r="W8" s="82"/>
      <c r="X8" s="82"/>
      <c r="Y8" s="79"/>
      <c r="Z8" s="61" t="s">
        <v>114</v>
      </c>
      <c r="AA8" s="62" t="s">
        <v>115</v>
      </c>
      <c r="AB8" s="82"/>
      <c r="AC8" s="82"/>
      <c r="AD8" s="82"/>
      <c r="AE8" s="82"/>
      <c r="AF8" s="82"/>
      <c r="AG8" s="82"/>
      <c r="AH8" s="82"/>
      <c r="AI8" s="82"/>
      <c r="AJ8" s="79"/>
      <c r="AK8" s="54" t="s">
        <v>108</v>
      </c>
      <c r="AL8" s="51" t="s">
        <v>120</v>
      </c>
      <c r="AM8" s="79">
        <v>0.45</v>
      </c>
      <c r="AN8" s="87">
        <v>44398.0</v>
      </c>
      <c r="AO8" s="51" t="s">
        <v>107</v>
      </c>
      <c r="AP8" s="79" t="s">
        <v>107</v>
      </c>
      <c r="AQ8" s="61" t="s">
        <v>114</v>
      </c>
      <c r="AR8" s="79">
        <v>0.45</v>
      </c>
      <c r="AS8" s="87">
        <v>44398.0</v>
      </c>
      <c r="AT8" s="51" t="s">
        <v>107</v>
      </c>
      <c r="AU8" s="82"/>
      <c r="AV8" s="51" t="s">
        <v>61</v>
      </c>
      <c r="AW8" s="70" t="s">
        <v>127</v>
      </c>
      <c r="AX8" s="87">
        <v>42572.0</v>
      </c>
      <c r="AY8" s="79">
        <v>0.225</v>
      </c>
      <c r="AZ8" s="51" t="s">
        <v>107</v>
      </c>
      <c r="BA8" s="51" t="s">
        <v>61</v>
      </c>
      <c r="BB8" s="51" t="s">
        <v>107</v>
      </c>
      <c r="BC8" s="82"/>
      <c r="BD8" s="52" t="s">
        <v>153</v>
      </c>
      <c r="BE8" s="51" t="s">
        <v>107</v>
      </c>
      <c r="BF8" s="28"/>
      <c r="BG8" s="28"/>
      <c r="BH8" s="28"/>
      <c r="BI8" s="28"/>
      <c r="BJ8" s="28"/>
      <c r="BK8" s="28"/>
    </row>
    <row r="9" ht="13.5" customHeight="1">
      <c r="A9" s="76">
        <v>8.0</v>
      </c>
      <c r="B9" s="77">
        <v>46224.53141413194</v>
      </c>
      <c r="C9" s="79" t="s">
        <v>97</v>
      </c>
      <c r="D9" s="79" t="s">
        <v>233</v>
      </c>
      <c r="E9" s="79" t="s">
        <v>257</v>
      </c>
      <c r="F9" s="79" t="s">
        <v>258</v>
      </c>
      <c r="G9" s="79" t="s">
        <v>196</v>
      </c>
      <c r="H9" s="79">
        <v>532.49</v>
      </c>
      <c r="I9" s="50" t="s">
        <v>103</v>
      </c>
      <c r="J9" s="51" t="s">
        <v>61</v>
      </c>
      <c r="K9" s="52" t="s">
        <v>105</v>
      </c>
      <c r="L9" s="51" t="s">
        <v>106</v>
      </c>
      <c r="M9" s="79">
        <v>5.0</v>
      </c>
      <c r="N9" s="51" t="s">
        <v>107</v>
      </c>
      <c r="O9" s="54" t="s">
        <v>108</v>
      </c>
      <c r="P9" s="62" t="s">
        <v>115</v>
      </c>
      <c r="Q9" s="82"/>
      <c r="R9" s="82"/>
      <c r="S9" s="82"/>
      <c r="T9" s="82"/>
      <c r="U9" s="82"/>
      <c r="V9" s="82"/>
      <c r="W9" s="82"/>
      <c r="X9" s="82"/>
      <c r="Y9" s="79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79"/>
      <c r="AK9" s="54" t="s">
        <v>108</v>
      </c>
      <c r="AL9" s="51" t="s">
        <v>120</v>
      </c>
      <c r="AM9" s="79">
        <v>0.45</v>
      </c>
      <c r="AN9" s="87">
        <v>42572.0</v>
      </c>
      <c r="AO9" s="51" t="s">
        <v>107</v>
      </c>
      <c r="AP9" s="82"/>
      <c r="AQ9" s="61" t="s">
        <v>114</v>
      </c>
      <c r="AR9" s="79">
        <v>0.5</v>
      </c>
      <c r="AS9" s="87">
        <v>42572.0</v>
      </c>
      <c r="AT9" s="51" t="s">
        <v>107</v>
      </c>
      <c r="AU9" s="82"/>
      <c r="AV9" s="51" t="s">
        <v>61</v>
      </c>
      <c r="AW9" s="70" t="s">
        <v>127</v>
      </c>
      <c r="AX9" s="87">
        <v>42572.0</v>
      </c>
      <c r="AY9" s="79">
        <v>0.225</v>
      </c>
      <c r="AZ9" s="51" t="s">
        <v>107</v>
      </c>
      <c r="BA9" s="51" t="s">
        <v>61</v>
      </c>
      <c r="BB9" s="51" t="s">
        <v>107</v>
      </c>
      <c r="BC9" s="82"/>
      <c r="BD9" s="52" t="s">
        <v>153</v>
      </c>
      <c r="BE9" s="51" t="s">
        <v>107</v>
      </c>
      <c r="BF9" s="28"/>
      <c r="BG9" s="28"/>
      <c r="BH9" s="28"/>
      <c r="BI9" s="28"/>
      <c r="BJ9" s="28"/>
      <c r="BK9" s="28"/>
    </row>
    <row r="10" ht="13.5" customHeight="1">
      <c r="A10" s="76">
        <v>9.0</v>
      </c>
      <c r="B10" s="77">
        <v>46224.53562618056</v>
      </c>
      <c r="C10" s="79" t="s">
        <v>97</v>
      </c>
      <c r="D10" s="79" t="s">
        <v>138</v>
      </c>
      <c r="E10" s="79" t="s">
        <v>214</v>
      </c>
      <c r="F10" s="79" t="s">
        <v>269</v>
      </c>
      <c r="G10" s="79" t="s">
        <v>196</v>
      </c>
      <c r="H10" s="79">
        <v>543.01</v>
      </c>
      <c r="I10" s="50" t="s">
        <v>103</v>
      </c>
      <c r="J10" s="63" t="s">
        <v>74</v>
      </c>
      <c r="K10" s="52" t="s">
        <v>105</v>
      </c>
      <c r="L10" s="51" t="s">
        <v>106</v>
      </c>
      <c r="M10" s="79">
        <v>3.0</v>
      </c>
      <c r="N10" s="51" t="s">
        <v>107</v>
      </c>
      <c r="O10" s="54" t="s">
        <v>108</v>
      </c>
      <c r="P10" s="62" t="s">
        <v>115</v>
      </c>
      <c r="Q10" s="79">
        <v>1.0</v>
      </c>
      <c r="R10" s="87">
        <v>45494.0</v>
      </c>
      <c r="S10" s="51" t="s">
        <v>107</v>
      </c>
      <c r="T10" s="82"/>
      <c r="U10" s="82"/>
      <c r="V10" s="82"/>
      <c r="W10" s="82"/>
      <c r="X10" s="82"/>
      <c r="Y10" s="82"/>
      <c r="Z10" s="61" t="s">
        <v>114</v>
      </c>
      <c r="AA10" s="62" t="s">
        <v>115</v>
      </c>
      <c r="AB10" s="79">
        <v>1.0</v>
      </c>
      <c r="AC10" s="87">
        <v>45494.0</v>
      </c>
      <c r="AD10" s="51" t="s">
        <v>107</v>
      </c>
      <c r="AE10" s="79" t="s">
        <v>272</v>
      </c>
      <c r="AF10" s="82"/>
      <c r="AG10" s="82"/>
      <c r="AH10" s="82"/>
      <c r="AI10" s="82"/>
      <c r="AJ10" s="82"/>
      <c r="AK10" s="54" t="s">
        <v>108</v>
      </c>
      <c r="AL10" s="51" t="s">
        <v>120</v>
      </c>
      <c r="AM10" s="79">
        <v>0.5</v>
      </c>
      <c r="AN10" s="87">
        <v>42572.0</v>
      </c>
      <c r="AO10" s="51" t="s">
        <v>107</v>
      </c>
      <c r="AP10" s="82"/>
      <c r="AQ10" s="61" t="s">
        <v>114</v>
      </c>
      <c r="AR10" s="79">
        <v>0.5</v>
      </c>
      <c r="AS10" s="87">
        <v>42572.0</v>
      </c>
      <c r="AT10" s="51" t="s">
        <v>107</v>
      </c>
      <c r="AU10" s="82"/>
      <c r="AV10" s="51" t="s">
        <v>61</v>
      </c>
      <c r="AW10" s="70" t="s">
        <v>127</v>
      </c>
      <c r="AX10" s="87">
        <v>42572.0</v>
      </c>
      <c r="AY10" s="79">
        <v>0.225</v>
      </c>
      <c r="AZ10" s="51" t="s">
        <v>107</v>
      </c>
      <c r="BA10" s="51" t="s">
        <v>61</v>
      </c>
      <c r="BB10" s="51" t="s">
        <v>107</v>
      </c>
      <c r="BC10" s="82"/>
      <c r="BD10" s="52" t="s">
        <v>153</v>
      </c>
      <c r="BE10" s="51" t="s">
        <v>107</v>
      </c>
      <c r="BF10" s="28"/>
      <c r="BG10" s="28"/>
      <c r="BH10" s="28"/>
      <c r="BI10" s="28"/>
      <c r="BJ10" s="28"/>
      <c r="BK10" s="28"/>
    </row>
    <row r="11" ht="13.5" customHeight="1">
      <c r="A11" s="45">
        <v>10.0</v>
      </c>
      <c r="B11" s="77">
        <v>46224.54013879629</v>
      </c>
      <c r="C11" s="79" t="s">
        <v>97</v>
      </c>
      <c r="D11" s="79" t="s">
        <v>233</v>
      </c>
      <c r="E11" s="79" t="s">
        <v>273</v>
      </c>
      <c r="F11" s="79" t="s">
        <v>274</v>
      </c>
      <c r="G11" s="79" t="s">
        <v>196</v>
      </c>
      <c r="H11" s="79">
        <v>561.1</v>
      </c>
      <c r="I11" s="50" t="s">
        <v>103</v>
      </c>
      <c r="J11" s="63" t="s">
        <v>74</v>
      </c>
      <c r="K11" s="52" t="s">
        <v>105</v>
      </c>
      <c r="L11" s="51" t="s">
        <v>106</v>
      </c>
      <c r="M11" s="79">
        <v>4.4</v>
      </c>
      <c r="N11" s="51" t="s">
        <v>107</v>
      </c>
      <c r="O11" s="54" t="s">
        <v>108</v>
      </c>
      <c r="P11" s="62" t="s">
        <v>115</v>
      </c>
      <c r="Q11" s="79">
        <v>1.0</v>
      </c>
      <c r="R11" s="87">
        <v>45494.0</v>
      </c>
      <c r="S11" s="51" t="s">
        <v>107</v>
      </c>
      <c r="T11" s="82"/>
      <c r="U11" s="82"/>
      <c r="V11" s="82"/>
      <c r="W11" s="82"/>
      <c r="X11" s="82"/>
      <c r="Y11" s="82"/>
      <c r="Z11" s="61" t="s">
        <v>114</v>
      </c>
      <c r="AA11" s="62" t="s">
        <v>115</v>
      </c>
      <c r="AB11" s="79">
        <v>1.0</v>
      </c>
      <c r="AC11" s="87">
        <v>45494.0</v>
      </c>
      <c r="AD11" s="51" t="s">
        <v>107</v>
      </c>
      <c r="AE11" s="82"/>
      <c r="AF11" s="82"/>
      <c r="AG11" s="82"/>
      <c r="AH11" s="82"/>
      <c r="AI11" s="82"/>
      <c r="AJ11" s="82"/>
      <c r="AK11" s="54" t="s">
        <v>108</v>
      </c>
      <c r="AL11" s="51" t="s">
        <v>120</v>
      </c>
      <c r="AM11" s="79">
        <v>0.5</v>
      </c>
      <c r="AN11" s="87">
        <v>42572.0</v>
      </c>
      <c r="AO11" s="51" t="s">
        <v>107</v>
      </c>
      <c r="AP11" s="82"/>
      <c r="AQ11" s="61" t="s">
        <v>114</v>
      </c>
      <c r="AR11" s="79">
        <v>0.5</v>
      </c>
      <c r="AS11" s="87">
        <v>42572.0</v>
      </c>
      <c r="AT11" s="51" t="s">
        <v>107</v>
      </c>
      <c r="AU11" s="82"/>
      <c r="AV11" s="51" t="s">
        <v>61</v>
      </c>
      <c r="AW11" s="70" t="s">
        <v>127</v>
      </c>
      <c r="AX11" s="87">
        <v>42567.0</v>
      </c>
      <c r="AY11" s="79">
        <v>0.225</v>
      </c>
      <c r="AZ11" s="51" t="s">
        <v>107</v>
      </c>
      <c r="BA11" s="51" t="s">
        <v>61</v>
      </c>
      <c r="BB11" s="51" t="s">
        <v>107</v>
      </c>
      <c r="BC11" s="82"/>
      <c r="BD11" s="52" t="s">
        <v>153</v>
      </c>
      <c r="BE11" s="51" t="s">
        <v>107</v>
      </c>
      <c r="BF11" s="28"/>
      <c r="BG11" s="28"/>
      <c r="BH11" s="28"/>
      <c r="BI11" s="28"/>
      <c r="BJ11" s="28"/>
      <c r="BK11" s="28"/>
    </row>
    <row r="12" ht="13.5" customHeight="1">
      <c r="A12" s="76">
        <v>11.0</v>
      </c>
      <c r="B12" s="77">
        <v>46224.54530023148</v>
      </c>
      <c r="C12" s="79" t="s">
        <v>97</v>
      </c>
      <c r="D12" s="79" t="s">
        <v>233</v>
      </c>
      <c r="E12" s="79" t="s">
        <v>275</v>
      </c>
      <c r="F12" s="79" t="s">
        <v>276</v>
      </c>
      <c r="G12" s="79" t="s">
        <v>196</v>
      </c>
      <c r="H12" s="79">
        <v>665.2</v>
      </c>
      <c r="I12" s="50" t="s">
        <v>103</v>
      </c>
      <c r="J12" s="51" t="s">
        <v>61</v>
      </c>
      <c r="K12" s="54" t="s">
        <v>93</v>
      </c>
      <c r="L12" s="51" t="s">
        <v>106</v>
      </c>
      <c r="M12" s="79">
        <v>6.3</v>
      </c>
      <c r="N12" s="51" t="s">
        <v>107</v>
      </c>
      <c r="O12" s="54" t="s">
        <v>108</v>
      </c>
      <c r="P12" s="62" t="s">
        <v>115</v>
      </c>
      <c r="Q12" s="82"/>
      <c r="R12" s="82"/>
      <c r="S12" s="82"/>
      <c r="T12" s="82"/>
      <c r="U12" s="82"/>
      <c r="V12" s="82"/>
      <c r="W12" s="82"/>
      <c r="X12" s="82"/>
      <c r="Y12" s="79"/>
      <c r="Z12" s="61" t="s">
        <v>114</v>
      </c>
      <c r="AA12" s="62" t="s">
        <v>115</v>
      </c>
      <c r="AB12" s="82"/>
      <c r="AC12" s="82"/>
      <c r="AD12" s="82"/>
      <c r="AE12" s="82"/>
      <c r="AF12" s="82"/>
      <c r="AG12" s="79"/>
      <c r="AH12" s="87"/>
      <c r="AI12" s="79"/>
      <c r="AJ12" s="82"/>
      <c r="AK12" s="82"/>
      <c r="AL12" s="82"/>
      <c r="AM12" s="82"/>
      <c r="AN12" s="82"/>
      <c r="AO12" s="82"/>
      <c r="AP12" s="79" t="s">
        <v>277</v>
      </c>
      <c r="AQ12" s="61" t="s">
        <v>114</v>
      </c>
      <c r="AR12" s="79">
        <v>0.5</v>
      </c>
      <c r="AS12" s="87">
        <v>42572.0</v>
      </c>
      <c r="AT12" s="51" t="s">
        <v>107</v>
      </c>
      <c r="AU12" s="82"/>
      <c r="AV12" s="51" t="s">
        <v>61</v>
      </c>
      <c r="AW12" s="70" t="s">
        <v>127</v>
      </c>
      <c r="AX12" s="87">
        <v>42572.0</v>
      </c>
      <c r="AY12" s="79">
        <v>0.225</v>
      </c>
      <c r="AZ12" s="51" t="s">
        <v>107</v>
      </c>
      <c r="BA12" s="51" t="s">
        <v>61</v>
      </c>
      <c r="BB12" s="124" t="s">
        <v>152</v>
      </c>
      <c r="BC12" s="82"/>
      <c r="BD12" s="52" t="s">
        <v>153</v>
      </c>
      <c r="BE12" s="51" t="s">
        <v>107</v>
      </c>
      <c r="BF12" s="28"/>
      <c r="BG12" s="28"/>
      <c r="BH12" s="28"/>
      <c r="BI12" s="28"/>
      <c r="BJ12" s="28"/>
      <c r="BK12" s="28"/>
    </row>
    <row r="13" ht="13.5" customHeight="1">
      <c r="A13" s="76">
        <v>12.0</v>
      </c>
      <c r="B13" s="77">
        <v>46224.55780296296</v>
      </c>
      <c r="C13" s="79" t="s">
        <v>97</v>
      </c>
      <c r="D13" s="79" t="s">
        <v>138</v>
      </c>
      <c r="E13" s="79" t="s">
        <v>278</v>
      </c>
      <c r="F13" s="79" t="s">
        <v>279</v>
      </c>
      <c r="G13" s="79" t="s">
        <v>196</v>
      </c>
      <c r="H13" s="79">
        <v>60.61</v>
      </c>
      <c r="I13" s="50" t="s">
        <v>103</v>
      </c>
      <c r="J13" s="63" t="s">
        <v>74</v>
      </c>
      <c r="K13" s="51" t="s">
        <v>121</v>
      </c>
      <c r="L13" s="51" t="s">
        <v>106</v>
      </c>
      <c r="M13" s="79">
        <v>2.6</v>
      </c>
      <c r="N13" s="51" t="s">
        <v>107</v>
      </c>
      <c r="O13" s="58" t="s">
        <v>111</v>
      </c>
      <c r="P13" s="58" t="s">
        <v>111</v>
      </c>
      <c r="Q13" s="118">
        <v>0.0</v>
      </c>
      <c r="R13" s="118" t="s">
        <v>111</v>
      </c>
      <c r="S13" s="58" t="s">
        <v>111</v>
      </c>
      <c r="T13" s="79" t="s">
        <v>166</v>
      </c>
      <c r="U13" s="82"/>
      <c r="V13" s="82"/>
      <c r="W13" s="82"/>
      <c r="X13" s="82"/>
      <c r="Y13" s="79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79"/>
      <c r="AK13" s="82"/>
      <c r="AL13" s="82"/>
      <c r="AM13" s="82"/>
      <c r="AN13" s="82"/>
      <c r="AO13" s="82"/>
      <c r="AP13" s="79" t="s">
        <v>74</v>
      </c>
      <c r="AQ13" s="61" t="s">
        <v>114</v>
      </c>
      <c r="AR13" s="79">
        <v>0.3</v>
      </c>
      <c r="AS13" s="87">
        <v>46224.0</v>
      </c>
      <c r="AT13" s="124" t="s">
        <v>152</v>
      </c>
      <c r="AU13" s="79" t="s">
        <v>280</v>
      </c>
      <c r="AV13" s="51" t="s">
        <v>61</v>
      </c>
      <c r="AW13" s="70" t="s">
        <v>127</v>
      </c>
      <c r="AX13" s="87">
        <v>42572.0</v>
      </c>
      <c r="AY13" s="79">
        <v>0.225</v>
      </c>
      <c r="AZ13" s="51" t="s">
        <v>107</v>
      </c>
      <c r="BA13" s="51" t="s">
        <v>61</v>
      </c>
      <c r="BB13" s="51" t="s">
        <v>107</v>
      </c>
      <c r="BC13" s="82"/>
      <c r="BD13" s="52" t="s">
        <v>153</v>
      </c>
      <c r="BE13" s="51" t="s">
        <v>107</v>
      </c>
      <c r="BF13" s="28"/>
      <c r="BG13" s="28"/>
      <c r="BH13" s="28"/>
      <c r="BI13" s="28"/>
      <c r="BJ13" s="28"/>
      <c r="BK13" s="28"/>
    </row>
    <row r="14" ht="13.5" customHeight="1">
      <c r="A14" s="45">
        <v>13.0</v>
      </c>
      <c r="B14" s="77">
        <v>46224.56250025463</v>
      </c>
      <c r="C14" s="79" t="s">
        <v>97</v>
      </c>
      <c r="D14" s="79" t="s">
        <v>138</v>
      </c>
      <c r="E14" s="79" t="s">
        <v>281</v>
      </c>
      <c r="F14" s="79" t="s">
        <v>282</v>
      </c>
      <c r="G14" s="79" t="s">
        <v>196</v>
      </c>
      <c r="H14" s="79">
        <v>86.25</v>
      </c>
      <c r="I14" s="50" t="s">
        <v>103</v>
      </c>
      <c r="J14" s="63" t="s">
        <v>74</v>
      </c>
      <c r="K14" s="51" t="s">
        <v>121</v>
      </c>
      <c r="L14" s="50" t="s">
        <v>103</v>
      </c>
      <c r="M14" s="79">
        <v>2.8</v>
      </c>
      <c r="N14" s="51" t="s">
        <v>107</v>
      </c>
      <c r="O14" s="58" t="s">
        <v>111</v>
      </c>
      <c r="P14" s="58" t="s">
        <v>111</v>
      </c>
      <c r="Q14" s="118">
        <v>0.0</v>
      </c>
      <c r="R14" s="118" t="s">
        <v>111</v>
      </c>
      <c r="S14" s="58" t="s">
        <v>111</v>
      </c>
      <c r="T14" s="79" t="s">
        <v>166</v>
      </c>
      <c r="U14" s="82"/>
      <c r="V14" s="82"/>
      <c r="W14" s="82"/>
      <c r="X14" s="82"/>
      <c r="Y14" s="79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79"/>
      <c r="AK14" s="54" t="s">
        <v>108</v>
      </c>
      <c r="AL14" s="51" t="s">
        <v>120</v>
      </c>
      <c r="AM14" s="79">
        <v>0.5</v>
      </c>
      <c r="AN14" s="87">
        <v>42572.0</v>
      </c>
      <c r="AO14" s="124" t="s">
        <v>152</v>
      </c>
      <c r="AP14" s="82"/>
      <c r="AQ14" s="61" t="s">
        <v>114</v>
      </c>
      <c r="AR14" s="79">
        <v>0.5</v>
      </c>
      <c r="AS14" s="87">
        <v>42572.0</v>
      </c>
      <c r="AT14" s="124" t="s">
        <v>152</v>
      </c>
      <c r="AU14" s="82"/>
      <c r="AV14" s="51" t="s">
        <v>61</v>
      </c>
      <c r="AW14" s="70" t="s">
        <v>127</v>
      </c>
      <c r="AX14" s="87">
        <v>42572.0</v>
      </c>
      <c r="AY14" s="79">
        <v>0.225</v>
      </c>
      <c r="AZ14" s="51" t="s">
        <v>107</v>
      </c>
      <c r="BA14" s="51" t="s">
        <v>61</v>
      </c>
      <c r="BB14" s="51" t="s">
        <v>107</v>
      </c>
      <c r="BC14" s="82"/>
      <c r="BD14" s="52" t="s">
        <v>153</v>
      </c>
      <c r="BE14" s="51" t="s">
        <v>107</v>
      </c>
      <c r="BF14" s="28"/>
      <c r="BG14" s="28"/>
      <c r="BH14" s="28"/>
      <c r="BI14" s="28"/>
      <c r="BJ14" s="28"/>
      <c r="BK14" s="28"/>
    </row>
    <row r="15" ht="13.5" customHeight="1">
      <c r="A15" s="76">
        <v>14.0</v>
      </c>
      <c r="B15" s="77">
        <v>46224.56804347222</v>
      </c>
      <c r="C15" s="79" t="s">
        <v>97</v>
      </c>
      <c r="D15" s="79" t="s">
        <v>283</v>
      </c>
      <c r="E15" s="79" t="s">
        <v>284</v>
      </c>
      <c r="F15" s="79" t="s">
        <v>285</v>
      </c>
      <c r="G15" s="79" t="s">
        <v>196</v>
      </c>
      <c r="H15" s="79">
        <v>15.0</v>
      </c>
      <c r="I15" s="50" t="s">
        <v>103</v>
      </c>
      <c r="J15" s="51" t="s">
        <v>61</v>
      </c>
      <c r="K15" s="51" t="s">
        <v>121</v>
      </c>
      <c r="L15" s="50" t="s">
        <v>103</v>
      </c>
      <c r="M15" s="79">
        <v>2.8</v>
      </c>
      <c r="N15" s="51" t="s">
        <v>107</v>
      </c>
      <c r="O15" s="58" t="s">
        <v>111</v>
      </c>
      <c r="P15" s="58" t="s">
        <v>111</v>
      </c>
      <c r="Q15" s="118">
        <v>0.0</v>
      </c>
      <c r="R15" s="118" t="s">
        <v>111</v>
      </c>
      <c r="S15" s="58" t="s">
        <v>111</v>
      </c>
      <c r="T15" s="79" t="s">
        <v>166</v>
      </c>
      <c r="U15" s="82"/>
      <c r="V15" s="82"/>
      <c r="W15" s="82"/>
      <c r="X15" s="82"/>
      <c r="Y15" s="79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79"/>
      <c r="AK15" s="82"/>
      <c r="AL15" s="82"/>
      <c r="AM15" s="82"/>
      <c r="AN15" s="82"/>
      <c r="AO15" s="79" t="s">
        <v>183</v>
      </c>
      <c r="AP15" s="79" t="s">
        <v>286</v>
      </c>
      <c r="AQ15" s="82"/>
      <c r="AR15" s="82"/>
      <c r="AS15" s="82"/>
      <c r="AT15" s="82"/>
      <c r="AU15" s="79" t="s">
        <v>286</v>
      </c>
      <c r="AV15" s="51" t="s">
        <v>61</v>
      </c>
      <c r="AW15" s="70" t="s">
        <v>127</v>
      </c>
      <c r="AX15" s="87">
        <v>42257.0</v>
      </c>
      <c r="AY15" s="79">
        <v>0.225</v>
      </c>
      <c r="AZ15" s="124" t="s">
        <v>152</v>
      </c>
      <c r="BA15" s="51" t="s">
        <v>61</v>
      </c>
      <c r="BB15" s="51" t="s">
        <v>107</v>
      </c>
      <c r="BC15" s="82"/>
      <c r="BD15" s="52" t="s">
        <v>153</v>
      </c>
      <c r="BE15" s="75" t="s">
        <v>129</v>
      </c>
      <c r="BF15" s="28"/>
      <c r="BG15" s="28"/>
      <c r="BH15" s="28"/>
      <c r="BI15" s="28"/>
      <c r="BJ15" s="28"/>
      <c r="BK15" s="28"/>
    </row>
    <row r="16" ht="13.5" customHeight="1">
      <c r="A16" s="76">
        <v>15.0</v>
      </c>
      <c r="B16" s="77">
        <v>46224.57125840278</v>
      </c>
      <c r="C16" s="79" t="s">
        <v>97</v>
      </c>
      <c r="D16" s="79" t="s">
        <v>283</v>
      </c>
      <c r="E16" s="79" t="s">
        <v>287</v>
      </c>
      <c r="F16" s="79" t="s">
        <v>288</v>
      </c>
      <c r="G16" s="79" t="s">
        <v>196</v>
      </c>
      <c r="H16" s="79">
        <v>28.0</v>
      </c>
      <c r="I16" s="50" t="s">
        <v>103</v>
      </c>
      <c r="J16" s="51" t="s">
        <v>61</v>
      </c>
      <c r="K16" s="51" t="s">
        <v>121</v>
      </c>
      <c r="L16" s="51" t="s">
        <v>106</v>
      </c>
      <c r="M16" s="79">
        <v>3.2</v>
      </c>
      <c r="N16" s="124" t="s">
        <v>152</v>
      </c>
      <c r="O16" s="58" t="s">
        <v>111</v>
      </c>
      <c r="P16" s="58" t="s">
        <v>111</v>
      </c>
      <c r="Q16" s="118">
        <v>0.0</v>
      </c>
      <c r="R16" s="118" t="s">
        <v>111</v>
      </c>
      <c r="S16" s="58" t="s">
        <v>111</v>
      </c>
      <c r="T16" s="79" t="s">
        <v>166</v>
      </c>
      <c r="U16" s="82"/>
      <c r="V16" s="82"/>
      <c r="W16" s="82"/>
      <c r="X16" s="82"/>
      <c r="Y16" s="79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79"/>
      <c r="AK16" s="54" t="s">
        <v>108</v>
      </c>
      <c r="AL16" s="51" t="s">
        <v>120</v>
      </c>
      <c r="AM16" s="82"/>
      <c r="AN16" s="87">
        <v>42572.0</v>
      </c>
      <c r="AO16" s="124" t="s">
        <v>152</v>
      </c>
      <c r="AP16" s="82"/>
      <c r="AQ16" s="61" t="s">
        <v>114</v>
      </c>
      <c r="AR16" s="82"/>
      <c r="AS16" s="82"/>
      <c r="AT16" s="82"/>
      <c r="AU16" s="79" t="s">
        <v>74</v>
      </c>
      <c r="AV16" s="51" t="s">
        <v>61</v>
      </c>
      <c r="AW16" s="70" t="s">
        <v>127</v>
      </c>
      <c r="AX16" s="87">
        <v>42572.0</v>
      </c>
      <c r="AY16" s="79">
        <v>0.225</v>
      </c>
      <c r="AZ16" s="124" t="s">
        <v>152</v>
      </c>
      <c r="BA16" s="51" t="s">
        <v>61</v>
      </c>
      <c r="BB16" s="51" t="s">
        <v>107</v>
      </c>
      <c r="BC16" s="82"/>
      <c r="BD16" s="82"/>
      <c r="BE16" s="82"/>
      <c r="BF16" s="28"/>
      <c r="BG16" s="28"/>
      <c r="BH16" s="28"/>
      <c r="BI16" s="28"/>
      <c r="BJ16" s="28"/>
      <c r="BK16" s="28"/>
    </row>
    <row r="17" ht="13.5" customHeight="1">
      <c r="A17" s="45">
        <v>16.0</v>
      </c>
      <c r="B17" s="77">
        <v>46224.57708775463</v>
      </c>
      <c r="C17" s="79" t="s">
        <v>97</v>
      </c>
      <c r="D17" s="79" t="s">
        <v>283</v>
      </c>
      <c r="E17" s="79" t="s">
        <v>289</v>
      </c>
      <c r="F17" s="79" t="s">
        <v>290</v>
      </c>
      <c r="G17" s="79" t="s">
        <v>196</v>
      </c>
      <c r="H17" s="79">
        <v>20.0</v>
      </c>
      <c r="I17" s="50" t="s">
        <v>103</v>
      </c>
      <c r="J17" s="63" t="s">
        <v>74</v>
      </c>
      <c r="K17" s="51" t="s">
        <v>121</v>
      </c>
      <c r="L17" s="51" t="s">
        <v>106</v>
      </c>
      <c r="M17" s="79">
        <v>3.0</v>
      </c>
      <c r="N17" s="51" t="s">
        <v>107</v>
      </c>
      <c r="O17" s="58" t="s">
        <v>111</v>
      </c>
      <c r="P17" s="58" t="s">
        <v>111</v>
      </c>
      <c r="Q17" s="118">
        <v>0.0</v>
      </c>
      <c r="R17" s="118" t="s">
        <v>111</v>
      </c>
      <c r="S17" s="58" t="s">
        <v>111</v>
      </c>
      <c r="T17" s="79" t="s">
        <v>166</v>
      </c>
      <c r="U17" s="82"/>
      <c r="V17" s="82"/>
      <c r="W17" s="82"/>
      <c r="X17" s="82"/>
      <c r="Y17" s="79"/>
      <c r="Z17" s="82"/>
      <c r="AA17" s="62" t="s">
        <v>115</v>
      </c>
      <c r="AB17" s="82"/>
      <c r="AC17" s="82"/>
      <c r="AD17" s="82"/>
      <c r="AE17" s="79" t="s">
        <v>291</v>
      </c>
      <c r="AF17" s="79"/>
      <c r="AG17" s="82"/>
      <c r="AH17" s="82"/>
      <c r="AI17" s="82"/>
      <c r="AJ17" s="79"/>
      <c r="AK17" s="54" t="s">
        <v>108</v>
      </c>
      <c r="AL17" s="51" t="s">
        <v>120</v>
      </c>
      <c r="AM17" s="79">
        <v>0.5</v>
      </c>
      <c r="AN17" s="87">
        <v>42572.0</v>
      </c>
      <c r="AO17" s="51" t="s">
        <v>107</v>
      </c>
      <c r="AP17" s="82"/>
      <c r="AQ17" s="61" t="s">
        <v>114</v>
      </c>
      <c r="AR17" s="79">
        <v>0.5</v>
      </c>
      <c r="AS17" s="87">
        <v>42572.0</v>
      </c>
      <c r="AT17" s="51" t="s">
        <v>107</v>
      </c>
      <c r="AU17" s="82"/>
      <c r="AV17" s="51" t="s">
        <v>61</v>
      </c>
      <c r="AW17" s="70" t="s">
        <v>127</v>
      </c>
      <c r="AX17" s="87">
        <v>42572.0</v>
      </c>
      <c r="AY17" s="79">
        <v>0.225</v>
      </c>
      <c r="AZ17" s="51" t="s">
        <v>107</v>
      </c>
      <c r="BA17" s="51" t="s">
        <v>61</v>
      </c>
      <c r="BB17" s="51" t="s">
        <v>107</v>
      </c>
      <c r="BC17" s="82"/>
      <c r="BD17" s="52" t="s">
        <v>153</v>
      </c>
      <c r="BE17" s="51" t="s">
        <v>107</v>
      </c>
      <c r="BF17" s="28"/>
      <c r="BG17" s="28"/>
      <c r="BH17" s="28"/>
      <c r="BI17" s="28"/>
      <c r="BJ17" s="28"/>
      <c r="BK17" s="28"/>
    </row>
    <row r="18" ht="13.5" customHeight="1">
      <c r="A18" s="76">
        <v>17.0</v>
      </c>
      <c r="B18" s="77">
        <v>46225.46702614584</v>
      </c>
      <c r="C18" s="79" t="s">
        <v>292</v>
      </c>
      <c r="D18" s="79" t="s">
        <v>283</v>
      </c>
      <c r="E18" s="79" t="s">
        <v>293</v>
      </c>
      <c r="F18" s="79" t="s">
        <v>294</v>
      </c>
      <c r="G18" s="79" t="s">
        <v>295</v>
      </c>
      <c r="H18" s="79">
        <v>177.0</v>
      </c>
      <c r="I18" s="141" t="s">
        <v>296</v>
      </c>
      <c r="J18" s="51" t="s">
        <v>61</v>
      </c>
      <c r="K18" s="52" t="s">
        <v>105</v>
      </c>
      <c r="L18" s="51" t="s">
        <v>106</v>
      </c>
      <c r="M18" s="79">
        <v>3.8</v>
      </c>
      <c r="N18" s="51" t="s">
        <v>107</v>
      </c>
      <c r="O18" s="92" t="s">
        <v>149</v>
      </c>
      <c r="P18" s="62" t="s">
        <v>115</v>
      </c>
      <c r="Q18" s="82"/>
      <c r="R18" s="82"/>
      <c r="S18" s="82"/>
      <c r="T18" s="79" t="s">
        <v>166</v>
      </c>
      <c r="U18" s="82"/>
      <c r="V18" s="82"/>
      <c r="W18" s="82"/>
      <c r="X18" s="82"/>
      <c r="Y18" s="79"/>
      <c r="Z18" s="142" t="s">
        <v>174</v>
      </c>
      <c r="AA18" s="62" t="s">
        <v>115</v>
      </c>
      <c r="AB18" s="82"/>
      <c r="AC18" s="82"/>
      <c r="AD18" s="82"/>
      <c r="AE18" s="79" t="s">
        <v>297</v>
      </c>
      <c r="AF18" s="82"/>
      <c r="AG18" s="82"/>
      <c r="AH18" s="82"/>
      <c r="AI18" s="82"/>
      <c r="AJ18" s="82"/>
      <c r="AK18" s="92" t="s">
        <v>149</v>
      </c>
      <c r="AL18" s="82"/>
      <c r="AM18" s="79">
        <v>0.5</v>
      </c>
      <c r="AN18" s="87">
        <v>42573.0</v>
      </c>
      <c r="AO18" s="124" t="s">
        <v>152</v>
      </c>
      <c r="AP18" s="79" t="s">
        <v>298</v>
      </c>
      <c r="AQ18" s="142" t="s">
        <v>174</v>
      </c>
      <c r="AR18" s="79">
        <v>0.5</v>
      </c>
      <c r="AS18" s="87">
        <v>42573.0</v>
      </c>
      <c r="AT18" s="51" t="s">
        <v>107</v>
      </c>
      <c r="AU18" s="79" t="s">
        <v>299</v>
      </c>
      <c r="AV18" s="51" t="s">
        <v>61</v>
      </c>
      <c r="AW18" s="75" t="s">
        <v>212</v>
      </c>
      <c r="AX18" s="87">
        <v>44034.0</v>
      </c>
      <c r="AY18" s="79">
        <v>0.225</v>
      </c>
      <c r="AZ18" s="51" t="s">
        <v>107</v>
      </c>
      <c r="BA18" s="51" t="s">
        <v>61</v>
      </c>
      <c r="BB18" s="51" t="s">
        <v>107</v>
      </c>
      <c r="BC18" s="82"/>
      <c r="BD18" s="52" t="s">
        <v>153</v>
      </c>
      <c r="BE18" s="51" t="s">
        <v>107</v>
      </c>
      <c r="BF18" s="28"/>
      <c r="BG18" s="28"/>
      <c r="BH18" s="28"/>
      <c r="BI18" s="28"/>
      <c r="BJ18" s="28"/>
      <c r="BK18" s="28"/>
    </row>
    <row r="19" ht="13.5" customHeight="1">
      <c r="A19" s="76">
        <v>18.0</v>
      </c>
      <c r="B19" s="77">
        <v>46225.470985196764</v>
      </c>
      <c r="C19" s="79" t="s">
        <v>292</v>
      </c>
      <c r="D19" s="82"/>
      <c r="E19" s="79" t="s">
        <v>300</v>
      </c>
      <c r="F19" s="79" t="s">
        <v>294</v>
      </c>
      <c r="G19" s="79" t="s">
        <v>301</v>
      </c>
      <c r="H19" s="79">
        <v>150.7</v>
      </c>
      <c r="I19" s="141" t="s">
        <v>302</v>
      </c>
      <c r="J19" s="51" t="s">
        <v>61</v>
      </c>
      <c r="K19" s="52" t="s">
        <v>105</v>
      </c>
      <c r="L19" s="51" t="s">
        <v>106</v>
      </c>
      <c r="M19" s="79">
        <v>3.3</v>
      </c>
      <c r="N19" s="51" t="s">
        <v>107</v>
      </c>
      <c r="O19" s="54" t="s">
        <v>108</v>
      </c>
      <c r="P19" s="62" t="s">
        <v>115</v>
      </c>
      <c r="Q19" s="79">
        <v>1.3</v>
      </c>
      <c r="R19" s="87">
        <v>44034.0</v>
      </c>
      <c r="S19" s="51" t="s">
        <v>107</v>
      </c>
      <c r="T19" s="79" t="s">
        <v>107</v>
      </c>
      <c r="U19" s="82"/>
      <c r="V19" s="82"/>
      <c r="W19" s="82"/>
      <c r="X19" s="82"/>
      <c r="Y19" s="82"/>
      <c r="Z19" s="61" t="s">
        <v>114</v>
      </c>
      <c r="AA19" s="62" t="s">
        <v>115</v>
      </c>
      <c r="AB19" s="79">
        <v>1.5</v>
      </c>
      <c r="AC19" s="87">
        <v>44034.0</v>
      </c>
      <c r="AD19" s="51" t="s">
        <v>107</v>
      </c>
      <c r="AE19" s="82"/>
      <c r="AF19" s="82"/>
      <c r="AG19" s="82"/>
      <c r="AH19" s="82"/>
      <c r="AI19" s="82"/>
      <c r="AJ19" s="82"/>
      <c r="AK19" s="54" t="s">
        <v>108</v>
      </c>
      <c r="AL19" s="51" t="s">
        <v>120</v>
      </c>
      <c r="AM19" s="79">
        <v>0.5</v>
      </c>
      <c r="AN19" s="87">
        <v>42573.0</v>
      </c>
      <c r="AO19" s="51" t="s">
        <v>107</v>
      </c>
      <c r="AP19" s="82"/>
      <c r="AQ19" s="61" t="s">
        <v>114</v>
      </c>
      <c r="AR19" s="79">
        <v>0.5</v>
      </c>
      <c r="AS19" s="87">
        <v>42573.0</v>
      </c>
      <c r="AT19" s="51" t="s">
        <v>107</v>
      </c>
      <c r="AU19" s="82"/>
      <c r="AV19" s="51" t="s">
        <v>61</v>
      </c>
      <c r="AW19" s="75" t="s">
        <v>212</v>
      </c>
      <c r="AX19" s="87">
        <v>44034.0</v>
      </c>
      <c r="AY19" s="79">
        <v>0.225</v>
      </c>
      <c r="AZ19" s="51" t="s">
        <v>107</v>
      </c>
      <c r="BA19" s="51" t="s">
        <v>61</v>
      </c>
      <c r="BB19" s="51" t="s">
        <v>107</v>
      </c>
      <c r="BC19" s="82"/>
      <c r="BD19" s="52" t="s">
        <v>153</v>
      </c>
      <c r="BE19" s="51" t="s">
        <v>107</v>
      </c>
      <c r="BF19" s="28"/>
      <c r="BG19" s="28"/>
      <c r="BH19" s="28"/>
      <c r="BI19" s="28"/>
      <c r="BJ19" s="28"/>
      <c r="BK19" s="28"/>
    </row>
    <row r="20" ht="13.5" customHeight="1">
      <c r="A20" s="45">
        <v>19.0</v>
      </c>
      <c r="B20" s="77">
        <v>46225.47824355324</v>
      </c>
      <c r="C20" s="79" t="s">
        <v>292</v>
      </c>
      <c r="D20" s="82"/>
      <c r="E20" s="79" t="s">
        <v>300</v>
      </c>
      <c r="F20" s="79" t="s">
        <v>285</v>
      </c>
      <c r="G20" s="79" t="s">
        <v>301</v>
      </c>
      <c r="H20" s="79">
        <v>45.0</v>
      </c>
      <c r="I20" s="141" t="s">
        <v>303</v>
      </c>
      <c r="J20" s="63" t="s">
        <v>74</v>
      </c>
      <c r="K20" s="52" t="s">
        <v>105</v>
      </c>
      <c r="L20" s="51" t="s">
        <v>106</v>
      </c>
      <c r="M20" s="79">
        <v>3.0</v>
      </c>
      <c r="N20" s="51" t="s">
        <v>107</v>
      </c>
      <c r="O20" s="92" t="s">
        <v>149</v>
      </c>
      <c r="P20" s="62" t="s">
        <v>115</v>
      </c>
      <c r="Q20" s="82"/>
      <c r="R20" s="82"/>
      <c r="S20" s="82"/>
      <c r="T20" s="79" t="s">
        <v>297</v>
      </c>
      <c r="U20" s="82"/>
      <c r="V20" s="82"/>
      <c r="W20" s="82"/>
      <c r="X20" s="82"/>
      <c r="Y20" s="82"/>
      <c r="Z20" s="58" t="s">
        <v>111</v>
      </c>
      <c r="AA20" s="58" t="s">
        <v>111</v>
      </c>
      <c r="AB20" s="118">
        <v>0.0</v>
      </c>
      <c r="AC20" s="118" t="s">
        <v>111</v>
      </c>
      <c r="AD20" s="58" t="s">
        <v>111</v>
      </c>
      <c r="AE20" s="79" t="s">
        <v>297</v>
      </c>
      <c r="AF20" s="82"/>
      <c r="AG20" s="82"/>
      <c r="AH20" s="82"/>
      <c r="AI20" s="82"/>
      <c r="AJ20" s="82"/>
      <c r="AK20" s="92" t="s">
        <v>149</v>
      </c>
      <c r="AL20" s="51" t="s">
        <v>120</v>
      </c>
      <c r="AM20" s="82"/>
      <c r="AN20" s="87">
        <v>42573.0</v>
      </c>
      <c r="AO20" s="51" t="s">
        <v>107</v>
      </c>
      <c r="AP20" s="82"/>
      <c r="AQ20" s="142" t="s">
        <v>174</v>
      </c>
      <c r="AR20" s="82"/>
      <c r="AS20" s="82"/>
      <c r="AT20" s="82"/>
      <c r="AU20" s="79" t="s">
        <v>304</v>
      </c>
      <c r="AV20" s="51" t="s">
        <v>61</v>
      </c>
      <c r="AW20" s="75" t="s">
        <v>212</v>
      </c>
      <c r="AX20" s="87">
        <v>44399.0</v>
      </c>
      <c r="AY20" s="79">
        <v>0.225</v>
      </c>
      <c r="AZ20" s="51" t="s">
        <v>107</v>
      </c>
      <c r="BA20" s="51" t="s">
        <v>61</v>
      </c>
      <c r="BB20" s="51" t="s">
        <v>107</v>
      </c>
      <c r="BC20" s="82"/>
      <c r="BD20" s="52" t="s">
        <v>153</v>
      </c>
      <c r="BE20" s="51" t="s">
        <v>107</v>
      </c>
      <c r="BF20" s="28"/>
      <c r="BG20" s="28"/>
      <c r="BH20" s="28"/>
      <c r="BI20" s="28"/>
      <c r="BJ20" s="28"/>
      <c r="BK20" s="28"/>
    </row>
    <row r="21" ht="13.5" customHeight="1">
      <c r="A21" s="76">
        <v>20.0</v>
      </c>
      <c r="B21" s="77">
        <v>46225.48121355324</v>
      </c>
      <c r="C21" s="79" t="s">
        <v>292</v>
      </c>
      <c r="D21" s="82"/>
      <c r="E21" s="79" t="s">
        <v>300</v>
      </c>
      <c r="F21" s="79" t="s">
        <v>285</v>
      </c>
      <c r="G21" s="79" t="s">
        <v>301</v>
      </c>
      <c r="H21" s="79">
        <v>38.57</v>
      </c>
      <c r="I21" s="141" t="s">
        <v>305</v>
      </c>
      <c r="J21" s="63" t="s">
        <v>74</v>
      </c>
      <c r="K21" s="51" t="s">
        <v>121</v>
      </c>
      <c r="L21" s="51" t="s">
        <v>106</v>
      </c>
      <c r="M21" s="79">
        <v>3.0</v>
      </c>
      <c r="N21" s="51" t="s">
        <v>107</v>
      </c>
      <c r="O21" s="58" t="s">
        <v>111</v>
      </c>
      <c r="P21" s="58" t="s">
        <v>111</v>
      </c>
      <c r="Q21" s="118">
        <v>0.0</v>
      </c>
      <c r="R21" s="118" t="s">
        <v>111</v>
      </c>
      <c r="S21" s="58" t="s">
        <v>111</v>
      </c>
      <c r="T21" s="79" t="s">
        <v>306</v>
      </c>
      <c r="U21" s="82"/>
      <c r="V21" s="82"/>
      <c r="W21" s="82"/>
      <c r="X21" s="82"/>
      <c r="Y21" s="82"/>
      <c r="Z21" s="58" t="s">
        <v>111</v>
      </c>
      <c r="AA21" s="58" t="s">
        <v>111</v>
      </c>
      <c r="AB21" s="118">
        <v>0.0</v>
      </c>
      <c r="AC21" s="118" t="s">
        <v>111</v>
      </c>
      <c r="AD21" s="58" t="s">
        <v>111</v>
      </c>
      <c r="AE21" s="79" t="s">
        <v>306</v>
      </c>
      <c r="AF21" s="82"/>
      <c r="AG21" s="82"/>
      <c r="AH21" s="82"/>
      <c r="AI21" s="82"/>
      <c r="AJ21" s="82"/>
      <c r="AK21" s="54" t="s">
        <v>108</v>
      </c>
      <c r="AL21" s="82"/>
      <c r="AM21" s="82"/>
      <c r="AN21" s="82"/>
      <c r="AO21" s="82"/>
      <c r="AP21" s="79" t="s">
        <v>307</v>
      </c>
      <c r="AQ21" s="82"/>
      <c r="AR21" s="82"/>
      <c r="AS21" s="82"/>
      <c r="AT21" s="82"/>
      <c r="AU21" s="79" t="s">
        <v>308</v>
      </c>
      <c r="AV21" s="51" t="s">
        <v>61</v>
      </c>
      <c r="AW21" s="75" t="s">
        <v>212</v>
      </c>
      <c r="AX21" s="87">
        <v>42573.0</v>
      </c>
      <c r="AY21" s="79">
        <v>0.225</v>
      </c>
      <c r="AZ21" s="63" t="s">
        <v>116</v>
      </c>
      <c r="BA21" s="51" t="s">
        <v>61</v>
      </c>
      <c r="BB21" s="51" t="s">
        <v>107</v>
      </c>
      <c r="BC21" s="82"/>
      <c r="BD21" s="52" t="s">
        <v>153</v>
      </c>
      <c r="BE21" s="51" t="s">
        <v>107</v>
      </c>
      <c r="BF21" s="28"/>
      <c r="BG21" s="28"/>
      <c r="BH21" s="28"/>
      <c r="BI21" s="28"/>
      <c r="BJ21" s="28"/>
      <c r="BK21" s="28"/>
    </row>
    <row r="22" ht="13.5" customHeight="1">
      <c r="A22" s="76">
        <v>21.0</v>
      </c>
      <c r="B22" s="77">
        <v>46225.48884689815</v>
      </c>
      <c r="C22" s="79" t="s">
        <v>292</v>
      </c>
      <c r="D22" s="82"/>
      <c r="E22" s="79" t="s">
        <v>300</v>
      </c>
      <c r="F22" s="79" t="s">
        <v>285</v>
      </c>
      <c r="G22" s="79" t="s">
        <v>301</v>
      </c>
      <c r="H22" s="79">
        <v>18.0</v>
      </c>
      <c r="I22" s="141" t="s">
        <v>309</v>
      </c>
      <c r="J22" s="63" t="s">
        <v>74</v>
      </c>
      <c r="K22" s="51" t="s">
        <v>121</v>
      </c>
      <c r="L22" s="50" t="s">
        <v>103</v>
      </c>
      <c r="M22" s="79">
        <v>5.0</v>
      </c>
      <c r="N22" s="51" t="s">
        <v>107</v>
      </c>
      <c r="O22" s="58" t="s">
        <v>111</v>
      </c>
      <c r="P22" s="58" t="s">
        <v>111</v>
      </c>
      <c r="Q22" s="118">
        <v>0.0</v>
      </c>
      <c r="R22" s="118" t="s">
        <v>111</v>
      </c>
      <c r="S22" s="58" t="s">
        <v>111</v>
      </c>
      <c r="T22" s="79" t="s">
        <v>297</v>
      </c>
      <c r="U22" s="82"/>
      <c r="V22" s="82"/>
      <c r="W22" s="82"/>
      <c r="X22" s="82"/>
      <c r="Y22" s="82"/>
      <c r="Z22" s="58" t="s">
        <v>111</v>
      </c>
      <c r="AA22" s="58" t="s">
        <v>111</v>
      </c>
      <c r="AB22" s="118">
        <v>0.0</v>
      </c>
      <c r="AC22" s="118" t="s">
        <v>111</v>
      </c>
      <c r="AD22" s="58" t="s">
        <v>111</v>
      </c>
      <c r="AE22" s="79" t="s">
        <v>297</v>
      </c>
      <c r="AF22" s="82"/>
      <c r="AG22" s="82"/>
      <c r="AH22" s="82"/>
      <c r="AI22" s="82"/>
      <c r="AJ22" s="82"/>
      <c r="AK22" s="54" t="s">
        <v>108</v>
      </c>
      <c r="AL22" s="82"/>
      <c r="AM22" s="82"/>
      <c r="AN22" s="82"/>
      <c r="AO22" s="82"/>
      <c r="AP22" s="79" t="s">
        <v>307</v>
      </c>
      <c r="AQ22" s="82"/>
      <c r="AR22" s="82"/>
      <c r="AS22" s="82"/>
      <c r="AT22" s="82"/>
      <c r="AU22" s="79" t="s">
        <v>144</v>
      </c>
      <c r="AV22" s="51" t="s">
        <v>61</v>
      </c>
      <c r="AW22" s="75" t="s">
        <v>212</v>
      </c>
      <c r="AX22" s="87">
        <v>42938.0</v>
      </c>
      <c r="AY22" s="79">
        <v>0.225</v>
      </c>
      <c r="AZ22" s="51" t="s">
        <v>107</v>
      </c>
      <c r="BA22" s="51" t="s">
        <v>61</v>
      </c>
      <c r="BB22" s="51" t="s">
        <v>107</v>
      </c>
      <c r="BC22" s="82"/>
      <c r="BD22" s="52" t="s">
        <v>153</v>
      </c>
      <c r="BE22" s="63" t="s">
        <v>116</v>
      </c>
      <c r="BF22" s="28"/>
      <c r="BG22" s="28"/>
      <c r="BH22" s="28"/>
      <c r="BI22" s="28"/>
      <c r="BJ22" s="28"/>
      <c r="BK22" s="28"/>
    </row>
    <row r="23" ht="13.5" customHeight="1">
      <c r="A23" s="45">
        <v>22.0</v>
      </c>
      <c r="B23" s="77">
        <v>46225.49337967593</v>
      </c>
      <c r="C23" s="79" t="s">
        <v>292</v>
      </c>
      <c r="D23" s="82"/>
      <c r="E23" s="79" t="s">
        <v>301</v>
      </c>
      <c r="F23" s="79" t="s">
        <v>310</v>
      </c>
      <c r="G23" s="79" t="s">
        <v>301</v>
      </c>
      <c r="H23" s="79">
        <v>38.19</v>
      </c>
      <c r="I23" s="141" t="s">
        <v>311</v>
      </c>
      <c r="J23" s="51" t="s">
        <v>61</v>
      </c>
      <c r="K23" s="51" t="s">
        <v>121</v>
      </c>
      <c r="L23" s="51" t="s">
        <v>106</v>
      </c>
      <c r="M23" s="79">
        <v>3.1</v>
      </c>
      <c r="N23" s="51" t="s">
        <v>107</v>
      </c>
      <c r="O23" s="54" t="s">
        <v>108</v>
      </c>
      <c r="P23" s="62" t="s">
        <v>115</v>
      </c>
      <c r="Q23" s="82"/>
      <c r="R23" s="82"/>
      <c r="S23" s="82"/>
      <c r="T23" s="79" t="s">
        <v>144</v>
      </c>
      <c r="U23" s="82"/>
      <c r="V23" s="82"/>
      <c r="W23" s="82"/>
      <c r="X23" s="82"/>
      <c r="Y23" s="82"/>
      <c r="Z23" s="58" t="s">
        <v>111</v>
      </c>
      <c r="AA23" s="58" t="s">
        <v>111</v>
      </c>
      <c r="AB23" s="118">
        <v>0.0</v>
      </c>
      <c r="AC23" s="118" t="s">
        <v>111</v>
      </c>
      <c r="AD23" s="58" t="s">
        <v>111</v>
      </c>
      <c r="AE23" s="79" t="s">
        <v>144</v>
      </c>
      <c r="AF23" s="82"/>
      <c r="AG23" s="82"/>
      <c r="AH23" s="82"/>
      <c r="AI23" s="82"/>
      <c r="AJ23" s="82"/>
      <c r="AK23" s="54" t="s">
        <v>108</v>
      </c>
      <c r="AL23" s="51" t="s">
        <v>120</v>
      </c>
      <c r="AM23" s="82"/>
      <c r="AN23" s="82"/>
      <c r="AO23" s="82"/>
      <c r="AP23" s="79" t="s">
        <v>144</v>
      </c>
      <c r="AQ23" s="82"/>
      <c r="AR23" s="82"/>
      <c r="AS23" s="82"/>
      <c r="AT23" s="82"/>
      <c r="AU23" s="79" t="s">
        <v>144</v>
      </c>
      <c r="AV23" s="51" t="s">
        <v>61</v>
      </c>
      <c r="AW23" s="70" t="s">
        <v>127</v>
      </c>
      <c r="AX23" s="87">
        <v>42573.0</v>
      </c>
      <c r="AY23" s="143" t="s">
        <v>312</v>
      </c>
      <c r="AZ23" s="82"/>
      <c r="BA23" s="51" t="s">
        <v>61</v>
      </c>
      <c r="BB23" s="51" t="s">
        <v>107</v>
      </c>
      <c r="BC23" s="82"/>
      <c r="BD23" s="52" t="s">
        <v>153</v>
      </c>
      <c r="BE23" s="51" t="s">
        <v>107</v>
      </c>
      <c r="BF23" s="28"/>
      <c r="BG23" s="28"/>
      <c r="BH23" s="28"/>
      <c r="BI23" s="28"/>
      <c r="BJ23" s="28"/>
      <c r="BK23" s="28"/>
    </row>
    <row r="24" ht="13.5" customHeight="1">
      <c r="A24" s="76">
        <v>23.0</v>
      </c>
      <c r="B24" s="77">
        <v>46225.50036880787</v>
      </c>
      <c r="C24" s="79" t="s">
        <v>292</v>
      </c>
      <c r="D24" s="82"/>
      <c r="E24" s="79" t="s">
        <v>313</v>
      </c>
      <c r="F24" s="79" t="s">
        <v>285</v>
      </c>
      <c r="G24" s="82"/>
      <c r="H24" s="79">
        <v>140.0</v>
      </c>
      <c r="I24" s="141" t="s">
        <v>314</v>
      </c>
      <c r="J24" s="63" t="s">
        <v>74</v>
      </c>
      <c r="K24" s="52" t="s">
        <v>105</v>
      </c>
      <c r="L24" s="51" t="s">
        <v>106</v>
      </c>
      <c r="M24" s="79">
        <v>5.0</v>
      </c>
      <c r="N24" s="51" t="s">
        <v>107</v>
      </c>
      <c r="O24" s="58" t="s">
        <v>111</v>
      </c>
      <c r="P24" s="58" t="s">
        <v>111</v>
      </c>
      <c r="Q24" s="118">
        <v>0.0</v>
      </c>
      <c r="R24" s="118" t="s">
        <v>111</v>
      </c>
      <c r="S24" s="58" t="s">
        <v>111</v>
      </c>
      <c r="T24" s="79" t="s">
        <v>297</v>
      </c>
      <c r="U24" s="82"/>
      <c r="V24" s="82"/>
      <c r="W24" s="82"/>
      <c r="X24" s="82"/>
      <c r="Y24" s="82"/>
      <c r="Z24" s="58" t="s">
        <v>111</v>
      </c>
      <c r="AA24" s="58" t="s">
        <v>111</v>
      </c>
      <c r="AB24" s="118">
        <v>0.0</v>
      </c>
      <c r="AC24" s="118" t="s">
        <v>111</v>
      </c>
      <c r="AD24" s="58" t="s">
        <v>111</v>
      </c>
      <c r="AE24" s="79" t="s">
        <v>297</v>
      </c>
      <c r="AF24" s="82"/>
      <c r="AG24" s="82"/>
      <c r="AH24" s="82"/>
      <c r="AI24" s="82"/>
      <c r="AJ24" s="82"/>
      <c r="AK24" s="92" t="s">
        <v>149</v>
      </c>
      <c r="AL24" s="51" t="s">
        <v>120</v>
      </c>
      <c r="AM24" s="79">
        <v>0.5</v>
      </c>
      <c r="AN24" s="87">
        <v>42573.0</v>
      </c>
      <c r="AO24" s="51" t="s">
        <v>107</v>
      </c>
      <c r="AP24" s="82"/>
      <c r="AQ24" s="142" t="s">
        <v>174</v>
      </c>
      <c r="AR24" s="79">
        <v>0.5</v>
      </c>
      <c r="AS24" s="87">
        <v>42573.0</v>
      </c>
      <c r="AT24" s="51" t="s">
        <v>107</v>
      </c>
      <c r="AU24" s="82"/>
      <c r="AV24" s="51" t="s">
        <v>61</v>
      </c>
      <c r="AW24" s="70" t="s">
        <v>127</v>
      </c>
      <c r="AX24" s="87">
        <v>42573.0</v>
      </c>
      <c r="AY24" s="79">
        <v>0.225</v>
      </c>
      <c r="AZ24" s="51" t="s">
        <v>107</v>
      </c>
      <c r="BA24" s="51" t="s">
        <v>61</v>
      </c>
      <c r="BB24" s="51" t="s">
        <v>107</v>
      </c>
      <c r="BC24" s="82"/>
      <c r="BD24" s="52" t="s">
        <v>153</v>
      </c>
      <c r="BE24" s="51" t="s">
        <v>107</v>
      </c>
      <c r="BF24" s="28"/>
      <c r="BG24" s="28"/>
      <c r="BH24" s="28"/>
      <c r="BI24" s="28"/>
      <c r="BJ24" s="28"/>
      <c r="BK24" s="28"/>
    </row>
    <row r="25" ht="13.5" customHeight="1">
      <c r="A25" s="76">
        <v>24.0</v>
      </c>
      <c r="B25" s="77">
        <v>46225.50786601852</v>
      </c>
      <c r="C25" s="79" t="s">
        <v>292</v>
      </c>
      <c r="D25" s="82"/>
      <c r="E25" s="79" t="s">
        <v>315</v>
      </c>
      <c r="F25" s="79" t="s">
        <v>316</v>
      </c>
      <c r="G25" s="79" t="s">
        <v>301</v>
      </c>
      <c r="H25" s="79">
        <v>120.0</v>
      </c>
      <c r="I25" s="141" t="s">
        <v>317</v>
      </c>
      <c r="J25" s="51" t="s">
        <v>61</v>
      </c>
      <c r="K25" s="52" t="s">
        <v>105</v>
      </c>
      <c r="L25" s="51" t="s">
        <v>106</v>
      </c>
      <c r="M25" s="79">
        <v>3.5</v>
      </c>
      <c r="N25" s="51" t="s">
        <v>107</v>
      </c>
      <c r="O25" s="54" t="s">
        <v>108</v>
      </c>
      <c r="P25" s="62" t="s">
        <v>115</v>
      </c>
      <c r="Q25" s="79">
        <v>1.0</v>
      </c>
      <c r="R25" s="87">
        <v>44034.0</v>
      </c>
      <c r="S25" s="51" t="s">
        <v>107</v>
      </c>
      <c r="T25" s="79" t="s">
        <v>166</v>
      </c>
      <c r="U25" s="82"/>
      <c r="V25" s="82"/>
      <c r="W25" s="82"/>
      <c r="X25" s="82"/>
      <c r="Y25" s="82"/>
      <c r="Z25" s="61" t="s">
        <v>114</v>
      </c>
      <c r="AA25" s="62" t="s">
        <v>115</v>
      </c>
      <c r="AB25" s="79">
        <v>1.0</v>
      </c>
      <c r="AC25" s="87">
        <v>42573.0</v>
      </c>
      <c r="AD25" s="82"/>
      <c r="AE25" s="82"/>
      <c r="AF25" s="82"/>
      <c r="AG25" s="82"/>
      <c r="AH25" s="82"/>
      <c r="AI25" s="82"/>
      <c r="AJ25" s="82"/>
      <c r="AK25" s="54" t="s">
        <v>108</v>
      </c>
      <c r="AL25" s="51" t="s">
        <v>120</v>
      </c>
      <c r="AM25" s="79">
        <v>0.5</v>
      </c>
      <c r="AN25" s="87">
        <v>42573.0</v>
      </c>
      <c r="AO25" s="51" t="s">
        <v>107</v>
      </c>
      <c r="AP25" s="82"/>
      <c r="AQ25" s="61" t="s">
        <v>114</v>
      </c>
      <c r="AR25" s="79">
        <v>0.5</v>
      </c>
      <c r="AS25" s="87">
        <v>42573.0</v>
      </c>
      <c r="AT25" s="51" t="s">
        <v>107</v>
      </c>
      <c r="AU25" s="82"/>
      <c r="AV25" s="51" t="s">
        <v>61</v>
      </c>
      <c r="AW25" s="70" t="s">
        <v>127</v>
      </c>
      <c r="AX25" s="87">
        <v>42573.0</v>
      </c>
      <c r="AY25" s="79">
        <v>0.225</v>
      </c>
      <c r="AZ25" s="51" t="s">
        <v>107</v>
      </c>
      <c r="BA25" s="51" t="s">
        <v>61</v>
      </c>
      <c r="BB25" s="51" t="s">
        <v>107</v>
      </c>
      <c r="BC25" s="82"/>
      <c r="BD25" s="52" t="s">
        <v>153</v>
      </c>
      <c r="BE25" s="51" t="s">
        <v>107</v>
      </c>
      <c r="BF25" s="28"/>
      <c r="BG25" s="28"/>
      <c r="BH25" s="28"/>
      <c r="BI25" s="28"/>
      <c r="BJ25" s="28"/>
      <c r="BK25" s="28"/>
    </row>
    <row r="26" ht="13.5" customHeight="1">
      <c r="A26" s="45">
        <v>25.0</v>
      </c>
      <c r="B26" s="77">
        <v>46225.51374473379</v>
      </c>
      <c r="C26" s="79" t="s">
        <v>292</v>
      </c>
      <c r="D26" s="82"/>
      <c r="E26" s="79" t="s">
        <v>318</v>
      </c>
      <c r="F26" s="79" t="s">
        <v>288</v>
      </c>
      <c r="G26" s="79" t="s">
        <v>301</v>
      </c>
      <c r="H26" s="79">
        <v>140.0</v>
      </c>
      <c r="I26" s="141" t="s">
        <v>319</v>
      </c>
      <c r="J26" s="144" t="s">
        <v>84</v>
      </c>
      <c r="K26" s="52" t="s">
        <v>105</v>
      </c>
      <c r="L26" s="51" t="s">
        <v>106</v>
      </c>
      <c r="M26" s="79">
        <v>3.6</v>
      </c>
      <c r="N26" s="51" t="s">
        <v>107</v>
      </c>
      <c r="O26" s="58" t="s">
        <v>111</v>
      </c>
      <c r="P26" s="58" t="s">
        <v>111</v>
      </c>
      <c r="Q26" s="118">
        <v>0.0</v>
      </c>
      <c r="R26" s="118" t="s">
        <v>111</v>
      </c>
      <c r="S26" s="58" t="s">
        <v>111</v>
      </c>
      <c r="T26" s="79" t="s">
        <v>320</v>
      </c>
      <c r="U26" s="82"/>
      <c r="V26" s="82"/>
      <c r="W26" s="82"/>
      <c r="X26" s="82"/>
      <c r="Y26" s="82"/>
      <c r="Z26" s="58" t="s">
        <v>111</v>
      </c>
      <c r="AA26" s="58" t="s">
        <v>111</v>
      </c>
      <c r="AB26" s="118">
        <v>0.0</v>
      </c>
      <c r="AC26" s="118" t="s">
        <v>111</v>
      </c>
      <c r="AD26" s="58" t="s">
        <v>111</v>
      </c>
      <c r="AE26" s="79" t="s">
        <v>297</v>
      </c>
      <c r="AF26" s="82"/>
      <c r="AG26" s="82"/>
      <c r="AH26" s="82"/>
      <c r="AI26" s="82"/>
      <c r="AJ26" s="82"/>
      <c r="AK26" s="54" t="s">
        <v>108</v>
      </c>
      <c r="AL26" s="51" t="s">
        <v>120</v>
      </c>
      <c r="AM26" s="79">
        <v>0.5</v>
      </c>
      <c r="AN26" s="87">
        <v>42573.0</v>
      </c>
      <c r="AO26" s="51" t="s">
        <v>107</v>
      </c>
      <c r="AP26" s="82"/>
      <c r="AQ26" s="61" t="s">
        <v>114</v>
      </c>
      <c r="AR26" s="79">
        <v>0.5</v>
      </c>
      <c r="AS26" s="87">
        <v>42573.0</v>
      </c>
      <c r="AT26" s="51" t="s">
        <v>107</v>
      </c>
      <c r="AU26" s="82"/>
      <c r="AV26" s="51" t="s">
        <v>61</v>
      </c>
      <c r="AW26" s="70" t="s">
        <v>127</v>
      </c>
      <c r="AX26" s="87">
        <v>42573.0</v>
      </c>
      <c r="AY26" s="79">
        <v>0.225</v>
      </c>
      <c r="AZ26" s="51" t="s">
        <v>107</v>
      </c>
      <c r="BA26" s="51" t="s">
        <v>61</v>
      </c>
      <c r="BB26" s="51" t="s">
        <v>107</v>
      </c>
      <c r="BC26" s="82"/>
      <c r="BD26" s="52" t="s">
        <v>153</v>
      </c>
      <c r="BE26" s="51" t="s">
        <v>107</v>
      </c>
      <c r="BF26" s="28"/>
      <c r="BG26" s="28"/>
      <c r="BH26" s="28"/>
      <c r="BI26" s="28"/>
      <c r="BJ26" s="28"/>
      <c r="BK26" s="28"/>
    </row>
    <row r="27" ht="13.5" customHeight="1">
      <c r="A27" s="76">
        <v>26.0</v>
      </c>
      <c r="B27" s="77">
        <v>46225.51620162037</v>
      </c>
      <c r="C27" s="79" t="s">
        <v>292</v>
      </c>
      <c r="D27" s="82"/>
      <c r="E27" s="79" t="s">
        <v>321</v>
      </c>
      <c r="F27" s="79" t="s">
        <v>322</v>
      </c>
      <c r="G27" s="79" t="s">
        <v>301</v>
      </c>
      <c r="H27" s="79">
        <v>166.0</v>
      </c>
      <c r="I27" s="141" t="s">
        <v>323</v>
      </c>
      <c r="J27" s="51" t="s">
        <v>61</v>
      </c>
      <c r="K27" s="52" t="s">
        <v>105</v>
      </c>
      <c r="L27" s="51" t="s">
        <v>106</v>
      </c>
      <c r="M27" s="79">
        <v>4.0</v>
      </c>
      <c r="N27" s="51" t="s">
        <v>107</v>
      </c>
      <c r="O27" s="54" t="s">
        <v>108</v>
      </c>
      <c r="P27" s="62" t="s">
        <v>115</v>
      </c>
      <c r="Q27" s="79">
        <v>1.0</v>
      </c>
      <c r="R27" s="87">
        <v>44034.0</v>
      </c>
      <c r="S27" s="51" t="s">
        <v>107</v>
      </c>
      <c r="T27" s="79" t="s">
        <v>324</v>
      </c>
      <c r="U27" s="82"/>
      <c r="V27" s="82"/>
      <c r="W27" s="82"/>
      <c r="X27" s="82"/>
      <c r="Y27" s="82"/>
      <c r="Z27" s="61" t="s">
        <v>114</v>
      </c>
      <c r="AA27" s="62" t="s">
        <v>115</v>
      </c>
      <c r="AB27" s="79">
        <v>1.0</v>
      </c>
      <c r="AC27" s="87">
        <v>44034.0</v>
      </c>
      <c r="AD27" s="51" t="s">
        <v>107</v>
      </c>
      <c r="AE27" s="82"/>
      <c r="AF27" s="82"/>
      <c r="AG27" s="82"/>
      <c r="AH27" s="82"/>
      <c r="AI27" s="82"/>
      <c r="AJ27" s="82"/>
      <c r="AK27" s="54" t="s">
        <v>108</v>
      </c>
      <c r="AL27" s="51" t="s">
        <v>120</v>
      </c>
      <c r="AM27" s="79">
        <v>0.5</v>
      </c>
      <c r="AN27" s="87">
        <v>42573.0</v>
      </c>
      <c r="AO27" s="51" t="s">
        <v>107</v>
      </c>
      <c r="AP27" s="82"/>
      <c r="AQ27" s="61" t="s">
        <v>114</v>
      </c>
      <c r="AR27" s="79">
        <v>0.5</v>
      </c>
      <c r="AS27" s="87">
        <v>42573.0</v>
      </c>
      <c r="AT27" s="51" t="s">
        <v>107</v>
      </c>
      <c r="AU27" s="82"/>
      <c r="AV27" s="51" t="s">
        <v>61</v>
      </c>
      <c r="AW27" s="70" t="s">
        <v>127</v>
      </c>
      <c r="AX27" s="87">
        <v>42573.0</v>
      </c>
      <c r="AY27" s="79">
        <v>0.225</v>
      </c>
      <c r="AZ27" s="51" t="s">
        <v>107</v>
      </c>
      <c r="BA27" s="51" t="s">
        <v>61</v>
      </c>
      <c r="BB27" s="51" t="s">
        <v>107</v>
      </c>
      <c r="BC27" s="82"/>
      <c r="BD27" s="52" t="s">
        <v>153</v>
      </c>
      <c r="BE27" s="63" t="s">
        <v>116</v>
      </c>
      <c r="BF27" s="28"/>
      <c r="BG27" s="28"/>
      <c r="BH27" s="28"/>
      <c r="BI27" s="28"/>
      <c r="BJ27" s="28"/>
      <c r="BK27" s="28"/>
    </row>
    <row r="28" ht="13.5" customHeight="1">
      <c r="A28" s="76">
        <v>27.0</v>
      </c>
      <c r="B28" s="77">
        <v>46225.52096164352</v>
      </c>
      <c r="C28" s="79" t="s">
        <v>292</v>
      </c>
      <c r="D28" s="82"/>
      <c r="E28" s="79" t="s">
        <v>322</v>
      </c>
      <c r="F28" s="79" t="s">
        <v>325</v>
      </c>
      <c r="G28" s="79" t="s">
        <v>301</v>
      </c>
      <c r="H28" s="79">
        <v>38.0</v>
      </c>
      <c r="I28" s="141" t="s">
        <v>326</v>
      </c>
      <c r="J28" s="63" t="s">
        <v>74</v>
      </c>
      <c r="K28" s="51" t="s">
        <v>121</v>
      </c>
      <c r="L28" s="51" t="s">
        <v>106</v>
      </c>
      <c r="M28" s="79">
        <v>4.6</v>
      </c>
      <c r="N28" s="51" t="s">
        <v>107</v>
      </c>
      <c r="O28" s="58" t="s">
        <v>111</v>
      </c>
      <c r="P28" s="58" t="s">
        <v>111</v>
      </c>
      <c r="Q28" s="118">
        <v>0.0</v>
      </c>
      <c r="R28" s="118" t="s">
        <v>111</v>
      </c>
      <c r="S28" s="58" t="s">
        <v>111</v>
      </c>
      <c r="T28" s="79" t="s">
        <v>144</v>
      </c>
      <c r="U28" s="82"/>
      <c r="V28" s="82"/>
      <c r="W28" s="82"/>
      <c r="X28" s="82"/>
      <c r="Y28" s="82"/>
      <c r="Z28" s="58" t="s">
        <v>111</v>
      </c>
      <c r="AA28" s="58" t="s">
        <v>111</v>
      </c>
      <c r="AB28" s="118">
        <v>0.0</v>
      </c>
      <c r="AC28" s="118" t="s">
        <v>111</v>
      </c>
      <c r="AD28" s="58" t="s">
        <v>111</v>
      </c>
      <c r="AE28" s="79" t="s">
        <v>144</v>
      </c>
      <c r="AF28" s="82"/>
      <c r="AG28" s="82"/>
      <c r="AH28" s="82"/>
      <c r="AI28" s="82"/>
      <c r="AJ28" s="82"/>
      <c r="AK28" s="54" t="s">
        <v>108</v>
      </c>
      <c r="AL28" s="82"/>
      <c r="AM28" s="79" t="s">
        <v>327</v>
      </c>
      <c r="AN28" s="87">
        <v>42573.0</v>
      </c>
      <c r="AO28" s="124" t="s">
        <v>152</v>
      </c>
      <c r="AP28" s="79" t="s">
        <v>328</v>
      </c>
      <c r="AQ28" s="142" t="s">
        <v>174</v>
      </c>
      <c r="AR28" s="79" t="s">
        <v>329</v>
      </c>
      <c r="AS28" s="87">
        <v>42573.0</v>
      </c>
      <c r="AT28" s="124" t="s">
        <v>152</v>
      </c>
      <c r="AU28" s="79" t="s">
        <v>328</v>
      </c>
      <c r="AV28" s="145" t="s">
        <v>74</v>
      </c>
      <c r="AW28" s="82"/>
      <c r="AX28" s="82"/>
      <c r="AY28" s="82"/>
      <c r="AZ28" s="82"/>
      <c r="BA28" s="51" t="s">
        <v>61</v>
      </c>
      <c r="BB28" s="51" t="s">
        <v>107</v>
      </c>
      <c r="BC28" s="82"/>
      <c r="BD28" s="52" t="s">
        <v>153</v>
      </c>
      <c r="BE28" s="124" t="s">
        <v>152</v>
      </c>
      <c r="BF28" s="28"/>
      <c r="BG28" s="28"/>
      <c r="BH28" s="28"/>
      <c r="BI28" s="28"/>
      <c r="BJ28" s="28"/>
      <c r="BK28" s="28"/>
    </row>
    <row r="29" ht="13.5" customHeight="1">
      <c r="A29" s="45">
        <v>28.0</v>
      </c>
      <c r="B29" s="77">
        <v>46225.52429203704</v>
      </c>
      <c r="C29" s="79" t="s">
        <v>292</v>
      </c>
      <c r="D29" s="82"/>
      <c r="E29" s="79" t="s">
        <v>330</v>
      </c>
      <c r="F29" s="79" t="s">
        <v>331</v>
      </c>
      <c r="G29" s="79" t="s">
        <v>301</v>
      </c>
      <c r="H29" s="79">
        <v>33.0</v>
      </c>
      <c r="I29" s="141" t="s">
        <v>332</v>
      </c>
      <c r="J29" s="63" t="s">
        <v>74</v>
      </c>
      <c r="K29" s="51" t="s">
        <v>121</v>
      </c>
      <c r="L29" s="51" t="s">
        <v>106</v>
      </c>
      <c r="M29" s="79">
        <v>4.0</v>
      </c>
      <c r="N29" s="51" t="s">
        <v>107</v>
      </c>
      <c r="O29" s="58" t="s">
        <v>111</v>
      </c>
      <c r="P29" s="58" t="s">
        <v>111</v>
      </c>
      <c r="Q29" s="118">
        <v>0.0</v>
      </c>
      <c r="R29" s="118" t="s">
        <v>111</v>
      </c>
      <c r="S29" s="58" t="s">
        <v>111</v>
      </c>
      <c r="T29" s="79" t="s">
        <v>297</v>
      </c>
      <c r="U29" s="82"/>
      <c r="V29" s="82"/>
      <c r="W29" s="82"/>
      <c r="X29" s="82"/>
      <c r="Y29" s="82"/>
      <c r="Z29" s="58" t="s">
        <v>111</v>
      </c>
      <c r="AA29" s="58" t="s">
        <v>111</v>
      </c>
      <c r="AB29" s="118">
        <v>0.0</v>
      </c>
      <c r="AC29" s="118" t="s">
        <v>111</v>
      </c>
      <c r="AD29" s="58" t="s">
        <v>111</v>
      </c>
      <c r="AE29" s="79" t="s">
        <v>297</v>
      </c>
      <c r="AF29" s="82"/>
      <c r="AG29" s="82"/>
      <c r="AH29" s="82"/>
      <c r="AI29" s="82"/>
      <c r="AJ29" s="82"/>
      <c r="AK29" s="92" t="s">
        <v>149</v>
      </c>
      <c r="AL29" s="51" t="s">
        <v>120</v>
      </c>
      <c r="AM29" s="79" t="s">
        <v>329</v>
      </c>
      <c r="AN29" s="87">
        <v>44399.0</v>
      </c>
      <c r="AO29" s="51" t="s">
        <v>107</v>
      </c>
      <c r="AP29" s="82"/>
      <c r="AQ29" s="142" t="s">
        <v>174</v>
      </c>
      <c r="AR29" s="79" t="s">
        <v>329</v>
      </c>
      <c r="AS29" s="87">
        <v>44034.0</v>
      </c>
      <c r="AT29" s="51" t="s">
        <v>107</v>
      </c>
      <c r="AU29" s="79" t="s">
        <v>107</v>
      </c>
      <c r="AV29" s="145" t="s">
        <v>74</v>
      </c>
      <c r="AW29" s="82"/>
      <c r="AX29" s="82"/>
      <c r="AY29" s="82"/>
      <c r="AZ29" s="145" t="s">
        <v>194</v>
      </c>
      <c r="BA29" s="51" t="s">
        <v>61</v>
      </c>
      <c r="BB29" s="51" t="s">
        <v>107</v>
      </c>
      <c r="BC29" s="82"/>
      <c r="BD29" s="63" t="s">
        <v>116</v>
      </c>
      <c r="BE29" s="63" t="s">
        <v>116</v>
      </c>
      <c r="BF29" s="28"/>
      <c r="BG29" s="28"/>
      <c r="BH29" s="28"/>
      <c r="BI29" s="28"/>
      <c r="BJ29" s="28"/>
      <c r="BK29" s="28"/>
    </row>
    <row r="30" ht="13.5" customHeight="1">
      <c r="A30" s="76">
        <v>29.0</v>
      </c>
      <c r="B30" s="77">
        <v>46225.528054016206</v>
      </c>
      <c r="C30" s="79" t="s">
        <v>292</v>
      </c>
      <c r="D30" s="82"/>
      <c r="E30" s="79" t="s">
        <v>318</v>
      </c>
      <c r="F30" s="79" t="s">
        <v>333</v>
      </c>
      <c r="G30" s="79" t="s">
        <v>301</v>
      </c>
      <c r="H30" s="79">
        <v>30.0</v>
      </c>
      <c r="I30" s="141" t="s">
        <v>334</v>
      </c>
      <c r="J30" s="63" t="s">
        <v>74</v>
      </c>
      <c r="K30" s="51" t="s">
        <v>121</v>
      </c>
      <c r="L30" s="51" t="s">
        <v>106</v>
      </c>
      <c r="M30" s="79">
        <v>2.8</v>
      </c>
      <c r="N30" s="51" t="s">
        <v>107</v>
      </c>
      <c r="O30" s="58" t="s">
        <v>111</v>
      </c>
      <c r="P30" s="58" t="s">
        <v>111</v>
      </c>
      <c r="Q30" s="118">
        <v>0.0</v>
      </c>
      <c r="R30" s="118" t="s">
        <v>111</v>
      </c>
      <c r="S30" s="58" t="s">
        <v>111</v>
      </c>
      <c r="T30" s="79" t="s">
        <v>297</v>
      </c>
      <c r="U30" s="82"/>
      <c r="V30" s="82"/>
      <c r="W30" s="82"/>
      <c r="X30" s="82"/>
      <c r="Y30" s="82"/>
      <c r="Z30" s="58" t="s">
        <v>111</v>
      </c>
      <c r="AA30" s="58" t="s">
        <v>111</v>
      </c>
      <c r="AB30" s="118">
        <v>0.0</v>
      </c>
      <c r="AC30" s="118" t="s">
        <v>111</v>
      </c>
      <c r="AD30" s="58" t="s">
        <v>111</v>
      </c>
      <c r="AE30" s="79" t="s">
        <v>297</v>
      </c>
      <c r="AF30" s="82"/>
      <c r="AG30" s="82"/>
      <c r="AH30" s="82"/>
      <c r="AI30" s="82"/>
      <c r="AJ30" s="82"/>
      <c r="AK30" s="92" t="s">
        <v>149</v>
      </c>
      <c r="AL30" s="51" t="s">
        <v>120</v>
      </c>
      <c r="AM30" s="79" t="s">
        <v>335</v>
      </c>
      <c r="AN30" s="87">
        <v>44399.0</v>
      </c>
      <c r="AO30" s="124" t="s">
        <v>152</v>
      </c>
      <c r="AP30" s="79" t="s">
        <v>336</v>
      </c>
      <c r="AQ30" s="142" t="s">
        <v>174</v>
      </c>
      <c r="AR30" s="79" t="s">
        <v>329</v>
      </c>
      <c r="AS30" s="87">
        <v>44399.0</v>
      </c>
      <c r="AT30" s="124" t="s">
        <v>152</v>
      </c>
      <c r="AU30" s="79" t="s">
        <v>337</v>
      </c>
      <c r="AV30" s="51" t="s">
        <v>61</v>
      </c>
      <c r="AW30" s="70" t="s">
        <v>127</v>
      </c>
      <c r="AX30" s="87">
        <v>42573.0</v>
      </c>
      <c r="AY30" s="79">
        <v>0.225</v>
      </c>
      <c r="AZ30" s="51" t="s">
        <v>107</v>
      </c>
      <c r="BA30" s="145" t="s">
        <v>74</v>
      </c>
      <c r="BB30" s="82"/>
      <c r="BC30" s="82"/>
      <c r="BD30" s="63" t="s">
        <v>116</v>
      </c>
      <c r="BE30" s="63" t="s">
        <v>116</v>
      </c>
      <c r="BF30" s="28"/>
      <c r="BG30" s="28"/>
      <c r="BH30" s="28"/>
      <c r="BI30" s="28"/>
      <c r="BJ30" s="28"/>
      <c r="BK30" s="28"/>
    </row>
    <row r="31" ht="13.5" customHeight="1">
      <c r="A31" s="76">
        <v>30.0</v>
      </c>
      <c r="B31" s="77">
        <v>46225.53097636574</v>
      </c>
      <c r="C31" s="79" t="s">
        <v>292</v>
      </c>
      <c r="D31" s="82"/>
      <c r="E31" s="79" t="s">
        <v>338</v>
      </c>
      <c r="F31" s="79" t="s">
        <v>339</v>
      </c>
      <c r="G31" s="79" t="s">
        <v>301</v>
      </c>
      <c r="H31" s="79">
        <v>42.0</v>
      </c>
      <c r="I31" s="141" t="s">
        <v>340</v>
      </c>
      <c r="J31" s="63" t="s">
        <v>74</v>
      </c>
      <c r="K31" s="51" t="s">
        <v>121</v>
      </c>
      <c r="L31" s="51" t="s">
        <v>106</v>
      </c>
      <c r="M31" s="79">
        <v>2.5</v>
      </c>
      <c r="N31" s="51" t="s">
        <v>107</v>
      </c>
      <c r="O31" s="58" t="s">
        <v>111</v>
      </c>
      <c r="P31" s="58" t="s">
        <v>111</v>
      </c>
      <c r="Q31" s="118">
        <v>0.0</v>
      </c>
      <c r="R31" s="118" t="s">
        <v>111</v>
      </c>
      <c r="S31" s="58" t="s">
        <v>111</v>
      </c>
      <c r="T31" s="79" t="s">
        <v>297</v>
      </c>
      <c r="U31" s="82"/>
      <c r="V31" s="82"/>
      <c r="W31" s="82"/>
      <c r="X31" s="82"/>
      <c r="Y31" s="82"/>
      <c r="Z31" s="58" t="s">
        <v>111</v>
      </c>
      <c r="AA31" s="58" t="s">
        <v>111</v>
      </c>
      <c r="AB31" s="118">
        <v>0.0</v>
      </c>
      <c r="AC31" s="118" t="s">
        <v>111</v>
      </c>
      <c r="AD31" s="58" t="s">
        <v>111</v>
      </c>
      <c r="AE31" s="79" t="s">
        <v>341</v>
      </c>
      <c r="AF31" s="82"/>
      <c r="AG31" s="82"/>
      <c r="AH31" s="82"/>
      <c r="AI31" s="82"/>
      <c r="AJ31" s="82"/>
      <c r="AK31" s="92" t="s">
        <v>149</v>
      </c>
      <c r="AL31" s="51" t="s">
        <v>120</v>
      </c>
      <c r="AM31" s="79">
        <v>0.5</v>
      </c>
      <c r="AN31" s="87">
        <v>42573.0</v>
      </c>
      <c r="AO31" s="51" t="s">
        <v>107</v>
      </c>
      <c r="AP31" s="82"/>
      <c r="AQ31" s="142" t="s">
        <v>174</v>
      </c>
      <c r="AR31" s="79">
        <v>0.5</v>
      </c>
      <c r="AS31" s="87">
        <v>42573.0</v>
      </c>
      <c r="AT31" s="51" t="s">
        <v>107</v>
      </c>
      <c r="AU31" s="82"/>
      <c r="AV31" s="51" t="s">
        <v>61</v>
      </c>
      <c r="AW31" s="70" t="s">
        <v>127</v>
      </c>
      <c r="AX31" s="87">
        <v>42573.0</v>
      </c>
      <c r="AY31" s="79">
        <v>0.225</v>
      </c>
      <c r="AZ31" s="51" t="s">
        <v>107</v>
      </c>
      <c r="BA31" s="145" t="s">
        <v>74</v>
      </c>
      <c r="BB31" s="63" t="s">
        <v>116</v>
      </c>
      <c r="BC31" s="82"/>
      <c r="BD31" s="63" t="s">
        <v>116</v>
      </c>
      <c r="BE31" s="63" t="s">
        <v>116</v>
      </c>
      <c r="BF31" s="28"/>
      <c r="BG31" s="28"/>
      <c r="BH31" s="28"/>
      <c r="BI31" s="28"/>
      <c r="BJ31" s="28"/>
      <c r="BK31" s="28"/>
    </row>
    <row r="32" ht="13.5" customHeight="1">
      <c r="A32" s="45">
        <v>31.0</v>
      </c>
      <c r="B32" s="77">
        <v>46225.53437149306</v>
      </c>
      <c r="C32" s="79" t="s">
        <v>292</v>
      </c>
      <c r="D32" s="82"/>
      <c r="E32" s="79" t="s">
        <v>338</v>
      </c>
      <c r="F32" s="79" t="s">
        <v>342</v>
      </c>
      <c r="G32" s="79" t="s">
        <v>301</v>
      </c>
      <c r="H32" s="79">
        <v>35.0</v>
      </c>
      <c r="I32" s="141" t="s">
        <v>343</v>
      </c>
      <c r="J32" s="63" t="s">
        <v>74</v>
      </c>
      <c r="K32" s="51" t="s">
        <v>121</v>
      </c>
      <c r="L32" s="51" t="s">
        <v>106</v>
      </c>
      <c r="M32" s="79">
        <v>4.6</v>
      </c>
      <c r="N32" s="51" t="s">
        <v>107</v>
      </c>
      <c r="O32" s="92" t="s">
        <v>149</v>
      </c>
      <c r="P32" s="62" t="s">
        <v>115</v>
      </c>
      <c r="Q32" s="82"/>
      <c r="R32" s="82"/>
      <c r="S32" s="82"/>
      <c r="T32" s="79" t="s">
        <v>297</v>
      </c>
      <c r="U32" s="82"/>
      <c r="V32" s="82"/>
      <c r="W32" s="82"/>
      <c r="X32" s="82"/>
      <c r="Y32" s="82"/>
      <c r="Z32" s="58" t="s">
        <v>111</v>
      </c>
      <c r="AA32" s="58" t="s">
        <v>111</v>
      </c>
      <c r="AB32" s="118">
        <v>0.0</v>
      </c>
      <c r="AC32" s="118" t="s">
        <v>111</v>
      </c>
      <c r="AD32" s="58" t="s">
        <v>111</v>
      </c>
      <c r="AE32" s="79" t="s">
        <v>297</v>
      </c>
      <c r="AF32" s="82"/>
      <c r="AG32" s="82"/>
      <c r="AH32" s="82"/>
      <c r="AI32" s="82"/>
      <c r="AJ32" s="82"/>
      <c r="AK32" s="92" t="s">
        <v>149</v>
      </c>
      <c r="AL32" s="51" t="s">
        <v>120</v>
      </c>
      <c r="AM32" s="79" t="s">
        <v>335</v>
      </c>
      <c r="AN32" s="87">
        <v>44034.0</v>
      </c>
      <c r="AO32" s="124" t="s">
        <v>152</v>
      </c>
      <c r="AP32" s="82"/>
      <c r="AQ32" s="142" t="s">
        <v>174</v>
      </c>
      <c r="AR32" s="79" t="s">
        <v>344</v>
      </c>
      <c r="AS32" s="87">
        <v>44034.0</v>
      </c>
      <c r="AT32" s="51" t="s">
        <v>107</v>
      </c>
      <c r="AU32" s="82"/>
      <c r="AV32" s="145" t="s">
        <v>74</v>
      </c>
      <c r="AW32" s="82"/>
      <c r="AX32" s="82"/>
      <c r="AY32" s="82"/>
      <c r="AZ32" s="82"/>
      <c r="BA32" s="51" t="s">
        <v>61</v>
      </c>
      <c r="BB32" s="51" t="s">
        <v>107</v>
      </c>
      <c r="BC32" s="82"/>
      <c r="BD32" s="63" t="s">
        <v>116</v>
      </c>
      <c r="BE32" s="63" t="s">
        <v>116</v>
      </c>
      <c r="BF32" s="28"/>
      <c r="BG32" s="28"/>
      <c r="BH32" s="28"/>
      <c r="BI32" s="28"/>
      <c r="BJ32" s="28"/>
      <c r="BK32" s="28"/>
    </row>
    <row r="33" ht="13.5" customHeight="1">
      <c r="A33" s="76">
        <v>32.0</v>
      </c>
      <c r="B33" s="77">
        <v>46225.54164438657</v>
      </c>
      <c r="C33" s="79" t="s">
        <v>292</v>
      </c>
      <c r="D33" s="82"/>
      <c r="E33" s="79" t="s">
        <v>345</v>
      </c>
      <c r="F33" s="79" t="s">
        <v>346</v>
      </c>
      <c r="G33" s="79" t="s">
        <v>347</v>
      </c>
      <c r="H33" s="79">
        <v>35.0</v>
      </c>
      <c r="I33" s="141" t="s">
        <v>348</v>
      </c>
      <c r="J33" s="63" t="s">
        <v>74</v>
      </c>
      <c r="K33" s="51" t="s">
        <v>121</v>
      </c>
      <c r="L33" s="51" t="s">
        <v>106</v>
      </c>
      <c r="M33" s="79">
        <v>2.5</v>
      </c>
      <c r="N33" s="124" t="s">
        <v>152</v>
      </c>
      <c r="O33" s="58" t="s">
        <v>111</v>
      </c>
      <c r="P33" s="58" t="s">
        <v>111</v>
      </c>
      <c r="Q33" s="118">
        <v>0.0</v>
      </c>
      <c r="R33" s="118" t="s">
        <v>111</v>
      </c>
      <c r="S33" s="58" t="s">
        <v>111</v>
      </c>
      <c r="T33" s="79" t="s">
        <v>297</v>
      </c>
      <c r="U33" s="82"/>
      <c r="V33" s="82"/>
      <c r="W33" s="82"/>
      <c r="X33" s="82"/>
      <c r="Y33" s="82"/>
      <c r="Z33" s="58" t="s">
        <v>111</v>
      </c>
      <c r="AA33" s="58" t="s">
        <v>111</v>
      </c>
      <c r="AB33" s="118">
        <v>0.0</v>
      </c>
      <c r="AC33" s="118" t="s">
        <v>111</v>
      </c>
      <c r="AD33" s="58" t="s">
        <v>111</v>
      </c>
      <c r="AE33" s="79" t="s">
        <v>297</v>
      </c>
      <c r="AF33" s="79" t="s">
        <v>156</v>
      </c>
      <c r="AG33" s="82"/>
      <c r="AH33" s="82"/>
      <c r="AI33" s="82"/>
      <c r="AJ33" s="82"/>
      <c r="AK33" s="92" t="s">
        <v>149</v>
      </c>
      <c r="AL33" s="82"/>
      <c r="AM33" s="82"/>
      <c r="AN33" s="82"/>
      <c r="AO33" s="82"/>
      <c r="AP33" s="79" t="s">
        <v>337</v>
      </c>
      <c r="AQ33" s="142" t="s">
        <v>174</v>
      </c>
      <c r="AR33" s="82"/>
      <c r="AS33" s="82"/>
      <c r="AT33" s="82"/>
      <c r="AU33" s="79" t="s">
        <v>337</v>
      </c>
      <c r="AV33" s="145" t="s">
        <v>74</v>
      </c>
      <c r="AW33" s="82"/>
      <c r="AX33" s="82"/>
      <c r="AY33" s="82"/>
      <c r="AZ33" s="82"/>
      <c r="BA33" s="51" t="s">
        <v>61</v>
      </c>
      <c r="BB33" s="82"/>
      <c r="BC33" s="82"/>
      <c r="BD33" s="63" t="s">
        <v>116</v>
      </c>
      <c r="BE33" s="63" t="s">
        <v>116</v>
      </c>
      <c r="BF33" s="28"/>
      <c r="BG33" s="28"/>
      <c r="BH33" s="28"/>
      <c r="BI33" s="28"/>
      <c r="BJ33" s="28"/>
      <c r="BK33" s="28"/>
    </row>
    <row r="34" ht="13.5" customHeight="1">
      <c r="A34" s="76">
        <v>33.0</v>
      </c>
      <c r="B34" s="77">
        <v>46225.54501076389</v>
      </c>
      <c r="C34" s="79" t="s">
        <v>292</v>
      </c>
      <c r="D34" s="82"/>
      <c r="E34" s="79" t="s">
        <v>349</v>
      </c>
      <c r="F34" s="79" t="s">
        <v>349</v>
      </c>
      <c r="G34" s="79" t="s">
        <v>350</v>
      </c>
      <c r="H34" s="79">
        <v>30.0</v>
      </c>
      <c r="I34" s="141" t="s">
        <v>351</v>
      </c>
      <c r="J34" s="63" t="s">
        <v>74</v>
      </c>
      <c r="K34" s="51" t="s">
        <v>121</v>
      </c>
      <c r="L34" s="51" t="s">
        <v>106</v>
      </c>
      <c r="M34" s="79">
        <v>4.6</v>
      </c>
      <c r="N34" s="51" t="s">
        <v>107</v>
      </c>
      <c r="O34" s="58" t="s">
        <v>111</v>
      </c>
      <c r="P34" s="58" t="s">
        <v>111</v>
      </c>
      <c r="Q34" s="118">
        <v>0.0</v>
      </c>
      <c r="R34" s="118" t="s">
        <v>111</v>
      </c>
      <c r="S34" s="58" t="s">
        <v>111</v>
      </c>
      <c r="T34" s="79" t="s">
        <v>297</v>
      </c>
      <c r="U34" s="82"/>
      <c r="V34" s="82"/>
      <c r="W34" s="82"/>
      <c r="X34" s="82"/>
      <c r="Y34" s="82"/>
      <c r="Z34" s="58" t="s">
        <v>111</v>
      </c>
      <c r="AA34" s="58" t="s">
        <v>111</v>
      </c>
      <c r="AB34" s="118">
        <v>0.0</v>
      </c>
      <c r="AC34" s="118" t="s">
        <v>111</v>
      </c>
      <c r="AD34" s="58" t="s">
        <v>111</v>
      </c>
      <c r="AE34" s="79" t="s">
        <v>297</v>
      </c>
      <c r="AF34" s="82"/>
      <c r="AG34" s="82"/>
      <c r="AH34" s="82"/>
      <c r="AI34" s="82"/>
      <c r="AJ34" s="82"/>
      <c r="AK34" s="92" t="s">
        <v>149</v>
      </c>
      <c r="AL34" s="51" t="s">
        <v>120</v>
      </c>
      <c r="AM34" s="79" t="s">
        <v>344</v>
      </c>
      <c r="AN34" s="87">
        <v>42573.0</v>
      </c>
      <c r="AO34" s="63" t="s">
        <v>116</v>
      </c>
      <c r="AP34" s="79" t="s">
        <v>337</v>
      </c>
      <c r="AQ34" s="142" t="s">
        <v>174</v>
      </c>
      <c r="AR34" s="79" t="s">
        <v>344</v>
      </c>
      <c r="AS34" s="87">
        <v>42573.0</v>
      </c>
      <c r="AT34" s="63" t="s">
        <v>116</v>
      </c>
      <c r="AU34" s="79" t="s">
        <v>337</v>
      </c>
      <c r="AV34" s="145" t="s">
        <v>74</v>
      </c>
      <c r="AW34" s="82"/>
      <c r="AX34" s="82"/>
      <c r="AY34" s="82"/>
      <c r="AZ34" s="82"/>
      <c r="BA34" s="51" t="s">
        <v>61</v>
      </c>
      <c r="BB34" s="51" t="s">
        <v>107</v>
      </c>
      <c r="BC34" s="82"/>
      <c r="BD34" s="52" t="s">
        <v>153</v>
      </c>
      <c r="BE34" s="51" t="s">
        <v>107</v>
      </c>
      <c r="BF34" s="28"/>
      <c r="BG34" s="28"/>
      <c r="BH34" s="28"/>
      <c r="BI34" s="28"/>
      <c r="BJ34" s="28"/>
      <c r="BK34" s="28"/>
    </row>
    <row r="35" ht="13.5" customHeight="1">
      <c r="A35" s="45">
        <v>34.0</v>
      </c>
      <c r="B35" s="77">
        <v>46225.54792907408</v>
      </c>
      <c r="C35" s="79" t="s">
        <v>292</v>
      </c>
      <c r="D35" s="82"/>
      <c r="E35" s="79" t="s">
        <v>318</v>
      </c>
      <c r="F35" s="79" t="s">
        <v>321</v>
      </c>
      <c r="G35" s="79" t="s">
        <v>350</v>
      </c>
      <c r="H35" s="79">
        <v>34.0</v>
      </c>
      <c r="I35" s="141" t="s">
        <v>352</v>
      </c>
      <c r="J35" s="63" t="s">
        <v>74</v>
      </c>
      <c r="K35" s="51" t="s">
        <v>121</v>
      </c>
      <c r="L35" s="51" t="s">
        <v>106</v>
      </c>
      <c r="M35" s="79">
        <v>2.8</v>
      </c>
      <c r="N35" s="63" t="s">
        <v>116</v>
      </c>
      <c r="O35" s="58" t="s">
        <v>111</v>
      </c>
      <c r="P35" s="58" t="s">
        <v>111</v>
      </c>
      <c r="Q35" s="118">
        <v>0.0</v>
      </c>
      <c r="R35" s="118" t="s">
        <v>111</v>
      </c>
      <c r="S35" s="58" t="s">
        <v>111</v>
      </c>
      <c r="T35" s="79" t="s">
        <v>297</v>
      </c>
      <c r="U35" s="82"/>
      <c r="V35" s="82"/>
      <c r="W35" s="82"/>
      <c r="X35" s="82"/>
      <c r="Y35" s="82"/>
      <c r="Z35" s="58" t="s">
        <v>111</v>
      </c>
      <c r="AA35" s="58" t="s">
        <v>111</v>
      </c>
      <c r="AB35" s="118">
        <v>0.0</v>
      </c>
      <c r="AC35" s="118" t="s">
        <v>111</v>
      </c>
      <c r="AD35" s="58" t="s">
        <v>111</v>
      </c>
      <c r="AE35" s="79" t="s">
        <v>297</v>
      </c>
      <c r="AF35" s="82"/>
      <c r="AG35" s="82"/>
      <c r="AH35" s="82"/>
      <c r="AI35" s="82"/>
      <c r="AJ35" s="82"/>
      <c r="AK35" s="92" t="s">
        <v>149</v>
      </c>
      <c r="AL35" s="51" t="s">
        <v>120</v>
      </c>
      <c r="AM35" s="79" t="s">
        <v>344</v>
      </c>
      <c r="AN35" s="87">
        <v>42573.0</v>
      </c>
      <c r="AO35" s="63" t="s">
        <v>116</v>
      </c>
      <c r="AP35" s="79" t="s">
        <v>337</v>
      </c>
      <c r="AQ35" s="142" t="s">
        <v>174</v>
      </c>
      <c r="AR35" s="79" t="s">
        <v>344</v>
      </c>
      <c r="AS35" s="87">
        <v>42573.0</v>
      </c>
      <c r="AT35" s="63" t="s">
        <v>116</v>
      </c>
      <c r="AU35" s="79" t="s">
        <v>337</v>
      </c>
      <c r="AV35" s="145" t="s">
        <v>74</v>
      </c>
      <c r="AW35" s="82"/>
      <c r="AX35" s="82"/>
      <c r="AY35" s="82"/>
      <c r="AZ35" s="82"/>
      <c r="BA35" s="145" t="s">
        <v>74</v>
      </c>
      <c r="BB35" s="63" t="s">
        <v>116</v>
      </c>
      <c r="BC35" s="82"/>
      <c r="BD35" s="63" t="s">
        <v>116</v>
      </c>
      <c r="BE35" s="63" t="s">
        <v>116</v>
      </c>
      <c r="BF35" s="28"/>
      <c r="BG35" s="28"/>
      <c r="BH35" s="28"/>
      <c r="BI35" s="28"/>
      <c r="BJ35" s="28"/>
      <c r="BK35" s="28"/>
    </row>
    <row r="36" ht="13.5" customHeight="1">
      <c r="A36" s="76">
        <v>35.0</v>
      </c>
      <c r="B36" s="77">
        <v>46225.55114658565</v>
      </c>
      <c r="C36" s="79" t="s">
        <v>292</v>
      </c>
      <c r="D36" s="82"/>
      <c r="E36" s="79" t="s">
        <v>349</v>
      </c>
      <c r="F36" s="79" t="s">
        <v>353</v>
      </c>
      <c r="G36" s="79" t="s">
        <v>350</v>
      </c>
      <c r="H36" s="79">
        <v>30.0</v>
      </c>
      <c r="I36" s="141" t="s">
        <v>354</v>
      </c>
      <c r="J36" s="63" t="s">
        <v>74</v>
      </c>
      <c r="K36" s="51" t="s">
        <v>121</v>
      </c>
      <c r="L36" s="51" t="s">
        <v>106</v>
      </c>
      <c r="M36" s="79">
        <v>2.2</v>
      </c>
      <c r="N36" s="63" t="s">
        <v>116</v>
      </c>
      <c r="O36" s="58" t="s">
        <v>111</v>
      </c>
      <c r="P36" s="58" t="s">
        <v>111</v>
      </c>
      <c r="Q36" s="118">
        <v>0.0</v>
      </c>
      <c r="R36" s="118" t="s">
        <v>111</v>
      </c>
      <c r="S36" s="58" t="s">
        <v>111</v>
      </c>
      <c r="T36" s="79" t="s">
        <v>144</v>
      </c>
      <c r="U36" s="82"/>
      <c r="V36" s="82"/>
      <c r="W36" s="82"/>
      <c r="X36" s="82"/>
      <c r="Y36" s="82"/>
      <c r="Z36" s="58" t="s">
        <v>111</v>
      </c>
      <c r="AA36" s="58" t="s">
        <v>111</v>
      </c>
      <c r="AB36" s="118">
        <v>0.0</v>
      </c>
      <c r="AC36" s="118" t="s">
        <v>111</v>
      </c>
      <c r="AD36" s="58" t="s">
        <v>111</v>
      </c>
      <c r="AE36" s="79" t="s">
        <v>144</v>
      </c>
      <c r="AF36" s="82"/>
      <c r="AG36" s="82"/>
      <c r="AH36" s="82"/>
      <c r="AI36" s="82"/>
      <c r="AJ36" s="82"/>
      <c r="AK36" s="92" t="s">
        <v>149</v>
      </c>
      <c r="AL36" s="51" t="s">
        <v>120</v>
      </c>
      <c r="AM36" s="79" t="s">
        <v>355</v>
      </c>
      <c r="AN36" s="87">
        <v>42573.0</v>
      </c>
      <c r="AO36" s="63" t="s">
        <v>116</v>
      </c>
      <c r="AP36" s="82"/>
      <c r="AQ36" s="142" t="s">
        <v>174</v>
      </c>
      <c r="AR36" s="82"/>
      <c r="AS36" s="82"/>
      <c r="AT36" s="82"/>
      <c r="AU36" s="79" t="s">
        <v>144</v>
      </c>
      <c r="AV36" s="51" t="s">
        <v>61</v>
      </c>
      <c r="AW36" s="82"/>
      <c r="AX36" s="82"/>
      <c r="AY36" s="82"/>
      <c r="AZ36" s="82"/>
      <c r="BA36" s="145" t="s">
        <v>74</v>
      </c>
      <c r="BB36" s="63" t="s">
        <v>116</v>
      </c>
      <c r="BC36" s="82"/>
      <c r="BD36" s="63" t="s">
        <v>116</v>
      </c>
      <c r="BE36" s="63" t="s">
        <v>116</v>
      </c>
      <c r="BF36" s="28"/>
      <c r="BG36" s="28"/>
      <c r="BH36" s="28"/>
      <c r="BI36" s="28"/>
      <c r="BJ36" s="28"/>
      <c r="BK36" s="28"/>
    </row>
    <row r="37" ht="13.5" customHeight="1">
      <c r="A37" s="76">
        <v>36.0</v>
      </c>
      <c r="B37" s="77">
        <v>46225.554368136574</v>
      </c>
      <c r="C37" s="79" t="s">
        <v>292</v>
      </c>
      <c r="D37" s="82"/>
      <c r="E37" s="79" t="s">
        <v>318</v>
      </c>
      <c r="F37" s="79" t="s">
        <v>356</v>
      </c>
      <c r="G37" s="79" t="s">
        <v>350</v>
      </c>
      <c r="H37" s="79">
        <v>36.0</v>
      </c>
      <c r="I37" s="141" t="s">
        <v>357</v>
      </c>
      <c r="J37" s="63" t="s">
        <v>74</v>
      </c>
      <c r="K37" s="51" t="s">
        <v>121</v>
      </c>
      <c r="L37" s="51" t="s">
        <v>106</v>
      </c>
      <c r="M37" s="79">
        <v>4.3</v>
      </c>
      <c r="N37" s="51" t="s">
        <v>107</v>
      </c>
      <c r="O37" s="58" t="s">
        <v>111</v>
      </c>
      <c r="P37" s="58" t="s">
        <v>111</v>
      </c>
      <c r="Q37" s="118">
        <v>0.0</v>
      </c>
      <c r="R37" s="118" t="s">
        <v>111</v>
      </c>
      <c r="S37" s="58" t="s">
        <v>111</v>
      </c>
      <c r="T37" s="79" t="s">
        <v>144</v>
      </c>
      <c r="U37" s="82"/>
      <c r="V37" s="82"/>
      <c r="W37" s="82"/>
      <c r="X37" s="82"/>
      <c r="Y37" s="82"/>
      <c r="Z37" s="58" t="s">
        <v>111</v>
      </c>
      <c r="AA37" s="58" t="s">
        <v>111</v>
      </c>
      <c r="AB37" s="118">
        <v>0.0</v>
      </c>
      <c r="AC37" s="118" t="s">
        <v>111</v>
      </c>
      <c r="AD37" s="58" t="s">
        <v>111</v>
      </c>
      <c r="AE37" s="79" t="s">
        <v>144</v>
      </c>
      <c r="AF37" s="82"/>
      <c r="AG37" s="82"/>
      <c r="AH37" s="82"/>
      <c r="AI37" s="82"/>
      <c r="AJ37" s="82"/>
      <c r="AK37" s="92" t="s">
        <v>149</v>
      </c>
      <c r="AL37" s="82"/>
      <c r="AM37" s="82"/>
      <c r="AN37" s="82"/>
      <c r="AO37" s="82"/>
      <c r="AP37" s="79" t="s">
        <v>358</v>
      </c>
      <c r="AQ37" s="142" t="s">
        <v>174</v>
      </c>
      <c r="AR37" s="82"/>
      <c r="AS37" s="82"/>
      <c r="AT37" s="82"/>
      <c r="AU37" s="79" t="s">
        <v>359</v>
      </c>
      <c r="AV37" s="145" t="s">
        <v>74</v>
      </c>
      <c r="AW37" s="82"/>
      <c r="AX37" s="82"/>
      <c r="AY37" s="82"/>
      <c r="AZ37" s="145" t="s">
        <v>194</v>
      </c>
      <c r="BA37" s="145" t="s">
        <v>74</v>
      </c>
      <c r="BB37" s="51" t="s">
        <v>107</v>
      </c>
      <c r="BC37" s="82"/>
      <c r="BD37" s="52" t="s">
        <v>153</v>
      </c>
      <c r="BE37" s="51" t="s">
        <v>107</v>
      </c>
      <c r="BF37" s="28"/>
      <c r="BG37" s="28"/>
      <c r="BH37" s="28"/>
      <c r="BI37" s="28"/>
      <c r="BJ37" s="28"/>
      <c r="BK37" s="28"/>
    </row>
    <row r="38" ht="13.5" customHeight="1">
      <c r="A38" s="45">
        <v>37.0</v>
      </c>
      <c r="B38" s="77">
        <v>46225.55658172454</v>
      </c>
      <c r="C38" s="79" t="s">
        <v>292</v>
      </c>
      <c r="D38" s="82"/>
      <c r="E38" s="79" t="s">
        <v>360</v>
      </c>
      <c r="F38" s="79" t="s">
        <v>361</v>
      </c>
      <c r="G38" s="79" t="s">
        <v>350</v>
      </c>
      <c r="H38" s="79">
        <v>36.78</v>
      </c>
      <c r="I38" s="141" t="s">
        <v>362</v>
      </c>
      <c r="J38" s="63" t="s">
        <v>74</v>
      </c>
      <c r="K38" s="51" t="s">
        <v>121</v>
      </c>
      <c r="L38" s="51" t="s">
        <v>106</v>
      </c>
      <c r="M38" s="79">
        <v>4.3</v>
      </c>
      <c r="N38" s="63" t="s">
        <v>116</v>
      </c>
      <c r="O38" s="58" t="s">
        <v>111</v>
      </c>
      <c r="P38" s="58" t="s">
        <v>111</v>
      </c>
      <c r="Q38" s="118">
        <v>0.0</v>
      </c>
      <c r="R38" s="118" t="s">
        <v>111</v>
      </c>
      <c r="S38" s="58" t="s">
        <v>111</v>
      </c>
      <c r="T38" s="79" t="s">
        <v>144</v>
      </c>
      <c r="U38" s="82"/>
      <c r="V38" s="82"/>
      <c r="W38" s="82"/>
      <c r="X38" s="82"/>
      <c r="Y38" s="82"/>
      <c r="Z38" s="58" t="s">
        <v>111</v>
      </c>
      <c r="AA38" s="58" t="s">
        <v>111</v>
      </c>
      <c r="AB38" s="118">
        <v>0.0</v>
      </c>
      <c r="AC38" s="118" t="s">
        <v>111</v>
      </c>
      <c r="AD38" s="58" t="s">
        <v>111</v>
      </c>
      <c r="AE38" s="79" t="s">
        <v>297</v>
      </c>
      <c r="AF38" s="82"/>
      <c r="AG38" s="82"/>
      <c r="AH38" s="82"/>
      <c r="AI38" s="82"/>
      <c r="AJ38" s="82"/>
      <c r="AK38" s="92" t="s">
        <v>149</v>
      </c>
      <c r="AL38" s="51" t="s">
        <v>120</v>
      </c>
      <c r="AM38" s="79" t="s">
        <v>329</v>
      </c>
      <c r="AN38" s="87">
        <v>42573.0</v>
      </c>
      <c r="AO38" s="124" t="s">
        <v>152</v>
      </c>
      <c r="AP38" s="82"/>
      <c r="AQ38" s="142" t="s">
        <v>174</v>
      </c>
      <c r="AR38" s="79" t="s">
        <v>344</v>
      </c>
      <c r="AS38" s="82"/>
      <c r="AT38" s="51" t="s">
        <v>107</v>
      </c>
      <c r="AU38" s="82"/>
      <c r="AV38" s="145" t="s">
        <v>74</v>
      </c>
      <c r="AW38" s="82"/>
      <c r="AX38" s="82"/>
      <c r="AY38" s="82"/>
      <c r="AZ38" s="82"/>
      <c r="BA38" s="145" t="s">
        <v>74</v>
      </c>
      <c r="BB38" s="63" t="s">
        <v>116</v>
      </c>
      <c r="BC38" s="82"/>
      <c r="BD38" s="63" t="s">
        <v>116</v>
      </c>
      <c r="BE38" s="63" t="s">
        <v>116</v>
      </c>
      <c r="BF38" s="28"/>
      <c r="BG38" s="28"/>
      <c r="BH38" s="28"/>
      <c r="BI38" s="28"/>
      <c r="BJ38" s="28"/>
      <c r="BK38" s="28"/>
    </row>
    <row r="39" ht="13.5" customHeight="1">
      <c r="A39" s="76">
        <v>38.0</v>
      </c>
      <c r="B39" s="77">
        <v>46225.55984798611</v>
      </c>
      <c r="C39" s="79" t="s">
        <v>292</v>
      </c>
      <c r="D39" s="82"/>
      <c r="E39" s="79" t="s">
        <v>330</v>
      </c>
      <c r="F39" s="79" t="s">
        <v>363</v>
      </c>
      <c r="G39" s="79" t="s">
        <v>350</v>
      </c>
      <c r="H39" s="79">
        <v>36.0</v>
      </c>
      <c r="I39" s="141" t="s">
        <v>364</v>
      </c>
      <c r="J39" s="63" t="s">
        <v>74</v>
      </c>
      <c r="K39" s="51" t="s">
        <v>121</v>
      </c>
      <c r="L39" s="51" t="s">
        <v>106</v>
      </c>
      <c r="M39" s="79">
        <v>2.5</v>
      </c>
      <c r="N39" s="63" t="s">
        <v>116</v>
      </c>
      <c r="O39" s="58" t="s">
        <v>111</v>
      </c>
      <c r="P39" s="58" t="s">
        <v>111</v>
      </c>
      <c r="Q39" s="118">
        <v>0.0</v>
      </c>
      <c r="R39" s="118" t="s">
        <v>111</v>
      </c>
      <c r="S39" s="58" t="s">
        <v>111</v>
      </c>
      <c r="T39" s="79" t="s">
        <v>297</v>
      </c>
      <c r="U39" s="82"/>
      <c r="V39" s="82"/>
      <c r="W39" s="82"/>
      <c r="X39" s="82"/>
      <c r="Y39" s="82"/>
      <c r="Z39" s="58" t="s">
        <v>111</v>
      </c>
      <c r="AA39" s="58" t="s">
        <v>111</v>
      </c>
      <c r="AB39" s="118">
        <v>0.0</v>
      </c>
      <c r="AC39" s="118" t="s">
        <v>111</v>
      </c>
      <c r="AD39" s="58" t="s">
        <v>111</v>
      </c>
      <c r="AE39" s="79" t="s">
        <v>297</v>
      </c>
      <c r="AF39" s="82"/>
      <c r="AG39" s="82"/>
      <c r="AH39" s="82"/>
      <c r="AI39" s="82"/>
      <c r="AJ39" s="82"/>
      <c r="AK39" s="92" t="s">
        <v>149</v>
      </c>
      <c r="AL39" s="51" t="s">
        <v>120</v>
      </c>
      <c r="AM39" s="79" t="s">
        <v>344</v>
      </c>
      <c r="AN39" s="87">
        <v>42573.0</v>
      </c>
      <c r="AO39" s="63" t="s">
        <v>116</v>
      </c>
      <c r="AP39" s="82"/>
      <c r="AQ39" s="142" t="s">
        <v>174</v>
      </c>
      <c r="AR39" s="79" t="s">
        <v>344</v>
      </c>
      <c r="AS39" s="87">
        <v>42573.0</v>
      </c>
      <c r="AT39" s="63" t="s">
        <v>116</v>
      </c>
      <c r="AU39" s="82"/>
      <c r="AV39" s="51" t="s">
        <v>61</v>
      </c>
      <c r="AW39" s="70" t="s">
        <v>127</v>
      </c>
      <c r="AX39" s="87">
        <v>42573.0</v>
      </c>
      <c r="AY39" s="79">
        <v>0.225</v>
      </c>
      <c r="AZ39" s="63" t="s">
        <v>116</v>
      </c>
      <c r="BA39" s="51" t="s">
        <v>61</v>
      </c>
      <c r="BB39" s="63" t="s">
        <v>116</v>
      </c>
      <c r="BC39" s="82"/>
      <c r="BD39" s="52" t="s">
        <v>153</v>
      </c>
      <c r="BE39" s="63" t="s">
        <v>116</v>
      </c>
      <c r="BF39" s="28"/>
      <c r="BG39" s="28"/>
      <c r="BH39" s="28"/>
      <c r="BI39" s="28"/>
      <c r="BJ39" s="28"/>
      <c r="BK39" s="28"/>
    </row>
    <row r="40" ht="13.5" customHeight="1">
      <c r="A40" s="76">
        <v>39.0</v>
      </c>
      <c r="B40" s="77">
        <v>46225.56257796296</v>
      </c>
      <c r="C40" s="79" t="s">
        <v>292</v>
      </c>
      <c r="D40" s="82"/>
      <c r="E40" s="79" t="s">
        <v>321</v>
      </c>
      <c r="F40" s="79" t="s">
        <v>365</v>
      </c>
      <c r="G40" s="79" t="s">
        <v>350</v>
      </c>
      <c r="H40" s="79">
        <v>35.0</v>
      </c>
      <c r="I40" s="141" t="s">
        <v>366</v>
      </c>
      <c r="J40" s="51" t="s">
        <v>61</v>
      </c>
      <c r="K40" s="51" t="s">
        <v>121</v>
      </c>
      <c r="L40" s="51" t="s">
        <v>106</v>
      </c>
      <c r="M40" s="79">
        <v>2.5</v>
      </c>
      <c r="N40" s="51" t="s">
        <v>107</v>
      </c>
      <c r="O40" s="58" t="s">
        <v>111</v>
      </c>
      <c r="P40" s="58" t="s">
        <v>111</v>
      </c>
      <c r="Q40" s="118">
        <v>0.0</v>
      </c>
      <c r="R40" s="118" t="s">
        <v>111</v>
      </c>
      <c r="S40" s="58" t="s">
        <v>111</v>
      </c>
      <c r="T40" s="79" t="s">
        <v>144</v>
      </c>
      <c r="U40" s="82"/>
      <c r="V40" s="82"/>
      <c r="W40" s="82"/>
      <c r="X40" s="82"/>
      <c r="Y40" s="82"/>
      <c r="Z40" s="58" t="s">
        <v>111</v>
      </c>
      <c r="AA40" s="58" t="s">
        <v>111</v>
      </c>
      <c r="AB40" s="118">
        <v>0.0</v>
      </c>
      <c r="AC40" s="118" t="s">
        <v>111</v>
      </c>
      <c r="AD40" s="58" t="s">
        <v>111</v>
      </c>
      <c r="AE40" s="79" t="s">
        <v>144</v>
      </c>
      <c r="AF40" s="82"/>
      <c r="AG40" s="82"/>
      <c r="AH40" s="82"/>
      <c r="AI40" s="82"/>
      <c r="AJ40" s="82"/>
      <c r="AK40" s="92" t="s">
        <v>149</v>
      </c>
      <c r="AL40" s="51" t="s">
        <v>120</v>
      </c>
      <c r="AM40" s="79" t="s">
        <v>344</v>
      </c>
      <c r="AN40" s="87">
        <v>42573.0</v>
      </c>
      <c r="AO40" s="63" t="s">
        <v>116</v>
      </c>
      <c r="AP40" s="82"/>
      <c r="AQ40" s="142" t="s">
        <v>174</v>
      </c>
      <c r="AR40" s="79" t="s">
        <v>344</v>
      </c>
      <c r="AS40" s="87">
        <v>42573.0</v>
      </c>
      <c r="AT40" s="63" t="s">
        <v>116</v>
      </c>
      <c r="AU40" s="82"/>
      <c r="AV40" s="51" t="s">
        <v>61</v>
      </c>
      <c r="AW40" s="70" t="s">
        <v>127</v>
      </c>
      <c r="AX40" s="87">
        <v>42573.0</v>
      </c>
      <c r="AY40" s="79">
        <v>0.225</v>
      </c>
      <c r="AZ40" s="51" t="s">
        <v>107</v>
      </c>
      <c r="BA40" s="145" t="s">
        <v>74</v>
      </c>
      <c r="BB40" s="63" t="s">
        <v>116</v>
      </c>
      <c r="BC40" s="82"/>
      <c r="BD40" s="52" t="s">
        <v>153</v>
      </c>
      <c r="BE40" s="63" t="s">
        <v>116</v>
      </c>
      <c r="BF40" s="28"/>
      <c r="BG40" s="28"/>
      <c r="BH40" s="28"/>
      <c r="BI40" s="28"/>
      <c r="BJ40" s="28"/>
      <c r="BK40" s="28"/>
    </row>
    <row r="41" ht="13.5" customHeight="1">
      <c r="A41" s="45">
        <v>40.0</v>
      </c>
      <c r="B41" s="77">
        <v>46225.56667729167</v>
      </c>
      <c r="C41" s="79" t="s">
        <v>292</v>
      </c>
      <c r="D41" s="82"/>
      <c r="E41" s="79" t="s">
        <v>367</v>
      </c>
      <c r="F41" s="79" t="s">
        <v>367</v>
      </c>
      <c r="G41" s="79" t="s">
        <v>350</v>
      </c>
      <c r="H41" s="79">
        <v>73.0</v>
      </c>
      <c r="I41" s="141" t="s">
        <v>368</v>
      </c>
      <c r="J41" s="63" t="s">
        <v>74</v>
      </c>
      <c r="K41" s="51" t="s">
        <v>121</v>
      </c>
      <c r="L41" s="51" t="s">
        <v>106</v>
      </c>
      <c r="M41" s="79">
        <v>3.2</v>
      </c>
      <c r="N41" s="63" t="s">
        <v>116</v>
      </c>
      <c r="O41" s="58" t="s">
        <v>111</v>
      </c>
      <c r="P41" s="58" t="s">
        <v>111</v>
      </c>
      <c r="Q41" s="118">
        <v>0.0</v>
      </c>
      <c r="R41" s="118" t="s">
        <v>111</v>
      </c>
      <c r="S41" s="58" t="s">
        <v>111</v>
      </c>
      <c r="T41" s="79" t="s">
        <v>297</v>
      </c>
      <c r="U41" s="82"/>
      <c r="V41" s="82"/>
      <c r="W41" s="82"/>
      <c r="X41" s="82"/>
      <c r="Y41" s="82"/>
      <c r="Z41" s="58" t="s">
        <v>111</v>
      </c>
      <c r="AA41" s="58" t="s">
        <v>111</v>
      </c>
      <c r="AB41" s="118">
        <v>0.0</v>
      </c>
      <c r="AC41" s="118" t="s">
        <v>111</v>
      </c>
      <c r="AD41" s="58" t="s">
        <v>111</v>
      </c>
      <c r="AE41" s="79" t="s">
        <v>297</v>
      </c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79" t="s">
        <v>144</v>
      </c>
      <c r="AQ41" s="61" t="s">
        <v>114</v>
      </c>
      <c r="AR41" s="79">
        <v>0.5</v>
      </c>
      <c r="AS41" s="87">
        <v>42573.0</v>
      </c>
      <c r="AT41" s="63" t="s">
        <v>116</v>
      </c>
      <c r="AU41" s="82"/>
      <c r="AV41" s="51" t="s">
        <v>61</v>
      </c>
      <c r="AW41" s="70" t="s">
        <v>127</v>
      </c>
      <c r="AX41" s="87">
        <v>42573.0</v>
      </c>
      <c r="AY41" s="79">
        <v>0.225</v>
      </c>
      <c r="AZ41" s="63" t="s">
        <v>116</v>
      </c>
      <c r="BA41" s="51" t="s">
        <v>61</v>
      </c>
      <c r="BB41" s="63" t="s">
        <v>116</v>
      </c>
      <c r="BC41" s="82"/>
      <c r="BD41" s="63" t="s">
        <v>116</v>
      </c>
      <c r="BE41" s="63" t="s">
        <v>116</v>
      </c>
      <c r="BF41" s="28"/>
      <c r="BG41" s="28"/>
      <c r="BH41" s="28"/>
      <c r="BI41" s="28"/>
      <c r="BJ41" s="28"/>
      <c r="BK41" s="28"/>
    </row>
    <row r="42" ht="13.5" customHeight="1">
      <c r="A42" s="76">
        <v>41.0</v>
      </c>
      <c r="B42" s="77">
        <v>46225.57415078704</v>
      </c>
      <c r="C42" s="79" t="s">
        <v>292</v>
      </c>
      <c r="D42" s="82"/>
      <c r="E42" s="79" t="s">
        <v>369</v>
      </c>
      <c r="F42" s="79" t="s">
        <v>370</v>
      </c>
      <c r="G42" s="79" t="s">
        <v>350</v>
      </c>
      <c r="H42" s="79">
        <v>120.0</v>
      </c>
      <c r="I42" s="141" t="s">
        <v>371</v>
      </c>
      <c r="J42" s="51" t="s">
        <v>61</v>
      </c>
      <c r="K42" s="52" t="s">
        <v>105</v>
      </c>
      <c r="L42" s="51" t="s">
        <v>106</v>
      </c>
      <c r="M42" s="79">
        <v>3.5</v>
      </c>
      <c r="N42" s="51" t="s">
        <v>107</v>
      </c>
      <c r="O42" s="54" t="s">
        <v>108</v>
      </c>
      <c r="P42" s="62" t="s">
        <v>115</v>
      </c>
      <c r="Q42" s="79">
        <v>1.0</v>
      </c>
      <c r="R42" s="87">
        <v>44399.0</v>
      </c>
      <c r="S42" s="51" t="s">
        <v>107</v>
      </c>
      <c r="T42" s="79" t="s">
        <v>166</v>
      </c>
      <c r="U42" s="82"/>
      <c r="V42" s="82"/>
      <c r="W42" s="82"/>
      <c r="X42" s="82"/>
      <c r="Y42" s="82"/>
      <c r="Z42" s="61" t="s">
        <v>114</v>
      </c>
      <c r="AA42" s="62" t="s">
        <v>115</v>
      </c>
      <c r="AB42" s="79">
        <v>1.0</v>
      </c>
      <c r="AC42" s="87">
        <v>44399.0</v>
      </c>
      <c r="AD42" s="51" t="s">
        <v>107</v>
      </c>
      <c r="AE42" s="82"/>
      <c r="AF42" s="82"/>
      <c r="AG42" s="82"/>
      <c r="AH42" s="82"/>
      <c r="AI42" s="82"/>
      <c r="AJ42" s="82"/>
      <c r="AK42" s="54" t="s">
        <v>108</v>
      </c>
      <c r="AL42" s="51" t="s">
        <v>120</v>
      </c>
      <c r="AM42" s="79">
        <v>0.5</v>
      </c>
      <c r="AN42" s="87">
        <v>42573.0</v>
      </c>
      <c r="AO42" s="63" t="s">
        <v>116</v>
      </c>
      <c r="AP42" s="82"/>
      <c r="AQ42" s="61" t="s">
        <v>114</v>
      </c>
      <c r="AR42" s="79">
        <v>0.5</v>
      </c>
      <c r="AS42" s="87">
        <v>42573.0</v>
      </c>
      <c r="AT42" s="63" t="s">
        <v>116</v>
      </c>
      <c r="AU42" s="82"/>
      <c r="AV42" s="51" t="s">
        <v>61</v>
      </c>
      <c r="AW42" s="70" t="s">
        <v>127</v>
      </c>
      <c r="AX42" s="87">
        <v>42573.0</v>
      </c>
      <c r="AY42" s="79">
        <v>0.225</v>
      </c>
      <c r="AZ42" s="63" t="s">
        <v>116</v>
      </c>
      <c r="BA42" s="145" t="s">
        <v>74</v>
      </c>
      <c r="BB42" s="63" t="s">
        <v>116</v>
      </c>
      <c r="BC42" s="82"/>
      <c r="BD42" s="63" t="s">
        <v>116</v>
      </c>
      <c r="BE42" s="63" t="s">
        <v>116</v>
      </c>
      <c r="BF42" s="28"/>
      <c r="BG42" s="28"/>
      <c r="BH42" s="28"/>
      <c r="BI42" s="28"/>
      <c r="BJ42" s="28"/>
      <c r="BK42" s="28"/>
    </row>
    <row r="43" ht="13.5" customHeight="1">
      <c r="A43" s="76">
        <v>42.0</v>
      </c>
      <c r="B43" s="77">
        <v>46226.425455833334</v>
      </c>
      <c r="C43" s="79" t="s">
        <v>292</v>
      </c>
      <c r="D43" s="82"/>
      <c r="E43" s="79" t="s">
        <v>372</v>
      </c>
      <c r="F43" s="79" t="s">
        <v>288</v>
      </c>
      <c r="G43" s="79" t="s">
        <v>350</v>
      </c>
      <c r="H43" s="79">
        <v>40.0</v>
      </c>
      <c r="I43" s="141" t="s">
        <v>373</v>
      </c>
      <c r="J43" s="51" t="s">
        <v>61</v>
      </c>
      <c r="K43" s="51" t="s">
        <v>121</v>
      </c>
      <c r="L43" s="51" t="s">
        <v>106</v>
      </c>
      <c r="M43" s="79">
        <v>2.5</v>
      </c>
      <c r="N43" s="51" t="s">
        <v>107</v>
      </c>
      <c r="O43" s="58" t="s">
        <v>111</v>
      </c>
      <c r="P43" s="58" t="s">
        <v>111</v>
      </c>
      <c r="Q43" s="118">
        <v>0.0</v>
      </c>
      <c r="R43" s="118" t="s">
        <v>111</v>
      </c>
      <c r="S43" s="58" t="s">
        <v>111</v>
      </c>
      <c r="T43" s="79" t="s">
        <v>297</v>
      </c>
      <c r="U43" s="82"/>
      <c r="V43" s="82"/>
      <c r="W43" s="82"/>
      <c r="X43" s="82"/>
      <c r="Y43" s="82"/>
      <c r="Z43" s="58" t="s">
        <v>111</v>
      </c>
      <c r="AA43" s="58" t="s">
        <v>111</v>
      </c>
      <c r="AB43" s="118">
        <v>0.0</v>
      </c>
      <c r="AC43" s="118" t="s">
        <v>111</v>
      </c>
      <c r="AD43" s="58" t="s">
        <v>111</v>
      </c>
      <c r="AE43" s="79" t="s">
        <v>297</v>
      </c>
      <c r="AF43" s="82"/>
      <c r="AG43" s="82"/>
      <c r="AH43" s="82"/>
      <c r="AI43" s="82"/>
      <c r="AJ43" s="82"/>
      <c r="AK43" s="54" t="s">
        <v>108</v>
      </c>
      <c r="AL43" s="51" t="s">
        <v>120</v>
      </c>
      <c r="AM43" s="79">
        <v>0.45</v>
      </c>
      <c r="AN43" s="87">
        <v>42574.0</v>
      </c>
      <c r="AO43" s="63" t="s">
        <v>116</v>
      </c>
      <c r="AP43" s="79" t="s">
        <v>374</v>
      </c>
      <c r="AQ43" s="61" t="s">
        <v>114</v>
      </c>
      <c r="AR43" s="79">
        <v>0.45</v>
      </c>
      <c r="AS43" s="87">
        <v>42574.0</v>
      </c>
      <c r="AT43" s="63" t="s">
        <v>116</v>
      </c>
      <c r="AU43" s="79" t="s">
        <v>375</v>
      </c>
      <c r="AV43" s="145" t="s">
        <v>74</v>
      </c>
      <c r="AW43" s="82"/>
      <c r="AX43" s="82"/>
      <c r="AY43" s="82"/>
      <c r="AZ43" s="82"/>
      <c r="BA43" s="51" t="s">
        <v>61</v>
      </c>
      <c r="BB43" s="63" t="s">
        <v>116</v>
      </c>
      <c r="BC43" s="79" t="s">
        <v>376</v>
      </c>
      <c r="BD43" s="63" t="s">
        <v>116</v>
      </c>
      <c r="BE43" s="63" t="s">
        <v>116</v>
      </c>
      <c r="BF43" s="28"/>
      <c r="BG43" s="28"/>
      <c r="BH43" s="28"/>
      <c r="BI43" s="28"/>
      <c r="BJ43" s="28"/>
      <c r="BK43" s="28"/>
    </row>
    <row r="44" ht="13.5" customHeight="1">
      <c r="A44" s="45">
        <v>43.0</v>
      </c>
      <c r="B44" s="77">
        <v>46226.4290983449</v>
      </c>
      <c r="C44" s="79" t="s">
        <v>292</v>
      </c>
      <c r="D44" s="82"/>
      <c r="E44" s="79" t="s">
        <v>377</v>
      </c>
      <c r="F44" s="79" t="s">
        <v>322</v>
      </c>
      <c r="G44" s="79" t="s">
        <v>350</v>
      </c>
      <c r="H44" s="79">
        <v>40.0</v>
      </c>
      <c r="I44" s="141" t="s">
        <v>378</v>
      </c>
      <c r="J44" s="51" t="s">
        <v>61</v>
      </c>
      <c r="K44" s="51" t="s">
        <v>121</v>
      </c>
      <c r="L44" s="51" t="s">
        <v>106</v>
      </c>
      <c r="M44" s="79">
        <v>2.6</v>
      </c>
      <c r="N44" s="51" t="s">
        <v>107</v>
      </c>
      <c r="O44" s="58" t="s">
        <v>111</v>
      </c>
      <c r="P44" s="58" t="s">
        <v>111</v>
      </c>
      <c r="Q44" s="118">
        <v>0.0</v>
      </c>
      <c r="R44" s="118" t="s">
        <v>111</v>
      </c>
      <c r="S44" s="58" t="s">
        <v>111</v>
      </c>
      <c r="T44" s="79" t="s">
        <v>297</v>
      </c>
      <c r="U44" s="82"/>
      <c r="V44" s="82"/>
      <c r="W44" s="82"/>
      <c r="X44" s="82"/>
      <c r="Y44" s="82"/>
      <c r="Z44" s="58" t="s">
        <v>111</v>
      </c>
      <c r="AA44" s="58" t="s">
        <v>111</v>
      </c>
      <c r="AB44" s="118">
        <v>0.0</v>
      </c>
      <c r="AC44" s="118" t="s">
        <v>111</v>
      </c>
      <c r="AD44" s="58" t="s">
        <v>111</v>
      </c>
      <c r="AE44" s="79" t="s">
        <v>297</v>
      </c>
      <c r="AF44" s="82"/>
      <c r="AG44" s="82"/>
      <c r="AH44" s="82"/>
      <c r="AI44" s="82"/>
      <c r="AJ44" s="82"/>
      <c r="AK44" s="54" t="s">
        <v>108</v>
      </c>
      <c r="AL44" s="51" t="s">
        <v>120</v>
      </c>
      <c r="AM44" s="79" t="s">
        <v>344</v>
      </c>
      <c r="AN44" s="87">
        <v>42574.0</v>
      </c>
      <c r="AO44" s="63" t="s">
        <v>116</v>
      </c>
      <c r="AP44" s="79" t="s">
        <v>379</v>
      </c>
      <c r="AQ44" s="61" t="s">
        <v>114</v>
      </c>
      <c r="AR44" s="79" t="s">
        <v>344</v>
      </c>
      <c r="AS44" s="87">
        <v>42574.0</v>
      </c>
      <c r="AT44" s="63" t="s">
        <v>116</v>
      </c>
      <c r="AU44" s="79" t="s">
        <v>379</v>
      </c>
      <c r="AV44" s="145" t="s">
        <v>74</v>
      </c>
      <c r="AW44" s="82"/>
      <c r="AX44" s="82"/>
      <c r="AY44" s="82"/>
      <c r="AZ44" s="82"/>
      <c r="BA44" s="145" t="s">
        <v>74</v>
      </c>
      <c r="BB44" s="63" t="s">
        <v>116</v>
      </c>
      <c r="BC44" s="82"/>
      <c r="BD44" s="63" t="s">
        <v>116</v>
      </c>
      <c r="BE44" s="63" t="s">
        <v>116</v>
      </c>
      <c r="BF44" s="28"/>
      <c r="BG44" s="28"/>
      <c r="BH44" s="28"/>
      <c r="BI44" s="28"/>
      <c r="BJ44" s="28"/>
      <c r="BK44" s="28"/>
    </row>
    <row r="45" ht="13.5" customHeight="1">
      <c r="A45" s="76">
        <v>44.0</v>
      </c>
      <c r="B45" s="77">
        <v>46226.43220034722</v>
      </c>
      <c r="C45" s="79" t="s">
        <v>292</v>
      </c>
      <c r="D45" s="82"/>
      <c r="E45" s="79" t="s">
        <v>377</v>
      </c>
      <c r="F45" s="79" t="s">
        <v>380</v>
      </c>
      <c r="G45" s="79" t="s">
        <v>350</v>
      </c>
      <c r="H45" s="79">
        <v>40.0</v>
      </c>
      <c r="I45" s="141" t="s">
        <v>381</v>
      </c>
      <c r="J45" s="51" t="s">
        <v>61</v>
      </c>
      <c r="K45" s="51" t="s">
        <v>121</v>
      </c>
      <c r="L45" s="51" t="s">
        <v>106</v>
      </c>
      <c r="M45" s="79">
        <v>2.5</v>
      </c>
      <c r="N45" s="51" t="s">
        <v>107</v>
      </c>
      <c r="O45" s="58" t="s">
        <v>111</v>
      </c>
      <c r="P45" s="58" t="s">
        <v>111</v>
      </c>
      <c r="Q45" s="118">
        <v>0.0</v>
      </c>
      <c r="R45" s="118" t="s">
        <v>111</v>
      </c>
      <c r="S45" s="58" t="s">
        <v>111</v>
      </c>
      <c r="T45" s="79" t="s">
        <v>297</v>
      </c>
      <c r="U45" s="82"/>
      <c r="V45" s="82"/>
      <c r="W45" s="82"/>
      <c r="X45" s="82"/>
      <c r="Y45" s="82"/>
      <c r="Z45" s="58" t="s">
        <v>111</v>
      </c>
      <c r="AA45" s="58" t="s">
        <v>111</v>
      </c>
      <c r="AB45" s="118">
        <v>0.0</v>
      </c>
      <c r="AC45" s="118" t="s">
        <v>111</v>
      </c>
      <c r="AD45" s="58" t="s">
        <v>111</v>
      </c>
      <c r="AE45" s="79" t="s">
        <v>382</v>
      </c>
      <c r="AF45" s="82"/>
      <c r="AG45" s="82"/>
      <c r="AH45" s="82"/>
      <c r="AI45" s="82"/>
      <c r="AJ45" s="82"/>
      <c r="AK45" s="54" t="s">
        <v>108</v>
      </c>
      <c r="AL45" s="51" t="s">
        <v>120</v>
      </c>
      <c r="AM45" s="79" t="s">
        <v>344</v>
      </c>
      <c r="AN45" s="87">
        <v>42574.0</v>
      </c>
      <c r="AO45" s="124" t="s">
        <v>152</v>
      </c>
      <c r="AP45" s="82"/>
      <c r="AQ45" s="61" t="s">
        <v>114</v>
      </c>
      <c r="AR45" s="79" t="s">
        <v>344</v>
      </c>
      <c r="AS45" s="87">
        <v>42574.0</v>
      </c>
      <c r="AT45" s="124" t="s">
        <v>152</v>
      </c>
      <c r="AU45" s="82"/>
      <c r="AV45" s="145" t="s">
        <v>74</v>
      </c>
      <c r="AW45" s="82"/>
      <c r="AX45" s="82"/>
      <c r="AY45" s="82"/>
      <c r="AZ45" s="82"/>
      <c r="BA45" s="145" t="s">
        <v>74</v>
      </c>
      <c r="BB45" s="63" t="s">
        <v>116</v>
      </c>
      <c r="BC45" s="82"/>
      <c r="BD45" s="63" t="s">
        <v>116</v>
      </c>
      <c r="BE45" s="63" t="s">
        <v>116</v>
      </c>
      <c r="BF45" s="28"/>
      <c r="BG45" s="28"/>
      <c r="BH45" s="28"/>
      <c r="BI45" s="28"/>
      <c r="BJ45" s="28"/>
      <c r="BK45" s="28"/>
    </row>
    <row r="46" ht="13.5" customHeight="1">
      <c r="A46" s="76">
        <v>45.0</v>
      </c>
      <c r="B46" s="77">
        <v>46226.43453763889</v>
      </c>
      <c r="C46" s="79" t="s">
        <v>292</v>
      </c>
      <c r="D46" s="82"/>
      <c r="E46" s="79" t="s">
        <v>377</v>
      </c>
      <c r="F46" s="79" t="s">
        <v>383</v>
      </c>
      <c r="G46" s="79" t="s">
        <v>350</v>
      </c>
      <c r="H46" s="79">
        <v>40.0</v>
      </c>
      <c r="I46" s="141" t="s">
        <v>384</v>
      </c>
      <c r="J46" s="144" t="s">
        <v>84</v>
      </c>
      <c r="K46" s="51" t="s">
        <v>121</v>
      </c>
      <c r="L46" s="51" t="s">
        <v>106</v>
      </c>
      <c r="M46" s="79">
        <v>2.0</v>
      </c>
      <c r="N46" s="51" t="s">
        <v>107</v>
      </c>
      <c r="O46" s="58" t="s">
        <v>111</v>
      </c>
      <c r="P46" s="58" t="s">
        <v>111</v>
      </c>
      <c r="Q46" s="118">
        <v>0.0</v>
      </c>
      <c r="R46" s="118" t="s">
        <v>111</v>
      </c>
      <c r="S46" s="58" t="s">
        <v>111</v>
      </c>
      <c r="T46" s="79" t="s">
        <v>297</v>
      </c>
      <c r="U46" s="82"/>
      <c r="V46" s="82"/>
      <c r="W46" s="82"/>
      <c r="X46" s="82"/>
      <c r="Y46" s="82"/>
      <c r="Z46" s="58" t="s">
        <v>111</v>
      </c>
      <c r="AA46" s="58" t="s">
        <v>111</v>
      </c>
      <c r="AB46" s="118">
        <v>0.0</v>
      </c>
      <c r="AC46" s="118" t="s">
        <v>111</v>
      </c>
      <c r="AD46" s="58" t="s">
        <v>111</v>
      </c>
      <c r="AE46" s="79" t="s">
        <v>297</v>
      </c>
      <c r="AF46" s="82"/>
      <c r="AG46" s="82"/>
      <c r="AH46" s="82"/>
      <c r="AI46" s="82"/>
      <c r="AJ46" s="82"/>
      <c r="AK46" s="54" t="s">
        <v>108</v>
      </c>
      <c r="AL46" s="51" t="s">
        <v>120</v>
      </c>
      <c r="AM46" s="79" t="s">
        <v>344</v>
      </c>
      <c r="AN46" s="87">
        <v>42574.0</v>
      </c>
      <c r="AO46" s="63" t="s">
        <v>116</v>
      </c>
      <c r="AP46" s="82"/>
      <c r="AQ46" s="61" t="s">
        <v>114</v>
      </c>
      <c r="AR46" s="79" t="s">
        <v>344</v>
      </c>
      <c r="AS46" s="87">
        <v>42574.0</v>
      </c>
      <c r="AT46" s="63" t="s">
        <v>116</v>
      </c>
      <c r="AU46" s="82"/>
      <c r="AV46" s="145" t="s">
        <v>74</v>
      </c>
      <c r="AW46" s="82"/>
      <c r="AX46" s="82"/>
      <c r="AY46" s="82"/>
      <c r="AZ46" s="82"/>
      <c r="BA46" s="145" t="s">
        <v>74</v>
      </c>
      <c r="BB46" s="63" t="s">
        <v>116</v>
      </c>
      <c r="BC46" s="82"/>
      <c r="BD46" s="63" t="s">
        <v>116</v>
      </c>
      <c r="BE46" s="63" t="s">
        <v>116</v>
      </c>
      <c r="BF46" s="28"/>
      <c r="BG46" s="28"/>
      <c r="BH46" s="28"/>
      <c r="BI46" s="28"/>
      <c r="BJ46" s="28"/>
      <c r="BK46" s="28"/>
    </row>
    <row r="47" ht="13.5" customHeight="1">
      <c r="A47" s="45">
        <v>46.0</v>
      </c>
      <c r="B47" s="77">
        <v>46226.436944664354</v>
      </c>
      <c r="C47" s="79" t="s">
        <v>292</v>
      </c>
      <c r="D47" s="82"/>
      <c r="E47" s="79" t="s">
        <v>377</v>
      </c>
      <c r="F47" s="79" t="s">
        <v>385</v>
      </c>
      <c r="G47" s="79" t="s">
        <v>350</v>
      </c>
      <c r="H47" s="79">
        <v>35.0</v>
      </c>
      <c r="I47" s="141" t="s">
        <v>386</v>
      </c>
      <c r="J47" s="51" t="s">
        <v>61</v>
      </c>
      <c r="K47" s="51" t="s">
        <v>121</v>
      </c>
      <c r="L47" s="51" t="s">
        <v>106</v>
      </c>
      <c r="M47" s="79">
        <v>2.2</v>
      </c>
      <c r="N47" s="51" t="s">
        <v>107</v>
      </c>
      <c r="O47" s="58" t="s">
        <v>111</v>
      </c>
      <c r="P47" s="58" t="s">
        <v>111</v>
      </c>
      <c r="Q47" s="118">
        <v>0.0</v>
      </c>
      <c r="R47" s="118" t="s">
        <v>111</v>
      </c>
      <c r="S47" s="58" t="s">
        <v>111</v>
      </c>
      <c r="T47" s="79" t="s">
        <v>306</v>
      </c>
      <c r="U47" s="82"/>
      <c r="V47" s="82"/>
      <c r="W47" s="82"/>
      <c r="X47" s="82"/>
      <c r="Y47" s="82"/>
      <c r="Z47" s="58" t="s">
        <v>111</v>
      </c>
      <c r="AA47" s="58" t="s">
        <v>111</v>
      </c>
      <c r="AB47" s="118">
        <v>0.0</v>
      </c>
      <c r="AC47" s="118" t="s">
        <v>111</v>
      </c>
      <c r="AD47" s="58" t="s">
        <v>111</v>
      </c>
      <c r="AE47" s="79" t="s">
        <v>297</v>
      </c>
      <c r="AF47" s="82"/>
      <c r="AG47" s="82"/>
      <c r="AH47" s="82"/>
      <c r="AI47" s="82"/>
      <c r="AJ47" s="82"/>
      <c r="AK47" s="54" t="s">
        <v>108</v>
      </c>
      <c r="AL47" s="51" t="s">
        <v>120</v>
      </c>
      <c r="AM47" s="79" t="s">
        <v>344</v>
      </c>
      <c r="AN47" s="87">
        <v>42574.0</v>
      </c>
      <c r="AO47" s="124" t="s">
        <v>152</v>
      </c>
      <c r="AP47" s="82"/>
      <c r="AQ47" s="61" t="s">
        <v>114</v>
      </c>
      <c r="AR47" s="79" t="s">
        <v>344</v>
      </c>
      <c r="AS47" s="87">
        <v>42574.0</v>
      </c>
      <c r="AT47" s="124" t="s">
        <v>152</v>
      </c>
      <c r="AU47" s="82"/>
      <c r="AV47" s="145" t="s">
        <v>74</v>
      </c>
      <c r="AW47" s="82"/>
      <c r="AX47" s="82"/>
      <c r="AY47" s="82"/>
      <c r="AZ47" s="82"/>
      <c r="BA47" s="145" t="s">
        <v>74</v>
      </c>
      <c r="BB47" s="63" t="s">
        <v>116</v>
      </c>
      <c r="BC47" s="82"/>
      <c r="BD47" s="63" t="s">
        <v>116</v>
      </c>
      <c r="BE47" s="63" t="s">
        <v>116</v>
      </c>
      <c r="BF47" s="28"/>
      <c r="BG47" s="28"/>
      <c r="BH47" s="28"/>
      <c r="BI47" s="28"/>
      <c r="BJ47" s="28"/>
      <c r="BK47" s="28"/>
    </row>
    <row r="48" ht="13.5" customHeight="1">
      <c r="A48" s="76">
        <v>47.0</v>
      </c>
      <c r="B48" s="77">
        <v>46226.44364916667</v>
      </c>
      <c r="C48" s="79" t="s">
        <v>292</v>
      </c>
      <c r="D48" s="82"/>
      <c r="E48" s="79" t="s">
        <v>387</v>
      </c>
      <c r="F48" s="79" t="s">
        <v>388</v>
      </c>
      <c r="G48" s="82"/>
      <c r="H48" s="79">
        <v>166.0</v>
      </c>
      <c r="I48" s="141" t="s">
        <v>389</v>
      </c>
      <c r="J48" s="63" t="s">
        <v>74</v>
      </c>
      <c r="K48" s="54" t="s">
        <v>93</v>
      </c>
      <c r="L48" s="51" t="s">
        <v>106</v>
      </c>
      <c r="M48" s="79">
        <v>4.0</v>
      </c>
      <c r="N48" s="63" t="s">
        <v>116</v>
      </c>
      <c r="O48" s="58" t="s">
        <v>111</v>
      </c>
      <c r="P48" s="58" t="s">
        <v>111</v>
      </c>
      <c r="Q48" s="118">
        <v>0.0</v>
      </c>
      <c r="R48" s="118" t="s">
        <v>111</v>
      </c>
      <c r="S48" s="58" t="s">
        <v>111</v>
      </c>
      <c r="T48" s="79" t="s">
        <v>297</v>
      </c>
      <c r="U48" s="82"/>
      <c r="V48" s="82"/>
      <c r="W48" s="82"/>
      <c r="X48" s="82"/>
      <c r="Y48" s="82"/>
      <c r="Z48" s="58" t="s">
        <v>111</v>
      </c>
      <c r="AA48" s="58" t="s">
        <v>111</v>
      </c>
      <c r="AB48" s="118">
        <v>0.0</v>
      </c>
      <c r="AC48" s="118" t="s">
        <v>111</v>
      </c>
      <c r="AD48" s="58" t="s">
        <v>111</v>
      </c>
      <c r="AE48" s="79" t="s">
        <v>297</v>
      </c>
      <c r="AF48" s="82"/>
      <c r="AG48" s="82"/>
      <c r="AH48" s="82"/>
      <c r="AI48" s="82"/>
      <c r="AJ48" s="82"/>
      <c r="AK48" s="92" t="s">
        <v>149</v>
      </c>
      <c r="AL48" s="51" t="s">
        <v>120</v>
      </c>
      <c r="AM48" s="79">
        <v>0.6</v>
      </c>
      <c r="AN48" s="87">
        <v>42574.0</v>
      </c>
      <c r="AO48" s="124" t="s">
        <v>152</v>
      </c>
      <c r="AP48" s="82"/>
      <c r="AQ48" s="142" t="s">
        <v>174</v>
      </c>
      <c r="AR48" s="79">
        <v>0.6</v>
      </c>
      <c r="AS48" s="87">
        <v>42574.0</v>
      </c>
      <c r="AT48" s="124" t="s">
        <v>152</v>
      </c>
      <c r="AU48" s="82"/>
      <c r="AV48" s="51" t="s">
        <v>61</v>
      </c>
      <c r="AW48" s="70" t="s">
        <v>127</v>
      </c>
      <c r="AX48" s="87">
        <v>42574.0</v>
      </c>
      <c r="AY48" s="79">
        <v>0.225</v>
      </c>
      <c r="AZ48" s="51" t="s">
        <v>107</v>
      </c>
      <c r="BA48" s="51" t="s">
        <v>61</v>
      </c>
      <c r="BB48" s="63" t="s">
        <v>116</v>
      </c>
      <c r="BC48" s="82"/>
      <c r="BD48" s="52" t="s">
        <v>153</v>
      </c>
      <c r="BE48" s="51" t="s">
        <v>107</v>
      </c>
      <c r="BF48" s="28"/>
      <c r="BG48" s="28"/>
      <c r="BH48" s="28"/>
      <c r="BI48" s="28"/>
      <c r="BJ48" s="28"/>
      <c r="BK48" s="28"/>
    </row>
    <row r="49" ht="13.5" customHeight="1">
      <c r="A49" s="76">
        <v>48.0</v>
      </c>
      <c r="B49" s="77">
        <v>46226.4462715625</v>
      </c>
      <c r="C49" s="79" t="s">
        <v>292</v>
      </c>
      <c r="D49" s="82"/>
      <c r="E49" s="79" t="s">
        <v>390</v>
      </c>
      <c r="F49" s="79" t="s">
        <v>276</v>
      </c>
      <c r="G49" s="79" t="s">
        <v>350</v>
      </c>
      <c r="H49" s="79">
        <v>343.0</v>
      </c>
      <c r="I49" s="141" t="s">
        <v>391</v>
      </c>
      <c r="J49" s="51" t="s">
        <v>61</v>
      </c>
      <c r="K49" s="54" t="s">
        <v>93</v>
      </c>
      <c r="L49" s="51" t="s">
        <v>106</v>
      </c>
      <c r="M49" s="79">
        <v>2.9</v>
      </c>
      <c r="N49" s="51" t="s">
        <v>107</v>
      </c>
      <c r="O49" s="92" t="s">
        <v>149</v>
      </c>
      <c r="P49" s="62" t="s">
        <v>115</v>
      </c>
      <c r="Q49" s="79">
        <v>1.0</v>
      </c>
      <c r="R49" s="87">
        <v>44035.0</v>
      </c>
      <c r="S49" s="51" t="s">
        <v>107</v>
      </c>
      <c r="T49" s="79" t="s">
        <v>166</v>
      </c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92" t="s">
        <v>149</v>
      </c>
      <c r="AL49" s="51" t="s">
        <v>120</v>
      </c>
      <c r="AM49" s="79">
        <v>0.6</v>
      </c>
      <c r="AN49" s="87">
        <v>42574.0</v>
      </c>
      <c r="AO49" s="63" t="s">
        <v>116</v>
      </c>
      <c r="AP49" s="82"/>
      <c r="AQ49" s="82"/>
      <c r="AR49" s="82"/>
      <c r="AS49" s="82"/>
      <c r="AT49" s="82"/>
      <c r="AU49" s="82"/>
      <c r="AV49" s="51" t="s">
        <v>61</v>
      </c>
      <c r="AW49" s="70" t="s">
        <v>127</v>
      </c>
      <c r="AX49" s="87">
        <v>42574.0</v>
      </c>
      <c r="AY49" s="79">
        <v>0.225</v>
      </c>
      <c r="AZ49" s="51" t="s">
        <v>107</v>
      </c>
      <c r="BA49" s="51" t="s">
        <v>61</v>
      </c>
      <c r="BB49" s="51" t="s">
        <v>107</v>
      </c>
      <c r="BC49" s="82"/>
      <c r="BD49" s="52" t="s">
        <v>153</v>
      </c>
      <c r="BE49" s="51" t="s">
        <v>107</v>
      </c>
      <c r="BF49" s="28"/>
      <c r="BG49" s="28"/>
      <c r="BH49" s="28"/>
      <c r="BI49" s="28"/>
      <c r="BJ49" s="28"/>
      <c r="BK49" s="28"/>
    </row>
    <row r="50" ht="13.5" customHeight="1">
      <c r="A50" s="45">
        <v>49.0</v>
      </c>
      <c r="B50" s="77">
        <v>46226.45500300926</v>
      </c>
      <c r="C50" s="79" t="s">
        <v>292</v>
      </c>
      <c r="D50" s="82"/>
      <c r="E50" s="79" t="s">
        <v>392</v>
      </c>
      <c r="F50" s="79" t="s">
        <v>393</v>
      </c>
      <c r="G50" s="79" t="s">
        <v>392</v>
      </c>
      <c r="H50" s="79">
        <v>130.0</v>
      </c>
      <c r="I50" s="141" t="s">
        <v>394</v>
      </c>
      <c r="J50" s="51" t="s">
        <v>61</v>
      </c>
      <c r="K50" s="52" t="s">
        <v>105</v>
      </c>
      <c r="L50" s="51" t="s">
        <v>106</v>
      </c>
      <c r="M50" s="79">
        <v>2.8</v>
      </c>
      <c r="N50" s="51" t="s">
        <v>107</v>
      </c>
      <c r="O50" s="58" t="s">
        <v>111</v>
      </c>
      <c r="P50" s="58" t="s">
        <v>111</v>
      </c>
      <c r="Q50" s="118">
        <v>0.0</v>
      </c>
      <c r="R50" s="118" t="s">
        <v>111</v>
      </c>
      <c r="S50" s="58" t="s">
        <v>111</v>
      </c>
      <c r="T50" s="79" t="s">
        <v>297</v>
      </c>
      <c r="U50" s="82"/>
      <c r="V50" s="82"/>
      <c r="W50" s="82"/>
      <c r="X50" s="82"/>
      <c r="Y50" s="82"/>
      <c r="Z50" s="58" t="s">
        <v>111</v>
      </c>
      <c r="AA50" s="58" t="s">
        <v>111</v>
      </c>
      <c r="AB50" s="118">
        <v>0.0</v>
      </c>
      <c r="AC50" s="118" t="s">
        <v>111</v>
      </c>
      <c r="AD50" s="58" t="s">
        <v>111</v>
      </c>
      <c r="AE50" s="79" t="s">
        <v>297</v>
      </c>
      <c r="AF50" s="82"/>
      <c r="AG50" s="82"/>
      <c r="AH50" s="82"/>
      <c r="AI50" s="82"/>
      <c r="AJ50" s="82"/>
      <c r="AK50" s="54" t="s">
        <v>108</v>
      </c>
      <c r="AL50" s="51" t="s">
        <v>120</v>
      </c>
      <c r="AM50" s="79">
        <v>0.45</v>
      </c>
      <c r="AN50" s="87">
        <v>42574.0</v>
      </c>
      <c r="AO50" s="51" t="s">
        <v>107</v>
      </c>
      <c r="AP50" s="82"/>
      <c r="AQ50" s="61" t="s">
        <v>114</v>
      </c>
      <c r="AR50" s="79">
        <v>0.45</v>
      </c>
      <c r="AS50" s="87">
        <v>42574.0</v>
      </c>
      <c r="AT50" s="51" t="s">
        <v>107</v>
      </c>
      <c r="AU50" s="82"/>
      <c r="AV50" s="51" t="s">
        <v>61</v>
      </c>
      <c r="AW50" s="70" t="s">
        <v>127</v>
      </c>
      <c r="AX50" s="87">
        <v>42574.0</v>
      </c>
      <c r="AY50" s="79">
        <v>0.225</v>
      </c>
      <c r="AZ50" s="51" t="s">
        <v>107</v>
      </c>
      <c r="BA50" s="51" t="s">
        <v>61</v>
      </c>
      <c r="BB50" s="51" t="s">
        <v>107</v>
      </c>
      <c r="BC50" s="82"/>
      <c r="BD50" s="52" t="s">
        <v>153</v>
      </c>
      <c r="BE50" s="51" t="s">
        <v>107</v>
      </c>
      <c r="BF50" s="28"/>
      <c r="BG50" s="28"/>
      <c r="BH50" s="28"/>
      <c r="BI50" s="28"/>
      <c r="BJ50" s="28"/>
      <c r="BK50" s="28"/>
    </row>
    <row r="51" ht="13.5" customHeight="1">
      <c r="A51" s="76">
        <v>50.0</v>
      </c>
      <c r="B51" s="77">
        <v>46226.45830452546</v>
      </c>
      <c r="C51" s="79" t="s">
        <v>292</v>
      </c>
      <c r="D51" s="82"/>
      <c r="E51" s="79" t="s">
        <v>395</v>
      </c>
      <c r="F51" s="79" t="s">
        <v>396</v>
      </c>
      <c r="G51" s="79" t="s">
        <v>397</v>
      </c>
      <c r="H51" s="79">
        <v>145.0</v>
      </c>
      <c r="I51" s="141" t="s">
        <v>398</v>
      </c>
      <c r="J51" s="51" t="s">
        <v>61</v>
      </c>
      <c r="K51" s="52" t="s">
        <v>105</v>
      </c>
      <c r="L51" s="51" t="s">
        <v>106</v>
      </c>
      <c r="M51" s="79">
        <v>4.0</v>
      </c>
      <c r="N51" s="51" t="s">
        <v>107</v>
      </c>
      <c r="O51" s="58" t="s">
        <v>111</v>
      </c>
      <c r="P51" s="58" t="s">
        <v>111</v>
      </c>
      <c r="Q51" s="118">
        <v>0.0</v>
      </c>
      <c r="R51" s="118" t="s">
        <v>111</v>
      </c>
      <c r="S51" s="58" t="s">
        <v>111</v>
      </c>
      <c r="T51" s="79" t="s">
        <v>399</v>
      </c>
      <c r="U51" s="82"/>
      <c r="V51" s="82"/>
      <c r="W51" s="82"/>
      <c r="X51" s="82"/>
      <c r="Y51" s="82"/>
      <c r="Z51" s="61" t="s">
        <v>114</v>
      </c>
      <c r="AA51" s="82"/>
      <c r="AB51" s="82"/>
      <c r="AC51" s="82"/>
      <c r="AD51" s="82"/>
      <c r="AE51" s="79" t="s">
        <v>400</v>
      </c>
      <c r="AF51" s="82"/>
      <c r="AG51" s="82"/>
      <c r="AH51" s="82"/>
      <c r="AI51" s="82"/>
      <c r="AJ51" s="82"/>
      <c r="AK51" s="54" t="s">
        <v>108</v>
      </c>
      <c r="AL51" s="51" t="s">
        <v>120</v>
      </c>
      <c r="AM51" s="79">
        <v>0.5</v>
      </c>
      <c r="AN51" s="87">
        <v>42574.0</v>
      </c>
      <c r="AO51" s="82"/>
      <c r="AP51" s="82"/>
      <c r="AQ51" s="61" t="s">
        <v>114</v>
      </c>
      <c r="AR51" s="79">
        <v>0.45</v>
      </c>
      <c r="AS51" s="87">
        <v>42574.0</v>
      </c>
      <c r="AT51" s="51" t="s">
        <v>107</v>
      </c>
      <c r="AU51" s="82"/>
      <c r="AV51" s="51" t="s">
        <v>61</v>
      </c>
      <c r="AW51" s="70" t="s">
        <v>127</v>
      </c>
      <c r="AX51" s="87">
        <v>42574.0</v>
      </c>
      <c r="AY51" s="79">
        <v>0.225</v>
      </c>
      <c r="AZ51" s="51" t="s">
        <v>107</v>
      </c>
      <c r="BA51" s="51" t="s">
        <v>61</v>
      </c>
      <c r="BB51" s="51" t="s">
        <v>107</v>
      </c>
      <c r="BC51" s="82"/>
      <c r="BD51" s="52" t="s">
        <v>153</v>
      </c>
      <c r="BE51" s="51" t="s">
        <v>107</v>
      </c>
      <c r="BF51" s="28"/>
      <c r="BG51" s="28"/>
      <c r="BH51" s="28"/>
      <c r="BI51" s="28"/>
      <c r="BJ51" s="28"/>
      <c r="BK51" s="28"/>
    </row>
    <row r="52" ht="13.5" customHeight="1">
      <c r="A52" s="76">
        <v>51.0</v>
      </c>
      <c r="B52" s="77">
        <v>46226.460512060185</v>
      </c>
      <c r="C52" s="79" t="s">
        <v>292</v>
      </c>
      <c r="D52" s="82"/>
      <c r="E52" s="79" t="s">
        <v>401</v>
      </c>
      <c r="F52" s="79" t="s">
        <v>402</v>
      </c>
      <c r="G52" s="79" t="s">
        <v>397</v>
      </c>
      <c r="H52" s="79">
        <v>145.0</v>
      </c>
      <c r="I52" s="141" t="s">
        <v>403</v>
      </c>
      <c r="J52" s="51" t="s">
        <v>61</v>
      </c>
      <c r="K52" s="52" t="s">
        <v>105</v>
      </c>
      <c r="L52" s="51" t="s">
        <v>106</v>
      </c>
      <c r="M52" s="79">
        <v>3.5</v>
      </c>
      <c r="N52" s="51" t="s">
        <v>107</v>
      </c>
      <c r="O52" s="58" t="s">
        <v>111</v>
      </c>
      <c r="P52" s="58" t="s">
        <v>111</v>
      </c>
      <c r="Q52" s="118">
        <v>0.0</v>
      </c>
      <c r="R52" s="118" t="s">
        <v>111</v>
      </c>
      <c r="S52" s="58" t="s">
        <v>111</v>
      </c>
      <c r="T52" s="79" t="s">
        <v>297</v>
      </c>
      <c r="U52" s="82"/>
      <c r="V52" s="82"/>
      <c r="W52" s="82"/>
      <c r="X52" s="82"/>
      <c r="Y52" s="82"/>
      <c r="Z52" s="58" t="s">
        <v>111</v>
      </c>
      <c r="AA52" s="58" t="s">
        <v>111</v>
      </c>
      <c r="AB52" s="118">
        <v>0.0</v>
      </c>
      <c r="AC52" s="118" t="s">
        <v>111</v>
      </c>
      <c r="AD52" s="58" t="s">
        <v>111</v>
      </c>
      <c r="AE52" s="79" t="s">
        <v>297</v>
      </c>
      <c r="AF52" s="82"/>
      <c r="AG52" s="82"/>
      <c r="AH52" s="82"/>
      <c r="AI52" s="82"/>
      <c r="AJ52" s="82"/>
      <c r="AK52" s="54" t="s">
        <v>108</v>
      </c>
      <c r="AL52" s="51" t="s">
        <v>120</v>
      </c>
      <c r="AM52" s="79">
        <v>0.5</v>
      </c>
      <c r="AN52" s="87">
        <v>42574.0</v>
      </c>
      <c r="AO52" s="51" t="s">
        <v>107</v>
      </c>
      <c r="AP52" s="82"/>
      <c r="AQ52" s="61" t="s">
        <v>114</v>
      </c>
      <c r="AR52" s="79">
        <v>0.5</v>
      </c>
      <c r="AS52" s="87">
        <v>42574.0</v>
      </c>
      <c r="AT52" s="51" t="s">
        <v>107</v>
      </c>
      <c r="AU52" s="82"/>
      <c r="AV52" s="51" t="s">
        <v>61</v>
      </c>
      <c r="AW52" s="70" t="s">
        <v>127</v>
      </c>
      <c r="AX52" s="87">
        <v>42574.0</v>
      </c>
      <c r="AY52" s="79">
        <v>0.225</v>
      </c>
      <c r="AZ52" s="51" t="s">
        <v>107</v>
      </c>
      <c r="BA52" s="51" t="s">
        <v>61</v>
      </c>
      <c r="BB52" s="51" t="s">
        <v>107</v>
      </c>
      <c r="BC52" s="82"/>
      <c r="BD52" s="51" t="s">
        <v>133</v>
      </c>
      <c r="BE52" s="63" t="s">
        <v>116</v>
      </c>
      <c r="BF52" s="28"/>
      <c r="BG52" s="28"/>
      <c r="BH52" s="28"/>
      <c r="BI52" s="28"/>
      <c r="BJ52" s="28"/>
      <c r="BK52" s="28"/>
    </row>
    <row r="53" ht="13.5" customHeight="1">
      <c r="A53" s="45">
        <v>52.0</v>
      </c>
      <c r="B53" s="77">
        <v>46226.46344608796</v>
      </c>
      <c r="C53" s="79" t="s">
        <v>292</v>
      </c>
      <c r="D53" s="82"/>
      <c r="E53" s="79" t="s">
        <v>401</v>
      </c>
      <c r="F53" s="79" t="s">
        <v>404</v>
      </c>
      <c r="G53" s="79" t="s">
        <v>397</v>
      </c>
      <c r="H53" s="79">
        <v>145.0</v>
      </c>
      <c r="I53" s="141" t="s">
        <v>405</v>
      </c>
      <c r="J53" s="51" t="s">
        <v>61</v>
      </c>
      <c r="K53" s="52" t="s">
        <v>105</v>
      </c>
      <c r="L53" s="51" t="s">
        <v>106</v>
      </c>
      <c r="M53" s="79">
        <v>5.0</v>
      </c>
      <c r="N53" s="51" t="s">
        <v>107</v>
      </c>
      <c r="O53" s="54" t="s">
        <v>108</v>
      </c>
      <c r="P53" s="62" t="s">
        <v>115</v>
      </c>
      <c r="Q53" s="79">
        <v>1.0</v>
      </c>
      <c r="R53" s="87">
        <v>44035.0</v>
      </c>
      <c r="S53" s="51" t="s">
        <v>107</v>
      </c>
      <c r="T53" s="79" t="s">
        <v>166</v>
      </c>
      <c r="U53" s="82"/>
      <c r="V53" s="82"/>
      <c r="W53" s="82"/>
      <c r="X53" s="82"/>
      <c r="Y53" s="82"/>
      <c r="Z53" s="61" t="s">
        <v>114</v>
      </c>
      <c r="AA53" s="62" t="s">
        <v>115</v>
      </c>
      <c r="AB53" s="79">
        <v>1.0</v>
      </c>
      <c r="AC53" s="87">
        <v>44035.0</v>
      </c>
      <c r="AD53" s="51" t="s">
        <v>107</v>
      </c>
      <c r="AE53" s="82"/>
      <c r="AF53" s="82"/>
      <c r="AG53" s="82"/>
      <c r="AH53" s="82"/>
      <c r="AI53" s="82"/>
      <c r="AJ53" s="82"/>
      <c r="AK53" s="54" t="s">
        <v>108</v>
      </c>
      <c r="AL53" s="51" t="s">
        <v>120</v>
      </c>
      <c r="AM53" s="79">
        <v>0.5</v>
      </c>
      <c r="AN53" s="87">
        <v>42574.0</v>
      </c>
      <c r="AO53" s="51" t="s">
        <v>107</v>
      </c>
      <c r="AP53" s="82"/>
      <c r="AQ53" s="61" t="s">
        <v>114</v>
      </c>
      <c r="AR53" s="79">
        <v>0.5</v>
      </c>
      <c r="AS53" s="87">
        <v>42574.0</v>
      </c>
      <c r="AT53" s="51" t="s">
        <v>107</v>
      </c>
      <c r="AU53" s="82"/>
      <c r="AV53" s="51" t="s">
        <v>61</v>
      </c>
      <c r="AW53" s="70" t="s">
        <v>127</v>
      </c>
      <c r="AX53" s="87">
        <v>42574.0</v>
      </c>
      <c r="AY53" s="79">
        <v>0.225</v>
      </c>
      <c r="AZ53" s="51" t="s">
        <v>107</v>
      </c>
      <c r="BA53" s="51" t="s">
        <v>61</v>
      </c>
      <c r="BB53" s="51" t="s">
        <v>107</v>
      </c>
      <c r="BC53" s="82"/>
      <c r="BD53" s="52" t="s">
        <v>153</v>
      </c>
      <c r="BE53" s="51" t="s">
        <v>107</v>
      </c>
      <c r="BF53" s="28"/>
      <c r="BG53" s="28"/>
      <c r="BH53" s="28"/>
      <c r="BI53" s="28"/>
      <c r="BJ53" s="28"/>
      <c r="BK53" s="28"/>
    </row>
    <row r="54" ht="13.5" customHeight="1">
      <c r="A54" s="76">
        <v>53.0</v>
      </c>
      <c r="B54" s="77">
        <v>46226.46690342593</v>
      </c>
      <c r="C54" s="79" t="s">
        <v>292</v>
      </c>
      <c r="D54" s="82"/>
      <c r="E54" s="79" t="s">
        <v>406</v>
      </c>
      <c r="F54" s="79" t="s">
        <v>407</v>
      </c>
      <c r="G54" s="79" t="s">
        <v>408</v>
      </c>
      <c r="H54" s="79">
        <v>145.0</v>
      </c>
      <c r="I54" s="141" t="s">
        <v>409</v>
      </c>
      <c r="J54" s="51" t="s">
        <v>61</v>
      </c>
      <c r="K54" s="52" t="s">
        <v>105</v>
      </c>
      <c r="L54" s="51" t="s">
        <v>106</v>
      </c>
      <c r="M54" s="79">
        <v>3.5</v>
      </c>
      <c r="N54" s="51" t="s">
        <v>107</v>
      </c>
      <c r="O54" s="58" t="s">
        <v>111</v>
      </c>
      <c r="P54" s="58" t="s">
        <v>111</v>
      </c>
      <c r="Q54" s="118">
        <v>0.0</v>
      </c>
      <c r="R54" s="118" t="s">
        <v>111</v>
      </c>
      <c r="S54" s="58" t="s">
        <v>111</v>
      </c>
      <c r="T54" s="79" t="s">
        <v>297</v>
      </c>
      <c r="U54" s="82"/>
      <c r="V54" s="82"/>
      <c r="W54" s="82"/>
      <c r="X54" s="82"/>
      <c r="Y54" s="82"/>
      <c r="Z54" s="58" t="s">
        <v>111</v>
      </c>
      <c r="AA54" s="58" t="s">
        <v>111</v>
      </c>
      <c r="AB54" s="118">
        <v>0.0</v>
      </c>
      <c r="AC54" s="118" t="s">
        <v>111</v>
      </c>
      <c r="AD54" s="58" t="s">
        <v>111</v>
      </c>
      <c r="AE54" s="79" t="s">
        <v>297</v>
      </c>
      <c r="AF54" s="82"/>
      <c r="AG54" s="82"/>
      <c r="AH54" s="82"/>
      <c r="AI54" s="82"/>
      <c r="AJ54" s="82"/>
      <c r="AK54" s="54" t="s">
        <v>108</v>
      </c>
      <c r="AL54" s="51" t="s">
        <v>120</v>
      </c>
      <c r="AM54" s="79">
        <v>0.5</v>
      </c>
      <c r="AN54" s="87">
        <v>42574.0</v>
      </c>
      <c r="AO54" s="51" t="s">
        <v>107</v>
      </c>
      <c r="AP54" s="82"/>
      <c r="AQ54" s="61" t="s">
        <v>114</v>
      </c>
      <c r="AR54" s="79">
        <v>0.5</v>
      </c>
      <c r="AS54" s="87">
        <v>42574.0</v>
      </c>
      <c r="AT54" s="51" t="s">
        <v>107</v>
      </c>
      <c r="AU54" s="82"/>
      <c r="AV54" s="51" t="s">
        <v>61</v>
      </c>
      <c r="AW54" s="70" t="s">
        <v>127</v>
      </c>
      <c r="AX54" s="87">
        <v>42574.0</v>
      </c>
      <c r="AY54" s="79">
        <v>0.225</v>
      </c>
      <c r="AZ54" s="82"/>
      <c r="BA54" s="51" t="s">
        <v>61</v>
      </c>
      <c r="BB54" s="63" t="s">
        <v>116</v>
      </c>
      <c r="BC54" s="82"/>
      <c r="BD54" s="52" t="s">
        <v>153</v>
      </c>
      <c r="BE54" s="63" t="s">
        <v>116</v>
      </c>
      <c r="BF54" s="28"/>
      <c r="BG54" s="28"/>
      <c r="BH54" s="28"/>
      <c r="BI54" s="28"/>
      <c r="BJ54" s="28"/>
      <c r="BK54" s="28"/>
    </row>
    <row r="55" ht="13.5" customHeight="1">
      <c r="A55" s="76">
        <v>54.0</v>
      </c>
      <c r="B55" s="77">
        <v>46226.469733252314</v>
      </c>
      <c r="C55" s="79" t="s">
        <v>292</v>
      </c>
      <c r="D55" s="82"/>
      <c r="E55" s="79" t="s">
        <v>406</v>
      </c>
      <c r="F55" s="79" t="s">
        <v>410</v>
      </c>
      <c r="G55" s="79" t="s">
        <v>408</v>
      </c>
      <c r="H55" s="79">
        <v>145.0</v>
      </c>
      <c r="I55" s="141" t="s">
        <v>411</v>
      </c>
      <c r="J55" s="63" t="s">
        <v>74</v>
      </c>
      <c r="K55" s="51" t="s">
        <v>121</v>
      </c>
      <c r="L55" s="51" t="s">
        <v>106</v>
      </c>
      <c r="M55" s="79">
        <v>2.7</v>
      </c>
      <c r="N55" s="51" t="s">
        <v>107</v>
      </c>
      <c r="O55" s="58" t="s">
        <v>111</v>
      </c>
      <c r="P55" s="58" t="s">
        <v>111</v>
      </c>
      <c r="Q55" s="118">
        <v>0.0</v>
      </c>
      <c r="R55" s="118" t="s">
        <v>111</v>
      </c>
      <c r="S55" s="58" t="s">
        <v>111</v>
      </c>
      <c r="T55" s="79" t="s">
        <v>297</v>
      </c>
      <c r="U55" s="82"/>
      <c r="V55" s="82"/>
      <c r="W55" s="82"/>
      <c r="X55" s="82"/>
      <c r="Y55" s="82"/>
      <c r="Z55" s="58" t="s">
        <v>111</v>
      </c>
      <c r="AA55" s="58" t="s">
        <v>111</v>
      </c>
      <c r="AB55" s="118">
        <v>0.0</v>
      </c>
      <c r="AC55" s="118" t="s">
        <v>111</v>
      </c>
      <c r="AD55" s="58" t="s">
        <v>111</v>
      </c>
      <c r="AE55" s="79" t="s">
        <v>297</v>
      </c>
      <c r="AF55" s="82"/>
      <c r="AG55" s="82"/>
      <c r="AH55" s="82"/>
      <c r="AI55" s="82"/>
      <c r="AJ55" s="82"/>
      <c r="AK55" s="54" t="s">
        <v>108</v>
      </c>
      <c r="AL55" s="51" t="s">
        <v>120</v>
      </c>
      <c r="AM55" s="79">
        <v>0.45</v>
      </c>
      <c r="AN55" s="87">
        <v>42574.0</v>
      </c>
      <c r="AO55" s="75" t="s">
        <v>129</v>
      </c>
      <c r="AP55" s="79" t="s">
        <v>412</v>
      </c>
      <c r="AQ55" s="61" t="s">
        <v>114</v>
      </c>
      <c r="AR55" s="79">
        <v>0.45</v>
      </c>
      <c r="AS55" s="87">
        <v>42574.0</v>
      </c>
      <c r="AT55" s="124" t="s">
        <v>152</v>
      </c>
      <c r="AU55" s="79" t="s">
        <v>413</v>
      </c>
      <c r="AV55" s="51" t="s">
        <v>61</v>
      </c>
      <c r="AW55" s="70" t="s">
        <v>127</v>
      </c>
      <c r="AX55" s="87">
        <v>42574.0</v>
      </c>
      <c r="AY55" s="79">
        <v>0.225</v>
      </c>
      <c r="AZ55" s="63" t="s">
        <v>116</v>
      </c>
      <c r="BA55" s="51" t="s">
        <v>61</v>
      </c>
      <c r="BB55" s="63" t="s">
        <v>116</v>
      </c>
      <c r="BC55" s="82"/>
      <c r="BD55" s="52" t="s">
        <v>153</v>
      </c>
      <c r="BE55" s="63" t="s">
        <v>116</v>
      </c>
      <c r="BF55" s="28"/>
      <c r="BG55" s="28"/>
      <c r="BH55" s="28"/>
      <c r="BI55" s="28"/>
      <c r="BJ55" s="28"/>
      <c r="BK55" s="28"/>
    </row>
    <row r="56" ht="13.5" customHeight="1">
      <c r="A56" s="45">
        <v>55.0</v>
      </c>
      <c r="B56" s="77">
        <v>46226.47435056713</v>
      </c>
      <c r="C56" s="79" t="s">
        <v>292</v>
      </c>
      <c r="D56" s="82"/>
      <c r="E56" s="79" t="s">
        <v>414</v>
      </c>
      <c r="F56" s="79" t="s">
        <v>415</v>
      </c>
      <c r="G56" s="79" t="s">
        <v>416</v>
      </c>
      <c r="H56" s="79">
        <v>158.0</v>
      </c>
      <c r="I56" s="141" t="s">
        <v>417</v>
      </c>
      <c r="J56" s="51" t="s">
        <v>61</v>
      </c>
      <c r="K56" s="148" t="s">
        <v>110</v>
      </c>
      <c r="L56" s="51" t="s">
        <v>106</v>
      </c>
      <c r="M56" s="79">
        <v>9.2</v>
      </c>
      <c r="N56" s="51" t="s">
        <v>107</v>
      </c>
      <c r="O56" s="54" t="s">
        <v>108</v>
      </c>
      <c r="P56" s="62" t="s">
        <v>115</v>
      </c>
      <c r="Q56" s="79">
        <v>2.0</v>
      </c>
      <c r="R56" s="87">
        <v>44035.0</v>
      </c>
      <c r="S56" s="51" t="s">
        <v>107</v>
      </c>
      <c r="T56" s="79" t="s">
        <v>166</v>
      </c>
      <c r="U56" s="82"/>
      <c r="V56" s="82"/>
      <c r="W56" s="82"/>
      <c r="X56" s="82"/>
      <c r="Y56" s="82"/>
      <c r="Z56" s="61" t="s">
        <v>114</v>
      </c>
      <c r="AA56" s="62" t="s">
        <v>115</v>
      </c>
      <c r="AB56" s="79">
        <v>2.9</v>
      </c>
      <c r="AC56" s="87">
        <v>44035.0</v>
      </c>
      <c r="AD56" s="51" t="s">
        <v>107</v>
      </c>
      <c r="AE56" s="82"/>
      <c r="AF56" s="82"/>
      <c r="AG56" s="82"/>
      <c r="AH56" s="82"/>
      <c r="AI56" s="82"/>
      <c r="AJ56" s="82"/>
      <c r="AK56" s="54" t="s">
        <v>108</v>
      </c>
      <c r="AL56" s="82"/>
      <c r="AM56" s="82"/>
      <c r="AN56" s="82"/>
      <c r="AO56" s="51" t="s">
        <v>107</v>
      </c>
      <c r="AP56" s="79" t="s">
        <v>358</v>
      </c>
      <c r="AQ56" s="82"/>
      <c r="AR56" s="82"/>
      <c r="AS56" s="82"/>
      <c r="AT56" s="82"/>
      <c r="AU56" s="79" t="s">
        <v>358</v>
      </c>
      <c r="AV56" s="51" t="s">
        <v>61</v>
      </c>
      <c r="AW56" s="51" t="s">
        <v>106</v>
      </c>
      <c r="AX56" s="87">
        <v>42574.0</v>
      </c>
      <c r="AY56" s="79">
        <v>0.225</v>
      </c>
      <c r="AZ56" s="51" t="s">
        <v>107</v>
      </c>
      <c r="BA56" s="51" t="s">
        <v>61</v>
      </c>
      <c r="BB56" s="63" t="s">
        <v>116</v>
      </c>
      <c r="BC56" s="82"/>
      <c r="BD56" s="52" t="s">
        <v>153</v>
      </c>
      <c r="BE56" s="51" t="s">
        <v>107</v>
      </c>
      <c r="BF56" s="28"/>
      <c r="BG56" s="28"/>
      <c r="BH56" s="28"/>
      <c r="BI56" s="28"/>
      <c r="BJ56" s="28"/>
      <c r="BK56" s="28"/>
    </row>
    <row r="57" ht="13.5" customHeight="1">
      <c r="A57" s="76">
        <v>56.0</v>
      </c>
      <c r="B57" s="77">
        <v>46226.47741074074</v>
      </c>
      <c r="C57" s="79" t="s">
        <v>292</v>
      </c>
      <c r="D57" s="82"/>
      <c r="E57" s="79" t="s">
        <v>418</v>
      </c>
      <c r="F57" s="79" t="s">
        <v>418</v>
      </c>
      <c r="G57" s="79" t="s">
        <v>196</v>
      </c>
      <c r="H57" s="79">
        <v>144.0</v>
      </c>
      <c r="I57" s="141" t="s">
        <v>419</v>
      </c>
      <c r="J57" s="63" t="s">
        <v>74</v>
      </c>
      <c r="K57" s="52" t="s">
        <v>105</v>
      </c>
      <c r="L57" s="51" t="s">
        <v>106</v>
      </c>
      <c r="M57" s="79">
        <v>3.6</v>
      </c>
      <c r="N57" s="51" t="s">
        <v>107</v>
      </c>
      <c r="O57" s="54" t="s">
        <v>108</v>
      </c>
      <c r="P57" s="62" t="s">
        <v>115</v>
      </c>
      <c r="Q57" s="79">
        <v>1.0</v>
      </c>
      <c r="R57" s="87">
        <v>42574.0</v>
      </c>
      <c r="S57" s="51" t="s">
        <v>107</v>
      </c>
      <c r="T57" s="79" t="s">
        <v>166</v>
      </c>
      <c r="U57" s="82"/>
      <c r="V57" s="82"/>
      <c r="W57" s="82"/>
      <c r="X57" s="82"/>
      <c r="Y57" s="82"/>
      <c r="Z57" s="61" t="s">
        <v>114</v>
      </c>
      <c r="AA57" s="62" t="s">
        <v>115</v>
      </c>
      <c r="AB57" s="79">
        <v>1.0</v>
      </c>
      <c r="AC57" s="87">
        <v>42574.0</v>
      </c>
      <c r="AD57" s="51" t="s">
        <v>107</v>
      </c>
      <c r="AE57" s="82"/>
      <c r="AF57" s="82"/>
      <c r="AG57" s="82"/>
      <c r="AH57" s="82"/>
      <c r="AI57" s="82"/>
      <c r="AJ57" s="82"/>
      <c r="AK57" s="54" t="s">
        <v>108</v>
      </c>
      <c r="AL57" s="51" t="s">
        <v>120</v>
      </c>
      <c r="AM57" s="79">
        <v>0.5</v>
      </c>
      <c r="AN57" s="87">
        <v>42574.0</v>
      </c>
      <c r="AO57" s="51" t="s">
        <v>107</v>
      </c>
      <c r="AP57" s="82"/>
      <c r="AQ57" s="61" t="s">
        <v>114</v>
      </c>
      <c r="AR57" s="79">
        <v>0.5</v>
      </c>
      <c r="AS57" s="87">
        <v>42574.0</v>
      </c>
      <c r="AT57" s="51" t="s">
        <v>107</v>
      </c>
      <c r="AU57" s="82"/>
      <c r="AV57" s="51" t="s">
        <v>61</v>
      </c>
      <c r="AW57" s="75" t="s">
        <v>212</v>
      </c>
      <c r="AX57" s="87">
        <v>44035.0</v>
      </c>
      <c r="AY57" s="79" t="s">
        <v>329</v>
      </c>
      <c r="AZ57" s="51" t="s">
        <v>107</v>
      </c>
      <c r="BA57" s="51" t="s">
        <v>61</v>
      </c>
      <c r="BB57" s="63" t="s">
        <v>116</v>
      </c>
      <c r="BC57" s="82"/>
      <c r="BD57" s="52" t="s">
        <v>153</v>
      </c>
      <c r="BE57" s="51" t="s">
        <v>107</v>
      </c>
      <c r="BF57" s="28"/>
      <c r="BG57" s="28"/>
      <c r="BH57" s="28"/>
      <c r="BI57" s="28"/>
      <c r="BJ57" s="28"/>
      <c r="BK57" s="28"/>
    </row>
    <row r="58" ht="13.5" customHeight="1">
      <c r="A58" s="76">
        <v>57.0</v>
      </c>
      <c r="B58" s="77">
        <v>46226.483131932866</v>
      </c>
      <c r="C58" s="79" t="s">
        <v>292</v>
      </c>
      <c r="D58" s="82"/>
      <c r="E58" s="79" t="s">
        <v>420</v>
      </c>
      <c r="F58" s="79" t="s">
        <v>285</v>
      </c>
      <c r="G58" s="79" t="s">
        <v>420</v>
      </c>
      <c r="H58" s="79">
        <v>44.0</v>
      </c>
      <c r="I58" s="141" t="s">
        <v>421</v>
      </c>
      <c r="J58" s="51" t="s">
        <v>61</v>
      </c>
      <c r="K58" s="52" t="s">
        <v>105</v>
      </c>
      <c r="L58" s="51" t="s">
        <v>106</v>
      </c>
      <c r="M58" s="79">
        <v>3.6</v>
      </c>
      <c r="N58" s="51" t="s">
        <v>107</v>
      </c>
      <c r="O58" s="58" t="s">
        <v>111</v>
      </c>
      <c r="P58" s="58" t="s">
        <v>111</v>
      </c>
      <c r="Q58" s="118">
        <v>0.0</v>
      </c>
      <c r="R58" s="118" t="s">
        <v>111</v>
      </c>
      <c r="S58" s="58" t="s">
        <v>111</v>
      </c>
      <c r="T58" s="79" t="s">
        <v>297</v>
      </c>
      <c r="U58" s="82"/>
      <c r="V58" s="82"/>
      <c r="W58" s="82"/>
      <c r="X58" s="82"/>
      <c r="Y58" s="82"/>
      <c r="Z58" s="58" t="s">
        <v>111</v>
      </c>
      <c r="AA58" s="58" t="s">
        <v>111</v>
      </c>
      <c r="AB58" s="118">
        <v>0.0</v>
      </c>
      <c r="AC58" s="118" t="s">
        <v>111</v>
      </c>
      <c r="AD58" s="58" t="s">
        <v>111</v>
      </c>
      <c r="AE58" s="79" t="s">
        <v>297</v>
      </c>
      <c r="AF58" s="82"/>
      <c r="AG58" s="82"/>
      <c r="AH58" s="82"/>
      <c r="AI58" s="82"/>
      <c r="AJ58" s="82"/>
      <c r="AK58" s="54" t="s">
        <v>108</v>
      </c>
      <c r="AL58" s="51" t="s">
        <v>120</v>
      </c>
      <c r="AM58" s="79">
        <v>0.5</v>
      </c>
      <c r="AN58" s="87">
        <v>42574.0</v>
      </c>
      <c r="AO58" s="51" t="s">
        <v>107</v>
      </c>
      <c r="AP58" s="82"/>
      <c r="AQ58" s="61" t="s">
        <v>114</v>
      </c>
      <c r="AR58" s="79">
        <v>0.5</v>
      </c>
      <c r="AS58" s="87">
        <v>42574.0</v>
      </c>
      <c r="AT58" s="51" t="s">
        <v>107</v>
      </c>
      <c r="AU58" s="82"/>
      <c r="AV58" s="51" t="s">
        <v>61</v>
      </c>
      <c r="AW58" s="70" t="s">
        <v>127</v>
      </c>
      <c r="AX58" s="87">
        <v>42574.0</v>
      </c>
      <c r="AY58" s="79">
        <v>0.225</v>
      </c>
      <c r="AZ58" s="51" t="s">
        <v>107</v>
      </c>
      <c r="BA58" s="51" t="s">
        <v>61</v>
      </c>
      <c r="BB58" s="63" t="s">
        <v>116</v>
      </c>
      <c r="BC58" s="82"/>
      <c r="BD58" s="52" t="s">
        <v>153</v>
      </c>
      <c r="BE58" s="51" t="s">
        <v>107</v>
      </c>
      <c r="BF58" s="28"/>
      <c r="BG58" s="28"/>
      <c r="BH58" s="28"/>
      <c r="BI58" s="28"/>
      <c r="BJ58" s="28"/>
      <c r="BK58" s="28"/>
    </row>
    <row r="59" ht="13.5" customHeight="1">
      <c r="A59" s="45">
        <v>58.0</v>
      </c>
      <c r="B59" s="77">
        <v>46226.486198715276</v>
      </c>
      <c r="C59" s="79" t="s">
        <v>292</v>
      </c>
      <c r="D59" s="82"/>
      <c r="E59" s="79" t="s">
        <v>422</v>
      </c>
      <c r="F59" s="79" t="s">
        <v>423</v>
      </c>
      <c r="G59" s="79" t="s">
        <v>424</v>
      </c>
      <c r="H59" s="79">
        <v>136.0</v>
      </c>
      <c r="I59" s="141" t="s">
        <v>425</v>
      </c>
      <c r="J59" s="63" t="s">
        <v>74</v>
      </c>
      <c r="K59" s="51" t="s">
        <v>121</v>
      </c>
      <c r="L59" s="51" t="s">
        <v>106</v>
      </c>
      <c r="M59" s="79">
        <v>2.0</v>
      </c>
      <c r="N59" s="51" t="s">
        <v>107</v>
      </c>
      <c r="O59" s="58" t="s">
        <v>111</v>
      </c>
      <c r="P59" s="58" t="s">
        <v>111</v>
      </c>
      <c r="Q59" s="118">
        <v>0.0</v>
      </c>
      <c r="R59" s="118" t="s">
        <v>111</v>
      </c>
      <c r="S59" s="58" t="s">
        <v>111</v>
      </c>
      <c r="T59" s="79" t="s">
        <v>297</v>
      </c>
      <c r="U59" s="82"/>
      <c r="V59" s="82"/>
      <c r="W59" s="82"/>
      <c r="X59" s="82"/>
      <c r="Y59" s="82"/>
      <c r="Z59" s="58" t="s">
        <v>111</v>
      </c>
      <c r="AA59" s="58" t="s">
        <v>111</v>
      </c>
      <c r="AB59" s="118">
        <v>0.0</v>
      </c>
      <c r="AC59" s="118" t="s">
        <v>111</v>
      </c>
      <c r="AD59" s="58" t="s">
        <v>111</v>
      </c>
      <c r="AE59" s="79" t="s">
        <v>297</v>
      </c>
      <c r="AF59" s="82"/>
      <c r="AG59" s="82"/>
      <c r="AH59" s="82"/>
      <c r="AI59" s="82"/>
      <c r="AJ59" s="82"/>
      <c r="AK59" s="54" t="s">
        <v>108</v>
      </c>
      <c r="AL59" s="51" t="s">
        <v>120</v>
      </c>
      <c r="AM59" s="79">
        <v>0.5</v>
      </c>
      <c r="AN59" s="87">
        <v>42574.0</v>
      </c>
      <c r="AO59" s="51" t="s">
        <v>107</v>
      </c>
      <c r="AP59" s="82"/>
      <c r="AQ59" s="142" t="s">
        <v>174</v>
      </c>
      <c r="AR59" s="79">
        <v>0.5</v>
      </c>
      <c r="AS59" s="87">
        <v>42574.0</v>
      </c>
      <c r="AT59" s="51" t="s">
        <v>107</v>
      </c>
      <c r="AU59" s="82"/>
      <c r="AV59" s="51" t="s">
        <v>61</v>
      </c>
      <c r="AW59" s="70" t="s">
        <v>127</v>
      </c>
      <c r="AX59" s="87">
        <v>42574.0</v>
      </c>
      <c r="AY59" s="79">
        <v>0.225</v>
      </c>
      <c r="AZ59" s="51" t="s">
        <v>107</v>
      </c>
      <c r="BA59" s="51" t="s">
        <v>61</v>
      </c>
      <c r="BB59" s="51" t="s">
        <v>107</v>
      </c>
      <c r="BC59" s="82"/>
      <c r="BD59" s="52" t="s">
        <v>153</v>
      </c>
      <c r="BE59" s="51" t="s">
        <v>107</v>
      </c>
      <c r="BF59" s="28"/>
      <c r="BG59" s="28"/>
      <c r="BH59" s="28"/>
      <c r="BI59" s="28"/>
      <c r="BJ59" s="28"/>
      <c r="BK59" s="28"/>
    </row>
    <row r="60" ht="13.5" customHeight="1">
      <c r="A60" s="76">
        <v>59.0</v>
      </c>
      <c r="B60" s="77">
        <v>46226.49127701389</v>
      </c>
      <c r="C60" s="79" t="s">
        <v>292</v>
      </c>
      <c r="D60" s="82"/>
      <c r="E60" s="79" t="s">
        <v>401</v>
      </c>
      <c r="F60" s="79" t="s">
        <v>276</v>
      </c>
      <c r="G60" s="79" t="s">
        <v>196</v>
      </c>
      <c r="H60" s="149" t="s">
        <v>103</v>
      </c>
      <c r="I60" s="141" t="s">
        <v>426</v>
      </c>
      <c r="J60" s="51" t="s">
        <v>61</v>
      </c>
      <c r="K60" s="54" t="s">
        <v>93</v>
      </c>
      <c r="L60" s="51" t="s">
        <v>106</v>
      </c>
      <c r="M60" s="79">
        <v>3.2</v>
      </c>
      <c r="N60" s="124" t="s">
        <v>152</v>
      </c>
      <c r="O60" s="92" t="s">
        <v>149</v>
      </c>
      <c r="P60" s="62" t="s">
        <v>115</v>
      </c>
      <c r="Q60" s="79">
        <v>1.0</v>
      </c>
      <c r="R60" s="87">
        <v>44035.0</v>
      </c>
      <c r="S60" s="63" t="s">
        <v>116</v>
      </c>
      <c r="T60" s="79" t="s">
        <v>427</v>
      </c>
      <c r="U60" s="82"/>
      <c r="V60" s="82"/>
      <c r="W60" s="82"/>
      <c r="X60" s="82"/>
      <c r="Y60" s="82"/>
      <c r="Z60" s="142" t="s">
        <v>174</v>
      </c>
      <c r="AA60" s="82"/>
      <c r="AB60" s="82"/>
      <c r="AC60" s="82"/>
      <c r="AD60" s="82"/>
      <c r="AE60" s="79" t="s">
        <v>428</v>
      </c>
      <c r="AF60" s="82"/>
      <c r="AG60" s="82"/>
      <c r="AH60" s="82"/>
      <c r="AI60" s="82"/>
      <c r="AJ60" s="82"/>
      <c r="AK60" s="92" t="s">
        <v>149</v>
      </c>
      <c r="AL60" s="51" t="s">
        <v>120</v>
      </c>
      <c r="AM60" s="79">
        <v>0.6</v>
      </c>
      <c r="AN60" s="87">
        <v>42574.0</v>
      </c>
      <c r="AO60" s="63" t="s">
        <v>116</v>
      </c>
      <c r="AP60" s="79" t="s">
        <v>429</v>
      </c>
      <c r="AQ60" s="142" t="s">
        <v>174</v>
      </c>
      <c r="AR60" s="82"/>
      <c r="AS60" s="82"/>
      <c r="AT60" s="82"/>
      <c r="AU60" s="79" t="s">
        <v>430</v>
      </c>
      <c r="AV60" s="51" t="s">
        <v>61</v>
      </c>
      <c r="AW60" s="70" t="s">
        <v>127</v>
      </c>
      <c r="AX60" s="87">
        <v>42574.0</v>
      </c>
      <c r="AY60" s="79">
        <v>0.225</v>
      </c>
      <c r="AZ60" s="51" t="s">
        <v>107</v>
      </c>
      <c r="BA60" s="51" t="s">
        <v>61</v>
      </c>
      <c r="BB60" s="63" t="s">
        <v>116</v>
      </c>
      <c r="BC60" s="82"/>
      <c r="BD60" s="52" t="s">
        <v>153</v>
      </c>
      <c r="BE60" s="51" t="s">
        <v>107</v>
      </c>
      <c r="BF60" s="28"/>
      <c r="BG60" s="28"/>
      <c r="BH60" s="28"/>
      <c r="BI60" s="28"/>
      <c r="BJ60" s="28"/>
      <c r="BK60" s="28"/>
    </row>
    <row r="61" ht="13.5" customHeight="1">
      <c r="A61" s="76">
        <v>60.0</v>
      </c>
      <c r="B61" s="77">
        <v>46226.51268782407</v>
      </c>
      <c r="C61" s="79" t="s">
        <v>292</v>
      </c>
      <c r="D61" s="82"/>
      <c r="E61" s="79" t="s">
        <v>431</v>
      </c>
      <c r="F61" s="79" t="s">
        <v>294</v>
      </c>
      <c r="G61" s="79" t="s">
        <v>431</v>
      </c>
      <c r="H61" s="79">
        <v>103.0</v>
      </c>
      <c r="I61" s="141" t="s">
        <v>432</v>
      </c>
      <c r="J61" s="51" t="s">
        <v>61</v>
      </c>
      <c r="K61" s="52" t="s">
        <v>105</v>
      </c>
      <c r="L61" s="51" t="s">
        <v>106</v>
      </c>
      <c r="M61" s="79">
        <v>4.6</v>
      </c>
      <c r="N61" s="51" t="s">
        <v>107</v>
      </c>
      <c r="O61" s="58" t="s">
        <v>111</v>
      </c>
      <c r="P61" s="58" t="s">
        <v>111</v>
      </c>
      <c r="Q61" s="118">
        <v>0.0</v>
      </c>
      <c r="R61" s="118" t="s">
        <v>111</v>
      </c>
      <c r="S61" s="58" t="s">
        <v>111</v>
      </c>
      <c r="T61" s="79" t="s">
        <v>297</v>
      </c>
      <c r="U61" s="82"/>
      <c r="V61" s="82"/>
      <c r="W61" s="82"/>
      <c r="X61" s="82"/>
      <c r="Y61" s="82"/>
      <c r="Z61" s="58" t="s">
        <v>111</v>
      </c>
      <c r="AA61" s="58" t="s">
        <v>111</v>
      </c>
      <c r="AB61" s="118">
        <v>0.0</v>
      </c>
      <c r="AC61" s="118" t="s">
        <v>111</v>
      </c>
      <c r="AD61" s="58" t="s">
        <v>111</v>
      </c>
      <c r="AE61" s="79" t="s">
        <v>297</v>
      </c>
      <c r="AF61" s="82"/>
      <c r="AG61" s="82"/>
      <c r="AH61" s="82"/>
      <c r="AI61" s="82"/>
      <c r="AJ61" s="82"/>
      <c r="AK61" s="54" t="s">
        <v>108</v>
      </c>
      <c r="AL61" s="51" t="s">
        <v>120</v>
      </c>
      <c r="AM61" s="79" t="s">
        <v>433</v>
      </c>
      <c r="AN61" s="87">
        <v>46226.0</v>
      </c>
      <c r="AO61" s="63" t="s">
        <v>116</v>
      </c>
      <c r="AP61" s="82"/>
      <c r="AQ61" s="61" t="s">
        <v>114</v>
      </c>
      <c r="AR61" s="79" t="s">
        <v>329</v>
      </c>
      <c r="AS61" s="87">
        <v>43304.0</v>
      </c>
      <c r="AT61" s="63" t="s">
        <v>116</v>
      </c>
      <c r="AU61" s="82"/>
      <c r="AV61" s="51" t="s">
        <v>61</v>
      </c>
      <c r="AW61" s="70" t="s">
        <v>127</v>
      </c>
      <c r="AX61" s="87">
        <v>42574.0</v>
      </c>
      <c r="AY61" s="79">
        <v>0.225</v>
      </c>
      <c r="AZ61" s="51" t="s">
        <v>107</v>
      </c>
      <c r="BA61" s="51" t="s">
        <v>61</v>
      </c>
      <c r="BB61" s="63" t="s">
        <v>116</v>
      </c>
      <c r="BC61" s="82"/>
      <c r="BD61" s="52" t="s">
        <v>153</v>
      </c>
      <c r="BE61" s="51" t="s">
        <v>107</v>
      </c>
      <c r="BF61" s="28"/>
      <c r="BG61" s="28"/>
      <c r="BH61" s="28"/>
      <c r="BI61" s="28"/>
      <c r="BJ61" s="28"/>
      <c r="BK61" s="28"/>
    </row>
    <row r="62" ht="13.5" customHeight="1">
      <c r="A62" s="45">
        <v>61.0</v>
      </c>
      <c r="B62" s="77">
        <v>46226.51996409722</v>
      </c>
      <c r="C62" s="79" t="s">
        <v>292</v>
      </c>
      <c r="D62" s="82"/>
      <c r="E62" s="79" t="s">
        <v>434</v>
      </c>
      <c r="F62" s="79" t="s">
        <v>285</v>
      </c>
      <c r="G62" s="79" t="s">
        <v>435</v>
      </c>
      <c r="H62" s="79">
        <v>50.0</v>
      </c>
      <c r="I62" s="141" t="s">
        <v>436</v>
      </c>
      <c r="J62" s="63" t="s">
        <v>74</v>
      </c>
      <c r="K62" s="51" t="s">
        <v>121</v>
      </c>
      <c r="L62" s="51" t="s">
        <v>106</v>
      </c>
      <c r="M62" s="79">
        <v>3.9</v>
      </c>
      <c r="N62" s="63" t="s">
        <v>116</v>
      </c>
      <c r="O62" s="54" t="s">
        <v>108</v>
      </c>
      <c r="P62" s="62" t="s">
        <v>115</v>
      </c>
      <c r="Q62" s="82"/>
      <c r="R62" s="82"/>
      <c r="S62" s="124" t="s">
        <v>152</v>
      </c>
      <c r="T62" s="79" t="s">
        <v>437</v>
      </c>
      <c r="U62" s="82"/>
      <c r="V62" s="82"/>
      <c r="W62" s="82"/>
      <c r="X62" s="82"/>
      <c r="Y62" s="82"/>
      <c r="Z62" s="61" t="s">
        <v>114</v>
      </c>
      <c r="AA62" s="82"/>
      <c r="AB62" s="82"/>
      <c r="AC62" s="82"/>
      <c r="AD62" s="82"/>
      <c r="AE62" s="79" t="s">
        <v>437</v>
      </c>
      <c r="AF62" s="82"/>
      <c r="AG62" s="82"/>
      <c r="AH62" s="82"/>
      <c r="AI62" s="82"/>
      <c r="AJ62" s="82"/>
      <c r="AK62" s="54" t="s">
        <v>108</v>
      </c>
      <c r="AL62" s="51" t="s">
        <v>120</v>
      </c>
      <c r="AM62" s="79">
        <v>0.45</v>
      </c>
      <c r="AN62" s="87">
        <v>42574.0</v>
      </c>
      <c r="AO62" s="63" t="s">
        <v>116</v>
      </c>
      <c r="AP62" s="82"/>
      <c r="AQ62" s="61" t="s">
        <v>114</v>
      </c>
      <c r="AR62" s="79">
        <v>2.5</v>
      </c>
      <c r="AS62" s="87">
        <v>42574.0</v>
      </c>
      <c r="AT62" s="63" t="s">
        <v>116</v>
      </c>
      <c r="AU62" s="82"/>
      <c r="AV62" s="145" t="s">
        <v>74</v>
      </c>
      <c r="AW62" s="82"/>
      <c r="AX62" s="82"/>
      <c r="AY62" s="82"/>
      <c r="AZ62" s="82"/>
      <c r="BA62" s="145" t="s">
        <v>74</v>
      </c>
      <c r="BB62" s="82"/>
      <c r="BC62" s="82"/>
      <c r="BD62" s="52" t="s">
        <v>153</v>
      </c>
      <c r="BE62" s="63" t="s">
        <v>116</v>
      </c>
      <c r="BF62" s="28"/>
      <c r="BG62" s="28"/>
      <c r="BH62" s="28"/>
      <c r="BI62" s="28"/>
      <c r="BJ62" s="28"/>
      <c r="BK62" s="28"/>
    </row>
    <row r="63" ht="13.5" customHeight="1">
      <c r="A63" s="76">
        <v>62.0</v>
      </c>
      <c r="B63" s="77">
        <v>46226.52230319445</v>
      </c>
      <c r="C63" s="79" t="s">
        <v>292</v>
      </c>
      <c r="D63" s="82"/>
      <c r="E63" s="79" t="s">
        <v>434</v>
      </c>
      <c r="F63" s="79" t="s">
        <v>294</v>
      </c>
      <c r="G63" s="79" t="s">
        <v>431</v>
      </c>
      <c r="H63" s="79">
        <v>50.0</v>
      </c>
      <c r="I63" s="141" t="s">
        <v>438</v>
      </c>
      <c r="J63" s="51" t="s">
        <v>61</v>
      </c>
      <c r="K63" s="52" t="s">
        <v>105</v>
      </c>
      <c r="L63" s="51" t="s">
        <v>106</v>
      </c>
      <c r="M63" s="79">
        <v>5.2</v>
      </c>
      <c r="N63" s="51" t="s">
        <v>107</v>
      </c>
      <c r="O63" s="58" t="s">
        <v>111</v>
      </c>
      <c r="P63" s="58" t="s">
        <v>111</v>
      </c>
      <c r="Q63" s="118">
        <v>0.0</v>
      </c>
      <c r="R63" s="118" t="s">
        <v>111</v>
      </c>
      <c r="S63" s="58" t="s">
        <v>111</v>
      </c>
      <c r="T63" s="79" t="s">
        <v>297</v>
      </c>
      <c r="U63" s="82"/>
      <c r="V63" s="82"/>
      <c r="W63" s="82"/>
      <c r="X63" s="82"/>
      <c r="Y63" s="82"/>
      <c r="Z63" s="58" t="s">
        <v>111</v>
      </c>
      <c r="AA63" s="58" t="s">
        <v>111</v>
      </c>
      <c r="AB63" s="118">
        <v>0.0</v>
      </c>
      <c r="AC63" s="118" t="s">
        <v>111</v>
      </c>
      <c r="AD63" s="58" t="s">
        <v>111</v>
      </c>
      <c r="AE63" s="79" t="s">
        <v>306</v>
      </c>
      <c r="AF63" s="82"/>
      <c r="AG63" s="82"/>
      <c r="AH63" s="82"/>
      <c r="AI63" s="82"/>
      <c r="AJ63" s="82"/>
      <c r="AK63" s="54" t="s">
        <v>108</v>
      </c>
      <c r="AL63" s="82"/>
      <c r="AM63" s="82"/>
      <c r="AN63" s="82"/>
      <c r="AO63" s="82"/>
      <c r="AP63" s="79" t="s">
        <v>358</v>
      </c>
      <c r="AQ63" s="61" t="s">
        <v>114</v>
      </c>
      <c r="AR63" s="82"/>
      <c r="AS63" s="82"/>
      <c r="AT63" s="82"/>
      <c r="AU63" s="79" t="s">
        <v>358</v>
      </c>
      <c r="AV63" s="145" t="s">
        <v>74</v>
      </c>
      <c r="AW63" s="82"/>
      <c r="AX63" s="82"/>
      <c r="AY63" s="82"/>
      <c r="AZ63" s="82"/>
      <c r="BA63" s="51" t="s">
        <v>61</v>
      </c>
      <c r="BB63" s="51" t="s">
        <v>107</v>
      </c>
      <c r="BC63" s="82"/>
      <c r="BD63" s="52" t="s">
        <v>153</v>
      </c>
      <c r="BE63" s="51" t="s">
        <v>107</v>
      </c>
      <c r="BF63" s="28"/>
      <c r="BG63" s="28"/>
      <c r="BH63" s="28"/>
      <c r="BI63" s="28"/>
      <c r="BJ63" s="28"/>
      <c r="BK63" s="28"/>
    </row>
    <row r="64" ht="13.5" customHeight="1">
      <c r="A64" s="45">
        <v>63.0</v>
      </c>
      <c r="B64" s="46"/>
      <c r="C64" s="47"/>
      <c r="D64" s="48"/>
      <c r="E64" s="47"/>
      <c r="F64" s="47"/>
      <c r="G64" s="47"/>
      <c r="H64" s="47"/>
      <c r="I64" s="47"/>
      <c r="J64" s="150"/>
      <c r="K64" s="151"/>
      <c r="L64" s="150"/>
      <c r="M64" s="47"/>
      <c r="N64" s="150"/>
      <c r="O64" s="152"/>
      <c r="P64" s="152"/>
      <c r="Q64" s="153"/>
      <c r="R64" s="153"/>
      <c r="S64" s="152"/>
      <c r="T64" s="47"/>
      <c r="U64" s="48"/>
      <c r="V64" s="48"/>
      <c r="W64" s="48"/>
      <c r="X64" s="48"/>
      <c r="Y64" s="48"/>
      <c r="Z64" s="152"/>
      <c r="AA64" s="152"/>
      <c r="AB64" s="153"/>
      <c r="AC64" s="153"/>
      <c r="AD64" s="152"/>
      <c r="AE64" s="47"/>
      <c r="AF64" s="48"/>
      <c r="AG64" s="48"/>
      <c r="AH64" s="48"/>
      <c r="AI64" s="48"/>
      <c r="AJ64" s="48"/>
      <c r="AK64" s="154"/>
      <c r="AL64" s="48"/>
      <c r="AM64" s="48"/>
      <c r="AN64" s="48"/>
      <c r="AO64" s="48"/>
      <c r="AP64" s="47"/>
      <c r="AQ64" s="155"/>
      <c r="AR64" s="48"/>
      <c r="AS64" s="48"/>
      <c r="AT64" s="48"/>
      <c r="AU64" s="47"/>
      <c r="AV64" s="156"/>
      <c r="AW64" s="48"/>
      <c r="AX64" s="48"/>
      <c r="AY64" s="48"/>
      <c r="AZ64" s="48"/>
      <c r="BA64" s="150"/>
      <c r="BB64" s="150"/>
      <c r="BC64" s="48"/>
      <c r="BD64" s="151"/>
      <c r="BE64" s="150"/>
      <c r="BF64" s="28"/>
      <c r="BG64" s="28"/>
      <c r="BH64" s="28"/>
      <c r="BI64" s="28"/>
      <c r="BJ64" s="28"/>
      <c r="BK64" s="28"/>
    </row>
    <row r="65" ht="13.5" customHeight="1">
      <c r="A65" s="76">
        <v>64.0</v>
      </c>
      <c r="B65" s="46"/>
      <c r="C65" s="47"/>
      <c r="D65" s="48"/>
      <c r="E65" s="47"/>
      <c r="F65" s="47"/>
      <c r="G65" s="47"/>
      <c r="H65" s="47"/>
      <c r="I65" s="47"/>
      <c r="J65" s="150"/>
      <c r="K65" s="151"/>
      <c r="L65" s="150"/>
      <c r="M65" s="47"/>
      <c r="N65" s="150"/>
      <c r="O65" s="152"/>
      <c r="P65" s="152"/>
      <c r="Q65" s="153"/>
      <c r="R65" s="153"/>
      <c r="S65" s="152"/>
      <c r="T65" s="47"/>
      <c r="U65" s="48"/>
      <c r="V65" s="48"/>
      <c r="W65" s="48"/>
      <c r="X65" s="48"/>
      <c r="Y65" s="48"/>
      <c r="Z65" s="152"/>
      <c r="AA65" s="152"/>
      <c r="AB65" s="153"/>
      <c r="AC65" s="153"/>
      <c r="AD65" s="152"/>
      <c r="AE65" s="47"/>
      <c r="AF65" s="48"/>
      <c r="AG65" s="48"/>
      <c r="AH65" s="48"/>
      <c r="AI65" s="48"/>
      <c r="AJ65" s="48"/>
      <c r="AK65" s="154"/>
      <c r="AL65" s="48"/>
      <c r="AM65" s="48"/>
      <c r="AN65" s="48"/>
      <c r="AO65" s="48"/>
      <c r="AP65" s="47"/>
      <c r="AQ65" s="155"/>
      <c r="AR65" s="48"/>
      <c r="AS65" s="48"/>
      <c r="AT65" s="48"/>
      <c r="AU65" s="47"/>
      <c r="AV65" s="156"/>
      <c r="AW65" s="48"/>
      <c r="AX65" s="48"/>
      <c r="AY65" s="48"/>
      <c r="AZ65" s="48"/>
      <c r="BA65" s="150"/>
      <c r="BB65" s="150"/>
      <c r="BC65" s="48"/>
      <c r="BD65" s="151"/>
      <c r="BE65" s="150"/>
      <c r="BF65" s="28"/>
      <c r="BG65" s="28"/>
      <c r="BH65" s="28"/>
      <c r="BI65" s="28"/>
      <c r="BJ65" s="28"/>
      <c r="BK65" s="28"/>
    </row>
    <row r="66" ht="13.5" customHeight="1">
      <c r="A66" s="76">
        <v>65.0</v>
      </c>
      <c r="B66" s="46"/>
      <c r="C66" s="47"/>
      <c r="D66" s="48"/>
      <c r="E66" s="47"/>
      <c r="F66" s="47"/>
      <c r="G66" s="47"/>
      <c r="H66" s="47"/>
      <c r="I66" s="47"/>
      <c r="J66" s="150"/>
      <c r="K66" s="151"/>
      <c r="L66" s="150"/>
      <c r="M66" s="47"/>
      <c r="N66" s="150"/>
      <c r="O66" s="152"/>
      <c r="P66" s="152"/>
      <c r="Q66" s="153"/>
      <c r="R66" s="153"/>
      <c r="S66" s="152"/>
      <c r="T66" s="47"/>
      <c r="U66" s="48"/>
      <c r="V66" s="48"/>
      <c r="W66" s="48"/>
      <c r="X66" s="48"/>
      <c r="Y66" s="48"/>
      <c r="Z66" s="152"/>
      <c r="AA66" s="152"/>
      <c r="AB66" s="153"/>
      <c r="AC66" s="153"/>
      <c r="AD66" s="152"/>
      <c r="AE66" s="47"/>
      <c r="AF66" s="48"/>
      <c r="AG66" s="48"/>
      <c r="AH66" s="48"/>
      <c r="AI66" s="48"/>
      <c r="AJ66" s="48"/>
      <c r="AK66" s="154"/>
      <c r="AL66" s="48"/>
      <c r="AM66" s="48"/>
      <c r="AN66" s="48"/>
      <c r="AO66" s="48"/>
      <c r="AP66" s="47"/>
      <c r="AQ66" s="155"/>
      <c r="AR66" s="48"/>
      <c r="AS66" s="48"/>
      <c r="AT66" s="48"/>
      <c r="AU66" s="47"/>
      <c r="AV66" s="156"/>
      <c r="AW66" s="48"/>
      <c r="AX66" s="48"/>
      <c r="AY66" s="48"/>
      <c r="AZ66" s="48"/>
      <c r="BA66" s="150"/>
      <c r="BB66" s="150"/>
      <c r="BC66" s="48"/>
      <c r="BD66" s="151"/>
      <c r="BE66" s="150"/>
      <c r="BF66" s="28"/>
      <c r="BG66" s="28"/>
      <c r="BH66" s="28"/>
      <c r="BI66" s="28"/>
      <c r="BJ66" s="28"/>
      <c r="BK66" s="28"/>
    </row>
    <row r="67" ht="13.5" customHeight="1">
      <c r="A67" s="45">
        <v>66.0</v>
      </c>
      <c r="B67" s="46"/>
      <c r="C67" s="47"/>
      <c r="D67" s="48"/>
      <c r="E67" s="47"/>
      <c r="F67" s="47"/>
      <c r="G67" s="47"/>
      <c r="H67" s="47"/>
      <c r="I67" s="47"/>
      <c r="J67" s="150"/>
      <c r="K67" s="151"/>
      <c r="L67" s="150"/>
      <c r="M67" s="47"/>
      <c r="N67" s="150"/>
      <c r="O67" s="152"/>
      <c r="P67" s="152"/>
      <c r="Q67" s="153"/>
      <c r="R67" s="153"/>
      <c r="S67" s="152"/>
      <c r="T67" s="47"/>
      <c r="U67" s="48"/>
      <c r="V67" s="48"/>
      <c r="W67" s="48"/>
      <c r="X67" s="48"/>
      <c r="Y67" s="48"/>
      <c r="Z67" s="152"/>
      <c r="AA67" s="152"/>
      <c r="AB67" s="153"/>
      <c r="AC67" s="153"/>
      <c r="AD67" s="152"/>
      <c r="AE67" s="47"/>
      <c r="AF67" s="48"/>
      <c r="AG67" s="48"/>
      <c r="AH67" s="48"/>
      <c r="AI67" s="48"/>
      <c r="AJ67" s="48"/>
      <c r="AK67" s="154"/>
      <c r="AL67" s="48"/>
      <c r="AM67" s="48"/>
      <c r="AN67" s="48"/>
      <c r="AO67" s="48"/>
      <c r="AP67" s="47"/>
      <c r="AQ67" s="155"/>
      <c r="AR67" s="48"/>
      <c r="AS67" s="48"/>
      <c r="AT67" s="48"/>
      <c r="AU67" s="47"/>
      <c r="AV67" s="156"/>
      <c r="AW67" s="48"/>
      <c r="AX67" s="48"/>
      <c r="AY67" s="48"/>
      <c r="AZ67" s="48"/>
      <c r="BA67" s="150"/>
      <c r="BB67" s="150"/>
      <c r="BC67" s="48"/>
      <c r="BD67" s="151"/>
      <c r="BE67" s="150"/>
      <c r="BF67" s="28"/>
      <c r="BG67" s="28"/>
      <c r="BH67" s="28"/>
      <c r="BI67" s="28"/>
      <c r="BJ67" s="28"/>
      <c r="BK67" s="28"/>
    </row>
    <row r="68" ht="13.5" customHeight="1">
      <c r="A68" s="76">
        <v>67.0</v>
      </c>
      <c r="B68" s="46"/>
      <c r="C68" s="47"/>
      <c r="D68" s="48"/>
      <c r="E68" s="47"/>
      <c r="F68" s="47"/>
      <c r="G68" s="47"/>
      <c r="H68" s="47"/>
      <c r="I68" s="47"/>
      <c r="J68" s="150"/>
      <c r="K68" s="151"/>
      <c r="L68" s="150"/>
      <c r="M68" s="47"/>
      <c r="N68" s="150"/>
      <c r="O68" s="152"/>
      <c r="P68" s="152"/>
      <c r="Q68" s="153"/>
      <c r="R68" s="153"/>
      <c r="S68" s="152"/>
      <c r="T68" s="47"/>
      <c r="U68" s="48"/>
      <c r="V68" s="48"/>
      <c r="W68" s="48"/>
      <c r="X68" s="48"/>
      <c r="Y68" s="48"/>
      <c r="Z68" s="152"/>
      <c r="AA68" s="152"/>
      <c r="AB68" s="153"/>
      <c r="AC68" s="153"/>
      <c r="AD68" s="152"/>
      <c r="AE68" s="47"/>
      <c r="AF68" s="48"/>
      <c r="AG68" s="48"/>
      <c r="AH68" s="48"/>
      <c r="AI68" s="48"/>
      <c r="AJ68" s="48"/>
      <c r="AK68" s="154"/>
      <c r="AL68" s="48"/>
      <c r="AM68" s="48"/>
      <c r="AN68" s="48"/>
      <c r="AO68" s="48"/>
      <c r="AP68" s="47"/>
      <c r="AQ68" s="155"/>
      <c r="AR68" s="48"/>
      <c r="AS68" s="48"/>
      <c r="AT68" s="48"/>
      <c r="AU68" s="47"/>
      <c r="AV68" s="156"/>
      <c r="AW68" s="48"/>
      <c r="AX68" s="48"/>
      <c r="AY68" s="48"/>
      <c r="AZ68" s="48"/>
      <c r="BA68" s="150"/>
      <c r="BB68" s="150"/>
      <c r="BC68" s="48"/>
      <c r="BD68" s="151"/>
      <c r="BE68" s="150"/>
      <c r="BF68" s="28"/>
      <c r="BG68" s="28"/>
      <c r="BH68" s="28"/>
      <c r="BI68" s="28"/>
      <c r="BJ68" s="28"/>
      <c r="BK68" s="28"/>
    </row>
    <row r="69" ht="13.5" customHeight="1">
      <c r="A69" s="76">
        <v>68.0</v>
      </c>
      <c r="B69" s="46"/>
      <c r="C69" s="47"/>
      <c r="D69" s="48"/>
      <c r="E69" s="47"/>
      <c r="F69" s="47"/>
      <c r="G69" s="47"/>
      <c r="H69" s="47"/>
      <c r="I69" s="47"/>
      <c r="J69" s="150"/>
      <c r="K69" s="151"/>
      <c r="L69" s="150"/>
      <c r="M69" s="47"/>
      <c r="N69" s="150"/>
      <c r="O69" s="152"/>
      <c r="P69" s="152"/>
      <c r="Q69" s="153"/>
      <c r="R69" s="153"/>
      <c r="S69" s="152"/>
      <c r="T69" s="47"/>
      <c r="U69" s="48"/>
      <c r="V69" s="48"/>
      <c r="W69" s="48"/>
      <c r="X69" s="48"/>
      <c r="Y69" s="48"/>
      <c r="Z69" s="152"/>
      <c r="AA69" s="152"/>
      <c r="AB69" s="153"/>
      <c r="AC69" s="153"/>
      <c r="AD69" s="152"/>
      <c r="AE69" s="47"/>
      <c r="AF69" s="48"/>
      <c r="AG69" s="48"/>
      <c r="AH69" s="48"/>
      <c r="AI69" s="48"/>
      <c r="AJ69" s="48"/>
      <c r="AK69" s="154"/>
      <c r="AL69" s="48"/>
      <c r="AM69" s="48"/>
      <c r="AN69" s="48"/>
      <c r="AO69" s="48"/>
      <c r="AP69" s="47"/>
      <c r="AQ69" s="155"/>
      <c r="AR69" s="48"/>
      <c r="AS69" s="48"/>
      <c r="AT69" s="48"/>
      <c r="AU69" s="47"/>
      <c r="AV69" s="156"/>
      <c r="AW69" s="48"/>
      <c r="AX69" s="48"/>
      <c r="AY69" s="48"/>
      <c r="AZ69" s="48"/>
      <c r="BA69" s="150"/>
      <c r="BB69" s="150"/>
      <c r="BC69" s="48"/>
      <c r="BD69" s="151"/>
      <c r="BE69" s="150"/>
      <c r="BF69" s="28"/>
      <c r="BG69" s="28"/>
      <c r="BH69" s="28"/>
      <c r="BI69" s="28"/>
      <c r="BJ69" s="28"/>
      <c r="BK69" s="28"/>
    </row>
    <row r="70" ht="13.5" customHeight="1">
      <c r="A70" s="45">
        <v>69.0</v>
      </c>
      <c r="B70" s="46"/>
      <c r="C70" s="47"/>
      <c r="D70" s="48"/>
      <c r="E70" s="47"/>
      <c r="F70" s="47"/>
      <c r="G70" s="47"/>
      <c r="H70" s="47"/>
      <c r="I70" s="47"/>
      <c r="J70" s="150"/>
      <c r="K70" s="151"/>
      <c r="L70" s="150"/>
      <c r="M70" s="47"/>
      <c r="N70" s="150"/>
      <c r="O70" s="152"/>
      <c r="P70" s="152"/>
      <c r="Q70" s="153"/>
      <c r="R70" s="153"/>
      <c r="S70" s="152"/>
      <c r="T70" s="47"/>
      <c r="U70" s="48"/>
      <c r="V70" s="48"/>
      <c r="W70" s="48"/>
      <c r="X70" s="48"/>
      <c r="Y70" s="48"/>
      <c r="Z70" s="152"/>
      <c r="AA70" s="152"/>
      <c r="AB70" s="153"/>
      <c r="AC70" s="153"/>
      <c r="AD70" s="152"/>
      <c r="AE70" s="47"/>
      <c r="AF70" s="48"/>
      <c r="AG70" s="48"/>
      <c r="AH70" s="48"/>
      <c r="AI70" s="48"/>
      <c r="AJ70" s="48"/>
      <c r="AK70" s="154"/>
      <c r="AL70" s="48"/>
      <c r="AM70" s="48"/>
      <c r="AN70" s="48"/>
      <c r="AO70" s="48"/>
      <c r="AP70" s="47"/>
      <c r="AQ70" s="155"/>
      <c r="AR70" s="48"/>
      <c r="AS70" s="48"/>
      <c r="AT70" s="48"/>
      <c r="AU70" s="47"/>
      <c r="AV70" s="156"/>
      <c r="AW70" s="48"/>
      <c r="AX70" s="48"/>
      <c r="AY70" s="48"/>
      <c r="AZ70" s="48"/>
      <c r="BA70" s="150"/>
      <c r="BB70" s="150"/>
      <c r="BC70" s="48"/>
      <c r="BD70" s="151"/>
      <c r="BE70" s="150"/>
      <c r="BF70" s="28"/>
      <c r="BG70" s="28"/>
      <c r="BH70" s="28"/>
      <c r="BI70" s="28"/>
      <c r="BJ70" s="28"/>
      <c r="BK70" s="28"/>
    </row>
    <row r="71" ht="13.5" customHeight="1">
      <c r="A71" s="76">
        <v>70.0</v>
      </c>
      <c r="B71" s="46"/>
      <c r="C71" s="47"/>
      <c r="D71" s="48"/>
      <c r="E71" s="47"/>
      <c r="F71" s="47"/>
      <c r="G71" s="47"/>
      <c r="H71" s="47"/>
      <c r="I71" s="47"/>
      <c r="J71" s="150"/>
      <c r="K71" s="151"/>
      <c r="L71" s="150"/>
      <c r="M71" s="47"/>
      <c r="N71" s="150"/>
      <c r="O71" s="152"/>
      <c r="P71" s="152"/>
      <c r="Q71" s="153"/>
      <c r="R71" s="153"/>
      <c r="S71" s="152"/>
      <c r="T71" s="47"/>
      <c r="U71" s="48"/>
      <c r="V71" s="48"/>
      <c r="W71" s="48"/>
      <c r="X71" s="48"/>
      <c r="Y71" s="48"/>
      <c r="Z71" s="152"/>
      <c r="AA71" s="152"/>
      <c r="AB71" s="153"/>
      <c r="AC71" s="153"/>
      <c r="AD71" s="152"/>
      <c r="AE71" s="47"/>
      <c r="AF71" s="48"/>
      <c r="AG71" s="48"/>
      <c r="AH71" s="48"/>
      <c r="AI71" s="48"/>
      <c r="AJ71" s="48"/>
      <c r="AK71" s="154"/>
      <c r="AL71" s="48"/>
      <c r="AM71" s="48"/>
      <c r="AN71" s="48"/>
      <c r="AO71" s="48"/>
      <c r="AP71" s="47"/>
      <c r="AQ71" s="155"/>
      <c r="AR71" s="48"/>
      <c r="AS71" s="48"/>
      <c r="AT71" s="48"/>
      <c r="AU71" s="47"/>
      <c r="AV71" s="156"/>
      <c r="AW71" s="48"/>
      <c r="AX71" s="48"/>
      <c r="AY71" s="48"/>
      <c r="AZ71" s="48"/>
      <c r="BA71" s="150"/>
      <c r="BB71" s="150"/>
      <c r="BC71" s="48"/>
      <c r="BD71" s="151"/>
      <c r="BE71" s="150"/>
      <c r="BF71" s="28"/>
      <c r="BG71" s="28"/>
      <c r="BH71" s="28"/>
      <c r="BI71" s="28"/>
      <c r="BJ71" s="28"/>
      <c r="BK71" s="28"/>
    </row>
    <row r="72" ht="13.5" customHeight="1">
      <c r="A72" s="45">
        <v>71.0</v>
      </c>
      <c r="B72" s="46"/>
      <c r="C72" s="47"/>
      <c r="D72" s="48"/>
      <c r="E72" s="47"/>
      <c r="F72" s="47"/>
      <c r="G72" s="47"/>
      <c r="H72" s="47"/>
      <c r="I72" s="47"/>
      <c r="J72" s="150"/>
      <c r="K72" s="151"/>
      <c r="L72" s="150"/>
      <c r="M72" s="47"/>
      <c r="N72" s="150"/>
      <c r="O72" s="152"/>
      <c r="P72" s="152"/>
      <c r="Q72" s="153"/>
      <c r="R72" s="153"/>
      <c r="S72" s="152"/>
      <c r="T72" s="47"/>
      <c r="U72" s="48"/>
      <c r="V72" s="48"/>
      <c r="W72" s="48"/>
      <c r="X72" s="48"/>
      <c r="Y72" s="48"/>
      <c r="Z72" s="152"/>
      <c r="AA72" s="152"/>
      <c r="AB72" s="153"/>
      <c r="AC72" s="153"/>
      <c r="AD72" s="152"/>
      <c r="AE72" s="47"/>
      <c r="AF72" s="48"/>
      <c r="AG72" s="48"/>
      <c r="AH72" s="48"/>
      <c r="AI72" s="48"/>
      <c r="AJ72" s="48"/>
      <c r="AK72" s="154"/>
      <c r="AL72" s="48"/>
      <c r="AM72" s="48"/>
      <c r="AN72" s="48"/>
      <c r="AO72" s="48"/>
      <c r="AP72" s="47"/>
      <c r="AQ72" s="155"/>
      <c r="AR72" s="48"/>
      <c r="AS72" s="48"/>
      <c r="AT72" s="48"/>
      <c r="AU72" s="47"/>
      <c r="AV72" s="156"/>
      <c r="AW72" s="48"/>
      <c r="AX72" s="48"/>
      <c r="AY72" s="48"/>
      <c r="AZ72" s="48"/>
      <c r="BA72" s="150"/>
      <c r="BB72" s="150"/>
      <c r="BC72" s="48"/>
      <c r="BD72" s="151"/>
      <c r="BE72" s="150"/>
      <c r="BF72" s="28"/>
      <c r="BG72" s="28"/>
      <c r="BH72" s="28"/>
      <c r="BI72" s="28"/>
      <c r="BJ72" s="28"/>
      <c r="BK72" s="28"/>
    </row>
    <row r="73" ht="13.5" customHeight="1">
      <c r="A73" s="76">
        <v>72.0</v>
      </c>
      <c r="B73" s="46"/>
      <c r="C73" s="47"/>
      <c r="D73" s="48"/>
      <c r="E73" s="47"/>
      <c r="F73" s="47"/>
      <c r="G73" s="47"/>
      <c r="H73" s="47"/>
      <c r="I73" s="47"/>
      <c r="J73" s="150"/>
      <c r="K73" s="151"/>
      <c r="L73" s="150"/>
      <c r="M73" s="47"/>
      <c r="N73" s="150"/>
      <c r="O73" s="152"/>
      <c r="P73" s="152"/>
      <c r="Q73" s="153"/>
      <c r="R73" s="153"/>
      <c r="S73" s="152"/>
      <c r="T73" s="47"/>
      <c r="U73" s="48"/>
      <c r="V73" s="48"/>
      <c r="W73" s="48"/>
      <c r="X73" s="48"/>
      <c r="Y73" s="48"/>
      <c r="Z73" s="152"/>
      <c r="AA73" s="152"/>
      <c r="AB73" s="153"/>
      <c r="AC73" s="153"/>
      <c r="AD73" s="152"/>
      <c r="AE73" s="47"/>
      <c r="AF73" s="48"/>
      <c r="AG73" s="48"/>
      <c r="AH73" s="48"/>
      <c r="AI73" s="48"/>
      <c r="AJ73" s="48"/>
      <c r="AK73" s="154"/>
      <c r="AL73" s="48"/>
      <c r="AM73" s="48"/>
      <c r="AN73" s="48"/>
      <c r="AO73" s="48"/>
      <c r="AP73" s="47"/>
      <c r="AQ73" s="155"/>
      <c r="AR73" s="48"/>
      <c r="AS73" s="48"/>
      <c r="AT73" s="48"/>
      <c r="AU73" s="47"/>
      <c r="AV73" s="156"/>
      <c r="AW73" s="48"/>
      <c r="AX73" s="48"/>
      <c r="AY73" s="48"/>
      <c r="AZ73" s="48"/>
      <c r="BA73" s="150"/>
      <c r="BB73" s="150"/>
      <c r="BC73" s="48"/>
      <c r="BD73" s="151"/>
      <c r="BE73" s="150"/>
      <c r="BF73" s="28"/>
      <c r="BG73" s="28"/>
      <c r="BH73" s="28"/>
      <c r="BI73" s="28"/>
      <c r="BJ73" s="28"/>
      <c r="BK73" s="28"/>
    </row>
    <row r="74" ht="13.5" customHeight="1">
      <c r="A74" s="76">
        <v>73.0</v>
      </c>
      <c r="B74" s="46"/>
      <c r="C74" s="47"/>
      <c r="D74" s="48"/>
      <c r="E74" s="47"/>
      <c r="F74" s="47"/>
      <c r="G74" s="47"/>
      <c r="H74" s="47"/>
      <c r="I74" s="47"/>
      <c r="J74" s="150"/>
      <c r="K74" s="151"/>
      <c r="L74" s="150"/>
      <c r="M74" s="47"/>
      <c r="N74" s="150"/>
      <c r="O74" s="152"/>
      <c r="P74" s="152"/>
      <c r="Q74" s="153"/>
      <c r="R74" s="153"/>
      <c r="S74" s="152"/>
      <c r="T74" s="47"/>
      <c r="U74" s="48"/>
      <c r="V74" s="48"/>
      <c r="W74" s="48"/>
      <c r="X74" s="48"/>
      <c r="Y74" s="48"/>
      <c r="Z74" s="152"/>
      <c r="AA74" s="152"/>
      <c r="AB74" s="153"/>
      <c r="AC74" s="153"/>
      <c r="AD74" s="152"/>
      <c r="AE74" s="47"/>
      <c r="AF74" s="48"/>
      <c r="AG74" s="48"/>
      <c r="AH74" s="48"/>
      <c r="AI74" s="48"/>
      <c r="AJ74" s="48"/>
      <c r="AK74" s="154"/>
      <c r="AL74" s="48"/>
      <c r="AM74" s="48"/>
      <c r="AN74" s="48"/>
      <c r="AO74" s="48"/>
      <c r="AP74" s="47"/>
      <c r="AQ74" s="155"/>
      <c r="AR74" s="48"/>
      <c r="AS74" s="48"/>
      <c r="AT74" s="48"/>
      <c r="AU74" s="47"/>
      <c r="AV74" s="156"/>
      <c r="AW74" s="48"/>
      <c r="AX74" s="48"/>
      <c r="AY74" s="48"/>
      <c r="AZ74" s="48"/>
      <c r="BA74" s="150"/>
      <c r="BB74" s="150"/>
      <c r="BC74" s="48"/>
      <c r="BD74" s="151"/>
      <c r="BE74" s="150"/>
      <c r="BF74" s="28"/>
      <c r="BG74" s="28"/>
      <c r="BH74" s="28"/>
      <c r="BI74" s="28"/>
      <c r="BJ74" s="28"/>
      <c r="BK74" s="28"/>
    </row>
    <row r="75" ht="13.5" customHeight="1">
      <c r="A75" s="45">
        <v>74.0</v>
      </c>
      <c r="B75" s="46"/>
      <c r="C75" s="47"/>
      <c r="D75" s="48"/>
      <c r="E75" s="47"/>
      <c r="F75" s="47"/>
      <c r="G75" s="47"/>
      <c r="H75" s="47"/>
      <c r="I75" s="47"/>
      <c r="J75" s="150"/>
      <c r="K75" s="151"/>
      <c r="L75" s="150"/>
      <c r="M75" s="47"/>
      <c r="N75" s="150"/>
      <c r="O75" s="152"/>
      <c r="P75" s="152"/>
      <c r="Q75" s="153"/>
      <c r="R75" s="153"/>
      <c r="S75" s="152"/>
      <c r="T75" s="47"/>
      <c r="U75" s="48"/>
      <c r="V75" s="48"/>
      <c r="W75" s="48"/>
      <c r="X75" s="48"/>
      <c r="Y75" s="48"/>
      <c r="Z75" s="152"/>
      <c r="AA75" s="152"/>
      <c r="AB75" s="153"/>
      <c r="AC75" s="153"/>
      <c r="AD75" s="152"/>
      <c r="AE75" s="47"/>
      <c r="AF75" s="48"/>
      <c r="AG75" s="48"/>
      <c r="AH75" s="48"/>
      <c r="AI75" s="48"/>
      <c r="AJ75" s="48"/>
      <c r="AK75" s="154"/>
      <c r="AL75" s="48"/>
      <c r="AM75" s="48"/>
      <c r="AN75" s="48"/>
      <c r="AO75" s="48"/>
      <c r="AP75" s="47"/>
      <c r="AQ75" s="155"/>
      <c r="AR75" s="48"/>
      <c r="AS75" s="48"/>
      <c r="AT75" s="48"/>
      <c r="AU75" s="47"/>
      <c r="AV75" s="156"/>
      <c r="AW75" s="48"/>
      <c r="AX75" s="48"/>
      <c r="AY75" s="48"/>
      <c r="AZ75" s="48"/>
      <c r="BA75" s="150"/>
      <c r="BB75" s="150"/>
      <c r="BC75" s="48"/>
      <c r="BD75" s="151"/>
      <c r="BE75" s="150"/>
      <c r="BF75" s="28"/>
      <c r="BG75" s="28"/>
      <c r="BH75" s="28"/>
      <c r="BI75" s="28"/>
      <c r="BJ75" s="28"/>
      <c r="BK75" s="28"/>
    </row>
    <row r="76" ht="13.5" customHeight="1">
      <c r="A76" s="76">
        <v>75.0</v>
      </c>
      <c r="B76" s="46"/>
      <c r="C76" s="47"/>
      <c r="D76" s="48"/>
      <c r="E76" s="47"/>
      <c r="F76" s="47"/>
      <c r="G76" s="47"/>
      <c r="H76" s="47"/>
      <c r="I76" s="47"/>
      <c r="J76" s="150"/>
      <c r="K76" s="151"/>
      <c r="L76" s="150"/>
      <c r="M76" s="47"/>
      <c r="N76" s="150"/>
      <c r="O76" s="152"/>
      <c r="P76" s="152"/>
      <c r="Q76" s="153"/>
      <c r="R76" s="153"/>
      <c r="S76" s="152"/>
      <c r="T76" s="47"/>
      <c r="U76" s="48"/>
      <c r="V76" s="48"/>
      <c r="W76" s="48"/>
      <c r="X76" s="48"/>
      <c r="Y76" s="48"/>
      <c r="Z76" s="152"/>
      <c r="AA76" s="152"/>
      <c r="AB76" s="153"/>
      <c r="AC76" s="153"/>
      <c r="AD76" s="152"/>
      <c r="AE76" s="47"/>
      <c r="AF76" s="48"/>
      <c r="AG76" s="48"/>
      <c r="AH76" s="48"/>
      <c r="AI76" s="48"/>
      <c r="AJ76" s="48"/>
      <c r="AK76" s="154"/>
      <c r="AL76" s="48"/>
      <c r="AM76" s="48"/>
      <c r="AN76" s="48"/>
      <c r="AO76" s="48"/>
      <c r="AP76" s="47"/>
      <c r="AQ76" s="155"/>
      <c r="AR76" s="48"/>
      <c r="AS76" s="48"/>
      <c r="AT76" s="48"/>
      <c r="AU76" s="47"/>
      <c r="AV76" s="156"/>
      <c r="AW76" s="48"/>
      <c r="AX76" s="48"/>
      <c r="AY76" s="48"/>
      <c r="AZ76" s="48"/>
      <c r="BA76" s="150"/>
      <c r="BB76" s="150"/>
      <c r="BC76" s="48"/>
      <c r="BD76" s="151"/>
      <c r="BE76" s="150"/>
      <c r="BF76" s="28"/>
      <c r="BG76" s="28"/>
      <c r="BH76" s="28"/>
      <c r="BI76" s="28"/>
      <c r="BJ76" s="28"/>
      <c r="BK76" s="28"/>
    </row>
    <row r="77" ht="13.5" customHeight="1">
      <c r="A77" s="157"/>
      <c r="B77" s="158"/>
      <c r="C77" s="158"/>
      <c r="D77" s="159"/>
      <c r="E77" s="158"/>
      <c r="F77" s="158"/>
      <c r="G77" s="158"/>
      <c r="H77" s="158">
        <f>SUM(Form_Responses[Dist. (m)])</f>
        <v>7189.73</v>
      </c>
      <c r="I77" s="158"/>
      <c r="J77" s="160"/>
      <c r="K77" s="161"/>
      <c r="L77" s="160"/>
      <c r="M77" s="158"/>
      <c r="N77" s="160"/>
      <c r="O77" s="162"/>
      <c r="P77" s="162"/>
      <c r="Q77" s="162"/>
      <c r="R77" s="162"/>
      <c r="S77" s="162"/>
      <c r="T77" s="158"/>
      <c r="U77" s="159"/>
      <c r="V77" s="159"/>
      <c r="W77" s="159"/>
      <c r="X77" s="159"/>
      <c r="Y77" s="159"/>
      <c r="Z77" s="162"/>
      <c r="AA77" s="162"/>
      <c r="AB77" s="162"/>
      <c r="AC77" s="162"/>
      <c r="AD77" s="162"/>
      <c r="AE77" s="158"/>
      <c r="AF77" s="159"/>
      <c r="AG77" s="159"/>
      <c r="AH77" s="159"/>
      <c r="AI77" s="159"/>
      <c r="AJ77" s="159"/>
      <c r="AK77" s="163"/>
      <c r="AL77" s="159"/>
      <c r="AM77" s="159"/>
      <c r="AN77" s="159"/>
      <c r="AO77" s="159"/>
      <c r="AP77" s="158"/>
      <c r="AQ77" s="164"/>
      <c r="AR77" s="159"/>
      <c r="AS77" s="159"/>
      <c r="AT77" s="159"/>
      <c r="AU77" s="158"/>
      <c r="AV77" s="165"/>
      <c r="AW77" s="159"/>
      <c r="AX77" s="159"/>
      <c r="AY77" s="159"/>
      <c r="AZ77" s="159"/>
      <c r="BA77" s="160"/>
      <c r="BB77" s="160"/>
      <c r="BC77" s="159"/>
      <c r="BD77" s="161"/>
      <c r="BE77" s="160"/>
      <c r="BF77" s="166"/>
      <c r="BG77" s="166"/>
      <c r="BH77" s="166"/>
      <c r="BI77" s="166"/>
      <c r="BJ77" s="166"/>
      <c r="BK77" s="166"/>
    </row>
    <row r="78" ht="13.5" customHeight="1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</row>
    <row r="79" ht="13.5" customHeight="1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</row>
    <row r="80" ht="13.5" customHeight="1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</row>
    <row r="81" ht="13.5" customHeight="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</row>
    <row r="82" ht="13.5" customHeight="1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</row>
    <row r="83" ht="13.5" customHeight="1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</row>
    <row r="84" ht="13.5" customHeight="1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</row>
    <row r="85" ht="13.5" customHeight="1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</row>
    <row r="86" ht="13.5" customHeight="1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</row>
    <row r="87" ht="13.5" customHeight="1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</row>
    <row r="88" ht="13.5" customHeight="1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</row>
    <row r="89" ht="13.5" customHeight="1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</row>
    <row r="90" ht="13.5" customHeight="1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</row>
    <row r="91" ht="13.5" customHeight="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</row>
    <row r="92" ht="13.5" customHeight="1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</row>
    <row r="93" ht="13.5" customHeight="1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</row>
    <row r="94" ht="13.5" customHeight="1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</row>
    <row r="95" ht="13.5" customHeight="1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</row>
    <row r="96" ht="13.5" customHeight="1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</row>
    <row r="97" ht="13.5" customHeight="1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</row>
    <row r="98" ht="13.5" customHeight="1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</row>
    <row r="99" ht="13.5" customHeight="1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</row>
    <row r="100" ht="13.5" customHeight="1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</row>
    <row r="101" ht="13.5" customHeight="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</row>
    <row r="102" ht="13.5" customHeight="1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</row>
    <row r="103" ht="13.5" customHeight="1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</row>
    <row r="104" ht="13.5" customHeight="1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</row>
    <row r="105" ht="13.5" customHeight="1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</row>
    <row r="106" ht="13.5" customHeight="1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</row>
    <row r="107" ht="13.5" customHeight="1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</row>
    <row r="108" ht="13.5" customHeight="1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</row>
    <row r="109" ht="13.5" customHeight="1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</row>
    <row r="110" ht="13.5" customHeight="1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</row>
    <row r="111" ht="13.5" customHeight="1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</row>
    <row r="112" ht="13.5" customHeight="1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</row>
    <row r="113" ht="13.5" customHeight="1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</row>
    <row r="114" ht="13.5" customHeight="1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</row>
    <row r="115" ht="13.5" customHeight="1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</row>
    <row r="116" ht="13.5" customHeight="1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</row>
    <row r="117" ht="13.5" customHeight="1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</row>
    <row r="118" ht="13.5" customHeight="1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</row>
    <row r="119" ht="13.5" customHeight="1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</row>
    <row r="120" ht="13.5" customHeight="1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</row>
    <row r="121" ht="13.5" customHeight="1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</row>
    <row r="122" ht="13.5" customHeight="1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</row>
    <row r="123" ht="13.5" customHeight="1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</row>
    <row r="124" ht="13.5" customHeight="1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</row>
    <row r="125" ht="13.5" customHeight="1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</row>
    <row r="126" ht="13.5" customHeight="1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</row>
    <row r="127" ht="13.5" customHeight="1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</row>
    <row r="128" ht="13.5" customHeight="1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</row>
    <row r="129" ht="13.5" customHeight="1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</row>
    <row r="130" ht="13.5" customHeight="1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</row>
    <row r="131" ht="13.5" customHeight="1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</row>
    <row r="132" ht="13.5" customHeight="1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</row>
    <row r="133" ht="13.5" customHeight="1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</row>
    <row r="134" ht="13.5" customHeight="1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</row>
    <row r="135" ht="13.5" customHeight="1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</row>
    <row r="136" ht="13.5" customHeight="1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</row>
    <row r="137" ht="13.5" customHeight="1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</row>
    <row r="138" ht="13.5" customHeight="1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</row>
    <row r="139" ht="13.5" customHeight="1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</row>
    <row r="140" ht="13.5" customHeight="1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</row>
    <row r="141" ht="13.5" customHeight="1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</row>
    <row r="142" ht="13.5" customHeight="1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</row>
    <row r="143" ht="13.5" customHeight="1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</row>
    <row r="144" ht="13.5" customHeight="1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</row>
    <row r="145" ht="13.5" customHeight="1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</row>
    <row r="146" ht="13.5" customHeight="1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</row>
    <row r="147" ht="13.5" customHeight="1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</row>
    <row r="148" ht="13.5" customHeight="1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</row>
    <row r="149" ht="13.5" customHeight="1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</row>
    <row r="150" ht="13.5" customHeight="1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</row>
    <row r="151" ht="13.5" customHeight="1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</row>
    <row r="152" ht="13.5" customHeight="1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</row>
    <row r="153" ht="13.5" customHeight="1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</row>
    <row r="154" ht="13.5" customHeight="1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</row>
    <row r="155" ht="13.5" customHeight="1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</row>
    <row r="156" ht="13.5" customHeight="1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</row>
    <row r="157" ht="13.5" customHeight="1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</row>
    <row r="158" ht="13.5" customHeight="1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</row>
    <row r="159" ht="13.5" customHeight="1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</row>
    <row r="160" ht="13.5" customHeight="1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</row>
    <row r="161" ht="13.5" customHeight="1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</row>
    <row r="162" ht="13.5" customHeight="1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</row>
    <row r="163" ht="13.5" customHeight="1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</row>
  </sheetData>
  <hyperlinks>
    <hyperlink r:id="rId4" ref="I18"/>
    <hyperlink r:id="rId5" ref="I19"/>
    <hyperlink r:id="rId6" ref="I20"/>
    <hyperlink r:id="rId7" ref="I21"/>
    <hyperlink r:id="rId8" ref="I22"/>
    <hyperlink r:id="rId9" ref="I23"/>
    <hyperlink r:id="rId10" ref="I24"/>
    <hyperlink r:id="rId11" ref="I25"/>
    <hyperlink r:id="rId12" ref="I26"/>
    <hyperlink r:id="rId13" ref="I27"/>
    <hyperlink r:id="rId14" ref="I28"/>
    <hyperlink r:id="rId15" ref="I29"/>
    <hyperlink r:id="rId16" ref="I30"/>
    <hyperlink r:id="rId17" ref="I31"/>
    <hyperlink r:id="rId18" ref="I32"/>
    <hyperlink r:id="rId19" ref="I33"/>
    <hyperlink r:id="rId20" ref="I34"/>
    <hyperlink r:id="rId21" ref="I35"/>
    <hyperlink r:id="rId22" ref="I36"/>
    <hyperlink r:id="rId23" ref="I37"/>
    <hyperlink r:id="rId24" ref="I38"/>
    <hyperlink r:id="rId25" ref="I39"/>
    <hyperlink r:id="rId26" ref="I40"/>
    <hyperlink r:id="rId27" ref="I41"/>
    <hyperlink r:id="rId28" ref="I42"/>
    <hyperlink r:id="rId29" ref="I43"/>
    <hyperlink r:id="rId30" ref="I44"/>
    <hyperlink r:id="rId31" ref="I45"/>
    <hyperlink r:id="rId32" ref="I46"/>
    <hyperlink r:id="rId33" ref="I47"/>
    <hyperlink r:id="rId34" ref="I48"/>
    <hyperlink r:id="rId35" ref="I49"/>
    <hyperlink r:id="rId36" ref="I50"/>
    <hyperlink r:id="rId37" ref="I51"/>
    <hyperlink r:id="rId38" ref="I52"/>
    <hyperlink r:id="rId39" ref="I53"/>
    <hyperlink r:id="rId40" ref="I54"/>
    <hyperlink r:id="rId41" ref="I55"/>
    <hyperlink r:id="rId42" ref="I56"/>
    <hyperlink r:id="rId43" ref="I57"/>
    <hyperlink r:id="rId44" ref="I58"/>
    <hyperlink r:id="rId45" ref="I59"/>
    <hyperlink r:id="rId46" ref="I60"/>
    <hyperlink r:id="rId47" ref="I61"/>
    <hyperlink r:id="rId48" ref="I62"/>
    <hyperlink r:id="rId49" ref="I63"/>
  </hyperlinks>
  <drawing r:id="rId50"/>
  <legacyDrawing r:id="rId51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9.5"/>
    <col customWidth="1" min="4" max="4" width="5.13"/>
    <col customWidth="1" min="5" max="6" width="8.13"/>
    <col customWidth="1" min="7" max="7" width="17.0"/>
  </cols>
  <sheetData>
    <row r="1">
      <c r="A1" s="1"/>
      <c r="B1" s="3" t="s">
        <v>1</v>
      </c>
      <c r="D1" s="5" t="str">
        <f>"03"</f>
        <v>03</v>
      </c>
      <c r="E1" s="5"/>
      <c r="F1" s="5"/>
      <c r="G1" s="5"/>
      <c r="H1" s="5"/>
      <c r="I1" s="5"/>
      <c r="J1" s="5"/>
    </row>
    <row r="2">
      <c r="A2" s="1"/>
      <c r="B2" s="3" t="s">
        <v>2</v>
      </c>
      <c r="D2" s="5" t="s">
        <v>3</v>
      </c>
      <c r="E2" s="5"/>
      <c r="F2" s="5"/>
      <c r="G2" s="5"/>
      <c r="H2" s="5"/>
      <c r="I2" s="5"/>
      <c r="J2" s="5"/>
    </row>
    <row r="3">
      <c r="A3" s="1"/>
      <c r="B3" s="3" t="s">
        <v>4</v>
      </c>
      <c r="D3" s="5"/>
      <c r="E3" s="5">
        <v>93.0</v>
      </c>
      <c r="F3" s="5" t="s">
        <v>5</v>
      </c>
      <c r="G3" s="5"/>
      <c r="H3" s="5"/>
      <c r="I3" s="5"/>
      <c r="J3" s="5"/>
    </row>
    <row r="4">
      <c r="A4" s="1"/>
      <c r="B4" s="3" t="s">
        <v>6</v>
      </c>
      <c r="D4" s="10" t="str">
        <f>'Form responses 1'!$I$112</f>
        <v/>
      </c>
      <c r="F4" s="5" t="s">
        <v>18</v>
      </c>
      <c r="G4" s="5"/>
      <c r="H4" s="5"/>
      <c r="I4" s="5"/>
      <c r="J4" s="5"/>
    </row>
    <row r="5">
      <c r="A5" s="12"/>
      <c r="B5" s="13"/>
      <c r="C5" s="14"/>
      <c r="D5" s="16" t="s">
        <v>5</v>
      </c>
      <c r="E5" s="16" t="s">
        <v>31</v>
      </c>
      <c r="F5" s="16" t="s">
        <v>33</v>
      </c>
      <c r="G5" s="16" t="s">
        <v>34</v>
      </c>
      <c r="H5" s="16" t="s">
        <v>35</v>
      </c>
      <c r="I5" s="16" t="s">
        <v>37</v>
      </c>
      <c r="J5" s="16" t="s">
        <v>39</v>
      </c>
    </row>
    <row r="6">
      <c r="A6" s="20"/>
      <c r="B6" s="13"/>
      <c r="C6" s="16" t="s">
        <v>42</v>
      </c>
      <c r="D6" s="16" t="s">
        <v>7</v>
      </c>
      <c r="E6" s="16" t="s">
        <v>50</v>
      </c>
      <c r="F6" s="16" t="s">
        <v>51</v>
      </c>
      <c r="G6" s="14"/>
      <c r="H6" s="16" t="s">
        <v>53</v>
      </c>
      <c r="I6" s="16" t="s">
        <v>53</v>
      </c>
      <c r="J6" s="16"/>
    </row>
    <row r="7">
      <c r="A7" s="22" t="s">
        <v>55</v>
      </c>
      <c r="B7" s="23" t="s">
        <v>58</v>
      </c>
      <c r="C7" s="24" t="s">
        <v>61</v>
      </c>
      <c r="D7" s="26">
        <f>COUNTIF('Form responses 1'!K2:K94,C7)</f>
        <v>0</v>
      </c>
      <c r="E7" s="27"/>
      <c r="F7" s="27" t="s">
        <v>70</v>
      </c>
      <c r="G7" s="28"/>
      <c r="H7" s="28"/>
      <c r="I7" s="28"/>
      <c r="J7" s="28"/>
    </row>
    <row r="8">
      <c r="A8" s="29"/>
      <c r="B8" s="29"/>
      <c r="C8" s="30" t="s">
        <v>74</v>
      </c>
      <c r="D8" s="26">
        <f>COUNTIF(#REF!,C8)</f>
        <v>28</v>
      </c>
      <c r="E8" s="27"/>
      <c r="F8" s="27"/>
      <c r="G8" s="28"/>
      <c r="H8" s="28"/>
      <c r="I8" s="28"/>
      <c r="J8" s="28"/>
    </row>
    <row r="9">
      <c r="A9" s="29"/>
      <c r="B9" s="33"/>
      <c r="C9" s="34" t="s">
        <v>84</v>
      </c>
      <c r="D9" s="36">
        <f>COUNTIF('Form responses 1'!K2:K94,C9)</f>
        <v>0</v>
      </c>
      <c r="E9" s="37"/>
      <c r="F9" s="37"/>
      <c r="G9" s="38"/>
      <c r="H9" s="38"/>
      <c r="I9" s="38"/>
      <c r="J9" s="38"/>
    </row>
    <row r="10">
      <c r="A10" s="29"/>
      <c r="B10" s="40" t="s">
        <v>91</v>
      </c>
      <c r="C10" s="41" t="s">
        <v>93</v>
      </c>
      <c r="D10" s="43">
        <f>COUNTIF('Form responses 1'!$L$2:$L$94,C10)</f>
        <v>0</v>
      </c>
      <c r="E10" s="44"/>
      <c r="F10" s="44">
        <f t="array" ref="F10">SUM(IF('Form responses 1'!$L$2:$L$94 = C10,'Form responses 1'!$I$2:$I$94*'Form responses 1'!$N$2:$N$94, ""))</f>
        <v>0</v>
      </c>
      <c r="G10" s="44"/>
      <c r="H10" s="44"/>
      <c r="I10" s="44"/>
      <c r="J10" s="44"/>
    </row>
    <row r="11">
      <c r="A11" s="29"/>
      <c r="B11" s="29"/>
      <c r="C11" s="56" t="s">
        <v>110</v>
      </c>
      <c r="D11" s="59">
        <f>COUNTIF('Form responses 1'!$L$2:$L$94,C11)</f>
        <v>0</v>
      </c>
      <c r="E11" s="28"/>
      <c r="F11" s="28">
        <f t="array" ref="F11">SUM(IF('Form responses 1'!$L$2:$L$94 = C11,'Form responses 1'!$I$2:$I$94*'Form responses 1'!$N$2:$N$94, ""))</f>
        <v>0</v>
      </c>
      <c r="G11" s="28"/>
      <c r="H11" s="28"/>
      <c r="I11" s="28"/>
      <c r="J11" s="28"/>
    </row>
    <row r="12">
      <c r="A12" s="29"/>
      <c r="B12" s="29"/>
      <c r="C12" s="64" t="s">
        <v>105</v>
      </c>
      <c r="D12" s="59">
        <f>COUNTIF('Form responses 1'!$L$2:$L$94,C12)</f>
        <v>0</v>
      </c>
      <c r="E12" s="28"/>
      <c r="F12" s="28">
        <f t="array" ref="F12">SUM(IF('Form responses 1'!$L$2:$L$94 = C12,'Form responses 1'!$I$2:$I$94*'Form responses 1'!$N$2:$N$94, ""))</f>
        <v>0</v>
      </c>
      <c r="G12" s="28"/>
      <c r="H12" s="28"/>
      <c r="I12" s="28"/>
      <c r="J12" s="28"/>
    </row>
    <row r="13">
      <c r="A13" s="29"/>
      <c r="B13" s="33"/>
      <c r="C13" s="67" t="s">
        <v>121</v>
      </c>
      <c r="D13" s="68">
        <f>COUNTIF('Form responses 1'!$L$2:$L$94,C13)</f>
        <v>0</v>
      </c>
      <c r="E13" s="38"/>
      <c r="F13" s="38">
        <f t="array" ref="F13">SUM(IF('Form responses 1'!$L$2:$L$94 = C13,'Form responses 1'!$I$2:$I$94*'Form responses 1'!$N$2:$N$94, ""))</f>
        <v>0</v>
      </c>
      <c r="G13" s="38"/>
      <c r="H13" s="38"/>
      <c r="I13" s="38"/>
      <c r="J13" s="38"/>
    </row>
    <row r="14">
      <c r="A14" s="29"/>
      <c r="B14" s="71" t="s">
        <v>126</v>
      </c>
      <c r="C14" s="73" t="s">
        <v>106</v>
      </c>
      <c r="D14" s="43">
        <f>COUNTIF('Form responses 1'!$M$2:$M$94,C14)</f>
        <v>0</v>
      </c>
      <c r="E14" s="44"/>
      <c r="F14" s="44">
        <f t="array" ref="F14">SUM(IF('Form responses 1'!$M$2:$M$94 = C14,'Form responses 1'!$I$2:$I$94*'Form responses 1'!$N$2:$N$94, ""))</f>
        <v>0</v>
      </c>
      <c r="G14" s="44"/>
      <c r="H14" s="44"/>
      <c r="I14" s="44"/>
      <c r="J14" s="44"/>
    </row>
    <row r="15">
      <c r="A15" s="29"/>
      <c r="B15" s="29"/>
      <c r="C15" s="64" t="s">
        <v>135</v>
      </c>
      <c r="D15" s="59">
        <f>COUNTIF('Form responses 1'!$M$2:$M$94,C15)</f>
        <v>0</v>
      </c>
      <c r="E15" s="28"/>
      <c r="F15" s="28">
        <f t="array" ref="F15">SUM(IF('Form responses 1'!$M$2:$M$94 = C15,'Form responses 1'!$I$2:$I$94*'Form responses 1'!$N$2:$N$94, ""))</f>
        <v>0</v>
      </c>
      <c r="G15" s="27" t="s">
        <v>137</v>
      </c>
      <c r="H15" s="78">
        <v>2000.0</v>
      </c>
      <c r="I15" s="80">
        <f t="shared" ref="I15:I16" si="1">H15*F15</f>
        <v>0</v>
      </c>
      <c r="J15" s="80"/>
    </row>
    <row r="16">
      <c r="A16" s="29"/>
      <c r="B16" s="29"/>
      <c r="C16" s="56" t="s">
        <v>139</v>
      </c>
      <c r="D16" s="59">
        <f>COUNTIF('Form responses 1'!$M$2:$M$94,C16)</f>
        <v>0</v>
      </c>
      <c r="E16" s="28"/>
      <c r="F16" s="28">
        <f t="array" ref="F16">SUM(IF('Form responses 1'!$M$2:$M$94 = C16,'Form responses 1'!$I$2:$I$94*'Form responses 1'!$N$2:$N$94, ""))</f>
        <v>0</v>
      </c>
      <c r="G16" s="27" t="s">
        <v>137</v>
      </c>
      <c r="H16" s="78">
        <v>2000.0</v>
      </c>
      <c r="I16" s="80">
        <f t="shared" si="1"/>
        <v>0</v>
      </c>
      <c r="J16" s="80"/>
    </row>
    <row r="17">
      <c r="A17" s="29"/>
      <c r="B17" s="29"/>
      <c r="C17" s="83" t="s">
        <v>142</v>
      </c>
      <c r="D17" s="59">
        <f>COUNTIF('Form responses 1'!$M$2:$M$94,C17)</f>
        <v>0</v>
      </c>
      <c r="E17" s="28"/>
      <c r="F17" s="28">
        <f t="array" ref="F17">SUM(IF('Form responses 1'!$M$2:$M$94 = C17,'Form responses 1'!$I$2:$I$94*'Form responses 1'!$N$2:$N$94, ""))</f>
        <v>0</v>
      </c>
      <c r="G17" s="28"/>
      <c r="H17" s="28"/>
      <c r="I17" s="28"/>
      <c r="J17" s="28"/>
    </row>
    <row r="18">
      <c r="A18" s="29"/>
      <c r="B18" s="33"/>
      <c r="C18" s="84" t="s">
        <v>145</v>
      </c>
      <c r="D18" s="85">
        <f>COUNTIF('Form responses 1'!$M$2:$M$94,C18)</f>
        <v>0</v>
      </c>
      <c r="E18" s="86"/>
      <c r="F18" s="86">
        <f t="array" ref="F18">SUM(IF('Form responses 1'!$M$2:$M$94 = C18,'Form responses 1'!$I$2:$I$94*'Form responses 1'!$N$2:$N$94, ""))</f>
        <v>0</v>
      </c>
      <c r="G18" s="86"/>
      <c r="H18" s="86"/>
      <c r="I18" s="86"/>
      <c r="J18" s="86"/>
    </row>
    <row r="19">
      <c r="A19" s="29"/>
      <c r="B19" s="40" t="s">
        <v>123</v>
      </c>
      <c r="C19" s="93" t="s">
        <v>107</v>
      </c>
      <c r="D19" s="94"/>
      <c r="E19" s="95"/>
      <c r="F19" s="95"/>
      <c r="G19" s="95"/>
      <c r="H19" s="95"/>
      <c r="I19" s="95"/>
      <c r="J19" s="95"/>
    </row>
    <row r="20">
      <c r="A20" s="29"/>
      <c r="B20" s="29"/>
      <c r="C20" s="30" t="s">
        <v>116</v>
      </c>
      <c r="D20" s="59"/>
      <c r="E20" s="28"/>
      <c r="F20" s="28"/>
      <c r="G20" s="28"/>
      <c r="H20" s="28"/>
      <c r="I20" s="28"/>
      <c r="J20" s="28"/>
    </row>
    <row r="21">
      <c r="A21" s="29"/>
      <c r="B21" s="29"/>
      <c r="C21" s="97" t="s">
        <v>129</v>
      </c>
      <c r="D21" s="59"/>
      <c r="E21" s="28"/>
      <c r="F21" s="28"/>
      <c r="G21" s="28"/>
      <c r="H21" s="28"/>
      <c r="I21" s="28"/>
      <c r="J21" s="28"/>
    </row>
    <row r="22">
      <c r="A22" s="29"/>
      <c r="B22" s="29"/>
      <c r="C22" s="98" t="s">
        <v>152</v>
      </c>
      <c r="D22" s="28"/>
      <c r="E22" s="28"/>
      <c r="F22" s="28"/>
      <c r="G22" s="28"/>
      <c r="H22" s="28"/>
      <c r="I22" s="28"/>
      <c r="J22" s="28"/>
    </row>
    <row r="23">
      <c r="A23" s="33"/>
      <c r="B23" s="33"/>
      <c r="C23" s="100" t="s">
        <v>111</v>
      </c>
      <c r="D23" s="59"/>
      <c r="E23" s="28"/>
      <c r="F23" s="28"/>
      <c r="G23" s="28"/>
      <c r="H23" s="28"/>
      <c r="I23" s="28"/>
      <c r="J23" s="28"/>
    </row>
    <row r="24">
      <c r="A24" s="101" t="s">
        <v>154</v>
      </c>
      <c r="B24" s="102" t="s">
        <v>155</v>
      </c>
      <c r="C24" s="103" t="s">
        <v>115</v>
      </c>
      <c r="D24" s="104">
        <f>COUNTIF('Form responses 1'!$Q$2:$Q$94,C24)+COUNTIF('Form responses 1'!$AB$2:$AB$94,C24)</f>
        <v>0</v>
      </c>
      <c r="E24" s="105"/>
      <c r="F24" s="105"/>
      <c r="G24" s="105"/>
      <c r="H24" s="105"/>
      <c r="I24" s="105"/>
      <c r="J24" s="105"/>
    </row>
    <row r="25">
      <c r="A25" s="29"/>
      <c r="B25" s="29"/>
      <c r="C25" s="106" t="s">
        <v>160</v>
      </c>
      <c r="D25" s="59">
        <f>COUNTIF('Form responses 1'!$Q$2:$Q$94,C25)+COUNTIF('Form responses 1'!$AB$2:$AB$94,C25)</f>
        <v>0</v>
      </c>
      <c r="E25" s="28"/>
      <c r="F25" s="28"/>
      <c r="G25" s="28"/>
      <c r="H25" s="28"/>
      <c r="I25" s="28"/>
      <c r="J25" s="28"/>
    </row>
    <row r="26">
      <c r="A26" s="29"/>
      <c r="B26" s="29"/>
      <c r="C26" s="107" t="s">
        <v>161</v>
      </c>
      <c r="D26" s="59">
        <f>COUNTIF('Form responses 1'!$Q$2:$Q$94,C26)+COUNTIF('Form responses 1'!$AB$2:$AB$94,C26)</f>
        <v>0</v>
      </c>
      <c r="E26" s="28"/>
      <c r="F26" s="28"/>
      <c r="G26" s="28"/>
      <c r="H26" s="28"/>
      <c r="I26" s="28"/>
      <c r="J26" s="28"/>
    </row>
    <row r="27">
      <c r="A27" s="29"/>
      <c r="B27" s="29"/>
      <c r="C27" s="108" t="s">
        <v>162</v>
      </c>
      <c r="D27" s="59">
        <f>COUNTIF('Form responses 1'!$Q$2:$Q$94,C27)+COUNTIF('Form responses 1'!$AB$2:$AB$94,C27)</f>
        <v>0</v>
      </c>
      <c r="E27" s="28"/>
      <c r="F27" s="28"/>
      <c r="G27" s="28"/>
      <c r="H27" s="28"/>
      <c r="I27" s="28"/>
      <c r="J27" s="28"/>
    </row>
    <row r="28">
      <c r="A28" s="29"/>
      <c r="B28" s="29"/>
      <c r="C28" s="108" t="s">
        <v>165</v>
      </c>
      <c r="D28" s="59">
        <f>COUNTIF('Form responses 1'!$Q$2:$Q$94,C28)+COUNTIF('Form responses 1'!$AB$2:$AB$94,C28)</f>
        <v>0</v>
      </c>
      <c r="E28" s="28"/>
      <c r="F28" s="28"/>
      <c r="G28" s="28"/>
      <c r="H28" s="28"/>
      <c r="I28" s="28"/>
      <c r="J28" s="28"/>
    </row>
    <row r="29">
      <c r="A29" s="29"/>
      <c r="B29" s="29"/>
      <c r="C29" s="108" t="s">
        <v>168</v>
      </c>
      <c r="D29" s="59">
        <f>COUNTIF('Form responses 1'!$Q$2:$Q$94,C29)+COUNTIF('Form responses 1'!$AB$2:$AB$94,C29)</f>
        <v>0</v>
      </c>
      <c r="E29" s="28"/>
      <c r="F29" s="28"/>
      <c r="G29" s="28"/>
      <c r="H29" s="28"/>
      <c r="I29" s="28"/>
      <c r="J29" s="28"/>
    </row>
    <row r="30">
      <c r="A30" s="29"/>
      <c r="B30" s="29"/>
      <c r="C30" s="30" t="s">
        <v>171</v>
      </c>
      <c r="D30" s="59">
        <f>COUNTIF('Form responses 1'!$Q$2:$Q$94,C30)+COUNTIF('Form responses 1'!$AB$2:$AB$94,C30)</f>
        <v>0</v>
      </c>
      <c r="E30" s="28"/>
      <c r="F30" s="28"/>
      <c r="G30" s="28"/>
      <c r="H30" s="28"/>
      <c r="I30" s="28"/>
      <c r="J30" s="28"/>
    </row>
    <row r="31">
      <c r="A31" s="29"/>
      <c r="B31" s="29"/>
      <c r="C31" s="109" t="s">
        <v>179</v>
      </c>
      <c r="D31" s="59">
        <f>COUNTIF('Form responses 1'!$Q$2:$Q$94,C31)+COUNTIF('Form responses 1'!$AB$2:$AB$94,C31)</f>
        <v>0</v>
      </c>
      <c r="E31" s="28"/>
      <c r="F31" s="28"/>
      <c r="G31" s="28"/>
      <c r="H31" s="28"/>
      <c r="I31" s="28"/>
      <c r="J31" s="28"/>
    </row>
    <row r="32">
      <c r="A32" s="29"/>
      <c r="B32" s="29"/>
      <c r="C32" s="111" t="s">
        <v>179</v>
      </c>
      <c r="D32" s="59">
        <f>COUNTIF('Form responses 1'!$Q$2:$Q$94,C32)+COUNTIF('Form responses 1'!$AB$2:$AB$94,C32)</f>
        <v>0</v>
      </c>
      <c r="E32" s="28"/>
      <c r="F32" s="28"/>
      <c r="G32" s="28"/>
      <c r="H32" s="28"/>
      <c r="I32" s="28"/>
      <c r="J32" s="28"/>
    </row>
    <row r="33">
      <c r="A33" s="29"/>
      <c r="B33" s="33"/>
      <c r="C33" s="113" t="s">
        <v>111</v>
      </c>
      <c r="D33" s="68">
        <f>COUNTIF('Form responses 1'!$Q$2:$Q$94,C33)+COUNTIF('Form responses 1'!$AB$2:$AB$94,C33)</f>
        <v>0</v>
      </c>
      <c r="E33" s="38"/>
      <c r="F33" s="38"/>
      <c r="G33" s="38"/>
      <c r="H33" s="38"/>
      <c r="I33" s="38"/>
      <c r="J33" s="38"/>
    </row>
    <row r="34">
      <c r="A34" s="29"/>
      <c r="B34" s="40" t="s">
        <v>123</v>
      </c>
      <c r="C34" s="73" t="s">
        <v>107</v>
      </c>
      <c r="D34" s="43"/>
      <c r="E34" s="44"/>
      <c r="F34" s="44"/>
      <c r="G34" s="44"/>
      <c r="H34" s="44"/>
      <c r="I34" s="44"/>
      <c r="J34" s="44"/>
    </row>
    <row r="35">
      <c r="A35" s="29"/>
      <c r="B35" s="29"/>
      <c r="C35" s="30" t="s">
        <v>116</v>
      </c>
      <c r="D35" s="59"/>
      <c r="E35" s="28"/>
      <c r="F35" s="28"/>
      <c r="G35" s="28"/>
      <c r="H35" s="28"/>
      <c r="I35" s="28"/>
      <c r="J35" s="28"/>
    </row>
    <row r="36">
      <c r="A36" s="29"/>
      <c r="B36" s="29"/>
      <c r="C36" s="109" t="s">
        <v>194</v>
      </c>
      <c r="D36" s="59"/>
      <c r="E36" s="28"/>
      <c r="F36" s="28"/>
      <c r="G36" s="28"/>
      <c r="H36" s="28"/>
      <c r="I36" s="28"/>
      <c r="J36" s="28"/>
    </row>
    <row r="37">
      <c r="A37" s="29"/>
      <c r="B37" s="29"/>
      <c r="C37" s="97" t="s">
        <v>129</v>
      </c>
      <c r="D37" s="28"/>
      <c r="E37" s="28"/>
      <c r="F37" s="28"/>
      <c r="G37" s="28"/>
      <c r="H37" s="28"/>
      <c r="I37" s="28"/>
      <c r="J37" s="28"/>
    </row>
    <row r="38">
      <c r="A38" s="29"/>
      <c r="B38" s="29"/>
      <c r="C38" s="98" t="s">
        <v>152</v>
      </c>
      <c r="D38" s="59"/>
      <c r="E38" s="28"/>
      <c r="F38" s="28"/>
      <c r="G38" s="28"/>
      <c r="H38" s="28"/>
      <c r="I38" s="28"/>
      <c r="J38" s="28"/>
    </row>
    <row r="39">
      <c r="A39" s="33"/>
      <c r="B39" s="33"/>
      <c r="C39" s="100" t="s">
        <v>111</v>
      </c>
      <c r="D39" s="114"/>
      <c r="E39" s="115"/>
      <c r="F39" s="115"/>
      <c r="G39" s="115"/>
      <c r="H39" s="115"/>
      <c r="I39" s="115"/>
      <c r="J39" s="115"/>
    </row>
    <row r="40">
      <c r="A40" s="101" t="s">
        <v>199</v>
      </c>
      <c r="B40" s="116"/>
      <c r="C40" s="117" t="s">
        <v>120</v>
      </c>
      <c r="D40" s="105"/>
      <c r="E40" s="105"/>
      <c r="F40" s="105"/>
      <c r="G40" s="105"/>
      <c r="H40" s="105"/>
      <c r="I40" s="105"/>
      <c r="J40" s="105"/>
    </row>
    <row r="41">
      <c r="A41" s="29"/>
      <c r="B41" s="29"/>
      <c r="C41" s="119" t="s">
        <v>197</v>
      </c>
      <c r="D41" s="28"/>
      <c r="E41" s="28"/>
      <c r="F41" s="28"/>
      <c r="G41" s="28"/>
      <c r="H41" s="28"/>
      <c r="I41" s="28"/>
      <c r="J41" s="28"/>
    </row>
    <row r="42">
      <c r="A42" s="29"/>
      <c r="B42" s="29"/>
      <c r="C42" s="97" t="s">
        <v>203</v>
      </c>
      <c r="D42" s="28"/>
      <c r="E42" s="28"/>
      <c r="F42" s="28"/>
      <c r="G42" s="28"/>
      <c r="H42" s="28"/>
      <c r="I42" s="28"/>
      <c r="J42" s="28"/>
    </row>
    <row r="43">
      <c r="A43" s="29"/>
      <c r="B43" s="33"/>
      <c r="C43" s="120" t="s">
        <v>116</v>
      </c>
      <c r="D43" s="38"/>
      <c r="E43" s="38"/>
      <c r="F43" s="38"/>
      <c r="G43" s="38"/>
      <c r="H43" s="38"/>
      <c r="I43" s="38"/>
      <c r="J43" s="38"/>
    </row>
    <row r="44">
      <c r="A44" s="29"/>
      <c r="B44" s="40" t="s">
        <v>123</v>
      </c>
      <c r="C44" s="73" t="s">
        <v>107</v>
      </c>
      <c r="D44" s="44"/>
      <c r="E44" s="44"/>
      <c r="F44" s="44"/>
      <c r="G44" s="44"/>
      <c r="H44" s="44"/>
      <c r="I44" s="44"/>
      <c r="J44" s="44"/>
    </row>
    <row r="45">
      <c r="A45" s="29"/>
      <c r="B45" s="29"/>
      <c r="C45" s="30" t="s">
        <v>116</v>
      </c>
      <c r="D45" s="28"/>
      <c r="E45" s="28"/>
      <c r="F45" s="28"/>
      <c r="G45" s="28"/>
      <c r="H45" s="28"/>
      <c r="I45" s="28"/>
      <c r="J45" s="28"/>
    </row>
    <row r="46">
      <c r="A46" s="29"/>
      <c r="B46" s="29"/>
      <c r="C46" s="109" t="s">
        <v>194</v>
      </c>
      <c r="D46" s="28"/>
      <c r="E46" s="28"/>
      <c r="F46" s="28"/>
      <c r="G46" s="28"/>
      <c r="H46" s="28"/>
      <c r="I46" s="28"/>
      <c r="J46" s="28"/>
    </row>
    <row r="47">
      <c r="A47" s="29"/>
      <c r="B47" s="29"/>
      <c r="C47" s="97" t="s">
        <v>129</v>
      </c>
      <c r="D47" s="28"/>
      <c r="E47" s="28"/>
      <c r="F47" s="28"/>
      <c r="G47" s="28"/>
      <c r="H47" s="28"/>
      <c r="I47" s="28"/>
      <c r="J47" s="28"/>
    </row>
    <row r="48">
      <c r="A48" s="29"/>
      <c r="B48" s="29"/>
      <c r="C48" s="98" t="s">
        <v>152</v>
      </c>
      <c r="D48" s="28"/>
      <c r="E48" s="28"/>
      <c r="F48" s="28"/>
      <c r="G48" s="28"/>
      <c r="H48" s="28"/>
      <c r="I48" s="28"/>
      <c r="J48" s="28"/>
    </row>
    <row r="49">
      <c r="A49" s="33"/>
      <c r="B49" s="33"/>
      <c r="C49" s="100" t="s">
        <v>111</v>
      </c>
      <c r="D49" s="115"/>
      <c r="E49" s="115"/>
      <c r="F49" s="115"/>
      <c r="G49" s="115"/>
      <c r="H49" s="115"/>
      <c r="I49" s="115"/>
      <c r="J49" s="115"/>
    </row>
    <row r="50">
      <c r="A50" s="101" t="s">
        <v>209</v>
      </c>
      <c r="B50" s="102" t="s">
        <v>118</v>
      </c>
      <c r="C50" s="117" t="s">
        <v>61</v>
      </c>
      <c r="D50" s="105"/>
      <c r="E50" s="105"/>
      <c r="F50" s="105"/>
      <c r="G50" s="105"/>
      <c r="H50" s="105"/>
      <c r="I50" s="105"/>
      <c r="J50" s="105"/>
    </row>
    <row r="51">
      <c r="A51" s="29"/>
      <c r="B51" s="29"/>
      <c r="C51" s="109" t="s">
        <v>74</v>
      </c>
      <c r="D51" s="28"/>
      <c r="E51" s="28"/>
      <c r="F51" s="28"/>
      <c r="G51" s="28"/>
      <c r="H51" s="28"/>
      <c r="I51" s="28"/>
      <c r="J51" s="28"/>
    </row>
    <row r="52">
      <c r="A52" s="29"/>
      <c r="B52" s="33"/>
      <c r="C52" s="121" t="s">
        <v>116</v>
      </c>
      <c r="D52" s="86"/>
      <c r="E52" s="86"/>
      <c r="F52" s="86"/>
      <c r="G52" s="86"/>
      <c r="H52" s="86"/>
      <c r="I52" s="86"/>
      <c r="J52" s="86"/>
    </row>
    <row r="53">
      <c r="A53" s="29"/>
      <c r="B53" s="40" t="s">
        <v>119</v>
      </c>
      <c r="C53" s="93" t="s">
        <v>106</v>
      </c>
      <c r="D53" s="95"/>
      <c r="E53" s="95"/>
      <c r="F53" s="95"/>
      <c r="G53" s="95"/>
      <c r="H53" s="95"/>
      <c r="I53" s="95"/>
      <c r="J53" s="95"/>
    </row>
    <row r="54">
      <c r="A54" s="29"/>
      <c r="B54" s="29"/>
      <c r="C54" s="122" t="s">
        <v>127</v>
      </c>
      <c r="D54" s="28"/>
      <c r="E54" s="28"/>
      <c r="F54" s="28"/>
      <c r="G54" s="28"/>
      <c r="H54" s="28"/>
      <c r="I54" s="28"/>
      <c r="J54" s="28"/>
    </row>
    <row r="55">
      <c r="A55" s="29"/>
      <c r="B55" s="29"/>
      <c r="C55" s="97" t="s">
        <v>212</v>
      </c>
      <c r="D55" s="28"/>
      <c r="E55" s="28"/>
      <c r="F55" s="28"/>
      <c r="G55" s="28"/>
      <c r="H55" s="28"/>
      <c r="I55" s="28"/>
      <c r="J55" s="28"/>
    </row>
    <row r="56">
      <c r="A56" s="29"/>
      <c r="B56" s="33"/>
      <c r="C56" s="123" t="s">
        <v>216</v>
      </c>
      <c r="D56" s="86"/>
      <c r="E56" s="86"/>
      <c r="F56" s="86"/>
      <c r="G56" s="86"/>
      <c r="H56" s="86"/>
      <c r="I56" s="86"/>
      <c r="J56" s="86"/>
    </row>
    <row r="57">
      <c r="A57" s="29"/>
      <c r="B57" s="40" t="s">
        <v>123</v>
      </c>
      <c r="C57" s="93" t="s">
        <v>107</v>
      </c>
      <c r="D57" s="95"/>
      <c r="E57" s="95"/>
      <c r="F57" s="95"/>
      <c r="G57" s="95"/>
      <c r="H57" s="95"/>
      <c r="I57" s="95"/>
      <c r="J57" s="95"/>
    </row>
    <row r="58">
      <c r="A58" s="29"/>
      <c r="B58" s="29"/>
      <c r="C58" s="30" t="s">
        <v>116</v>
      </c>
      <c r="D58" s="28"/>
      <c r="E58" s="28"/>
      <c r="F58" s="28"/>
      <c r="G58" s="28"/>
      <c r="H58" s="28"/>
      <c r="I58" s="28"/>
      <c r="J58" s="28"/>
    </row>
    <row r="59">
      <c r="A59" s="29"/>
      <c r="B59" s="29"/>
      <c r="C59" s="109" t="s">
        <v>194</v>
      </c>
      <c r="D59" s="28"/>
      <c r="E59" s="28"/>
      <c r="F59" s="28"/>
      <c r="G59" s="28"/>
      <c r="H59" s="28"/>
      <c r="I59" s="28"/>
      <c r="J59" s="28"/>
    </row>
    <row r="60">
      <c r="A60" s="29"/>
      <c r="B60" s="29"/>
      <c r="C60" s="97" t="s">
        <v>129</v>
      </c>
      <c r="D60" s="28"/>
      <c r="E60" s="28"/>
      <c r="F60" s="28"/>
      <c r="G60" s="28"/>
      <c r="H60" s="28"/>
      <c r="I60" s="28"/>
      <c r="J60" s="28"/>
    </row>
    <row r="61">
      <c r="A61" s="29"/>
      <c r="B61" s="29"/>
      <c r="C61" s="98" t="s">
        <v>152</v>
      </c>
      <c r="D61" s="28"/>
      <c r="E61" s="28"/>
      <c r="F61" s="28"/>
      <c r="G61" s="28"/>
      <c r="H61" s="28"/>
      <c r="I61" s="28"/>
      <c r="J61" s="28"/>
    </row>
    <row r="62">
      <c r="A62" s="33"/>
      <c r="B62" s="33"/>
      <c r="C62" s="100" t="s">
        <v>111</v>
      </c>
      <c r="D62" s="115"/>
      <c r="E62" s="115"/>
      <c r="F62" s="115"/>
      <c r="G62" s="115"/>
      <c r="H62" s="115"/>
      <c r="I62" s="115"/>
      <c r="J62" s="115"/>
    </row>
    <row r="63">
      <c r="A63" s="101" t="s">
        <v>221</v>
      </c>
      <c r="B63" s="102" t="s">
        <v>118</v>
      </c>
      <c r="C63" s="117" t="s">
        <v>61</v>
      </c>
      <c r="D63" s="105"/>
      <c r="E63" s="105"/>
      <c r="F63" s="105"/>
      <c r="G63" s="105"/>
      <c r="H63" s="105"/>
      <c r="I63" s="105"/>
      <c r="J63" s="105"/>
    </row>
    <row r="64">
      <c r="A64" s="29"/>
      <c r="B64" s="29"/>
      <c r="C64" s="109" t="s">
        <v>74</v>
      </c>
      <c r="D64" s="28"/>
      <c r="E64" s="28"/>
      <c r="F64" s="28"/>
      <c r="G64" s="28"/>
      <c r="H64" s="28"/>
      <c r="I64" s="28"/>
      <c r="J64" s="28"/>
    </row>
    <row r="65">
      <c r="A65" s="29"/>
      <c r="B65" s="33"/>
      <c r="C65" s="121" t="s">
        <v>116</v>
      </c>
      <c r="D65" s="86"/>
      <c r="E65" s="86"/>
      <c r="F65" s="86"/>
      <c r="G65" s="86"/>
      <c r="H65" s="86"/>
      <c r="I65" s="86"/>
      <c r="J65" s="86"/>
    </row>
    <row r="66">
      <c r="A66" s="29"/>
      <c r="B66" s="40" t="s">
        <v>123</v>
      </c>
      <c r="C66" s="93" t="s">
        <v>107</v>
      </c>
      <c r="D66" s="95"/>
      <c r="E66" s="95"/>
      <c r="F66" s="95"/>
      <c r="G66" s="95"/>
      <c r="H66" s="95"/>
      <c r="I66" s="95"/>
      <c r="J66" s="95"/>
    </row>
    <row r="67">
      <c r="A67" s="29"/>
      <c r="B67" s="29"/>
      <c r="C67" s="30" t="s">
        <v>116</v>
      </c>
      <c r="D67" s="28"/>
      <c r="E67" s="28"/>
      <c r="F67" s="28"/>
      <c r="G67" s="28"/>
      <c r="H67" s="28"/>
      <c r="I67" s="28"/>
      <c r="J67" s="28"/>
    </row>
    <row r="68">
      <c r="A68" s="29"/>
      <c r="B68" s="29"/>
      <c r="C68" s="109" t="s">
        <v>194</v>
      </c>
      <c r="D68" s="28"/>
      <c r="E68" s="28"/>
      <c r="F68" s="28"/>
      <c r="G68" s="28"/>
      <c r="H68" s="28"/>
      <c r="I68" s="28"/>
      <c r="J68" s="28"/>
    </row>
    <row r="69">
      <c r="A69" s="29"/>
      <c r="B69" s="29"/>
      <c r="C69" s="97" t="s">
        <v>129</v>
      </c>
      <c r="D69" s="28"/>
      <c r="E69" s="28"/>
      <c r="F69" s="28"/>
      <c r="G69" s="28"/>
      <c r="H69" s="28"/>
      <c r="I69" s="28"/>
      <c r="J69" s="28"/>
    </row>
    <row r="70">
      <c r="A70" s="29"/>
      <c r="B70" s="29"/>
      <c r="C70" s="98" t="s">
        <v>152</v>
      </c>
      <c r="D70" s="28"/>
      <c r="E70" s="28"/>
      <c r="F70" s="28"/>
      <c r="G70" s="28"/>
      <c r="H70" s="28"/>
      <c r="I70" s="28"/>
      <c r="J70" s="28"/>
    </row>
    <row r="71">
      <c r="A71" s="33"/>
      <c r="B71" s="33"/>
      <c r="C71" s="100" t="s">
        <v>111</v>
      </c>
      <c r="D71" s="115"/>
      <c r="E71" s="115"/>
      <c r="F71" s="115"/>
      <c r="G71" s="115"/>
      <c r="H71" s="115"/>
      <c r="I71" s="115"/>
      <c r="J71" s="115"/>
    </row>
    <row r="72">
      <c r="A72" s="101" t="s">
        <v>227</v>
      </c>
      <c r="B72" s="102" t="s">
        <v>119</v>
      </c>
      <c r="C72" s="126" t="s">
        <v>153</v>
      </c>
      <c r="D72" s="105"/>
      <c r="E72" s="105"/>
      <c r="F72" s="105"/>
      <c r="G72" s="105"/>
      <c r="H72" s="105"/>
      <c r="I72" s="105"/>
      <c r="J72" s="105"/>
    </row>
    <row r="73">
      <c r="A73" s="29"/>
      <c r="B73" s="29"/>
      <c r="C73" s="127" t="s">
        <v>133</v>
      </c>
      <c r="D73" s="28"/>
      <c r="E73" s="28"/>
      <c r="F73" s="28"/>
      <c r="G73" s="28"/>
      <c r="H73" s="28"/>
      <c r="I73" s="28"/>
      <c r="J73" s="28"/>
    </row>
    <row r="74">
      <c r="A74" s="29"/>
      <c r="B74" s="29"/>
      <c r="C74" s="128" t="s">
        <v>230</v>
      </c>
      <c r="D74" s="28"/>
      <c r="E74" s="28"/>
      <c r="F74" s="28"/>
      <c r="G74" s="28"/>
      <c r="H74" s="28"/>
      <c r="I74" s="28"/>
      <c r="J74" s="28"/>
    </row>
    <row r="75">
      <c r="A75" s="29"/>
      <c r="B75" s="29"/>
      <c r="C75" s="97" t="s">
        <v>232</v>
      </c>
      <c r="D75" s="28"/>
      <c r="E75" s="28"/>
      <c r="F75" s="28"/>
      <c r="G75" s="28"/>
      <c r="H75" s="28"/>
      <c r="I75" s="28"/>
      <c r="J75" s="28"/>
    </row>
    <row r="76">
      <c r="A76" s="29"/>
      <c r="B76" s="29"/>
      <c r="C76" s="30" t="s">
        <v>116</v>
      </c>
      <c r="D76" s="28"/>
      <c r="E76" s="28"/>
      <c r="F76" s="28"/>
      <c r="G76" s="28"/>
      <c r="H76" s="28"/>
      <c r="I76" s="28"/>
      <c r="J76" s="28"/>
    </row>
    <row r="77">
      <c r="A77" s="29"/>
      <c r="B77" s="33"/>
      <c r="C77" s="113" t="s">
        <v>111</v>
      </c>
      <c r="D77" s="86"/>
      <c r="E77" s="86"/>
      <c r="F77" s="86"/>
      <c r="G77" s="86"/>
      <c r="H77" s="86"/>
      <c r="I77" s="86"/>
      <c r="J77" s="86"/>
    </row>
    <row r="78">
      <c r="A78" s="29"/>
      <c r="B78" s="40" t="s">
        <v>123</v>
      </c>
      <c r="C78" s="93" t="s">
        <v>107</v>
      </c>
      <c r="D78" s="95"/>
      <c r="E78" s="95"/>
      <c r="F78" s="95"/>
      <c r="G78" s="95"/>
      <c r="H78" s="95"/>
      <c r="I78" s="95"/>
      <c r="J78" s="95"/>
    </row>
    <row r="79">
      <c r="A79" s="29"/>
      <c r="B79" s="29"/>
      <c r="C79" s="30" t="s">
        <v>116</v>
      </c>
      <c r="D79" s="28"/>
      <c r="E79" s="28"/>
      <c r="F79" s="28"/>
      <c r="G79" s="28"/>
      <c r="H79" s="28"/>
      <c r="I79" s="28"/>
      <c r="J79" s="28"/>
    </row>
    <row r="80">
      <c r="A80" s="29"/>
      <c r="B80" s="29"/>
      <c r="C80" s="109" t="s">
        <v>194</v>
      </c>
      <c r="D80" s="28"/>
      <c r="E80" s="28"/>
      <c r="F80" s="28"/>
      <c r="G80" s="28"/>
      <c r="H80" s="28"/>
      <c r="I80" s="28"/>
      <c r="J80" s="28"/>
    </row>
    <row r="81">
      <c r="A81" s="29"/>
      <c r="B81" s="29"/>
      <c r="C81" s="97" t="s">
        <v>129</v>
      </c>
      <c r="D81" s="28"/>
      <c r="E81" s="28"/>
      <c r="F81" s="28"/>
      <c r="G81" s="28"/>
      <c r="H81" s="28"/>
      <c r="I81" s="28"/>
      <c r="J81" s="28"/>
    </row>
    <row r="82">
      <c r="A82" s="29"/>
      <c r="B82" s="29"/>
      <c r="C82" s="98" t="s">
        <v>152</v>
      </c>
      <c r="D82" s="28"/>
      <c r="E82" s="28"/>
      <c r="F82" s="28"/>
      <c r="G82" s="28"/>
      <c r="H82" s="28"/>
      <c r="I82" s="28"/>
      <c r="J82" s="28"/>
    </row>
    <row r="83">
      <c r="A83" s="33"/>
      <c r="B83" s="33"/>
      <c r="C83" s="100" t="s">
        <v>111</v>
      </c>
      <c r="D83" s="115"/>
      <c r="E83" s="115"/>
      <c r="F83" s="115"/>
      <c r="G83" s="115"/>
      <c r="H83" s="115"/>
      <c r="I83" s="115"/>
      <c r="J83" s="115"/>
    </row>
    <row r="84">
      <c r="A84" s="129"/>
      <c r="B84" s="130"/>
      <c r="C84" s="131" t="s">
        <v>149</v>
      </c>
    </row>
    <row r="85">
      <c r="A85" s="129"/>
      <c r="B85" s="130"/>
      <c r="C85" s="132" t="s">
        <v>108</v>
      </c>
    </row>
    <row r="86">
      <c r="A86" s="129"/>
      <c r="B86" s="130"/>
      <c r="C86" s="133" t="s">
        <v>174</v>
      </c>
    </row>
    <row r="87">
      <c r="A87" s="129"/>
      <c r="B87" s="130"/>
      <c r="C87" s="134" t="s">
        <v>114</v>
      </c>
    </row>
    <row r="88">
      <c r="A88" s="129"/>
      <c r="B88" s="130"/>
      <c r="C88" s="135" t="s">
        <v>103</v>
      </c>
    </row>
    <row r="89">
      <c r="A89" s="129"/>
      <c r="B89" s="130"/>
      <c r="C89" s="136"/>
    </row>
    <row r="90">
      <c r="A90" s="129"/>
      <c r="B90" s="130"/>
      <c r="C90" s="136"/>
    </row>
  </sheetData>
  <mergeCells count="26">
    <mergeCell ref="B1:C1"/>
    <mergeCell ref="B2:C2"/>
    <mergeCell ref="B3:C3"/>
    <mergeCell ref="B4:C4"/>
    <mergeCell ref="D4:E4"/>
    <mergeCell ref="A7:A23"/>
    <mergeCell ref="B7:B9"/>
    <mergeCell ref="B19:B23"/>
    <mergeCell ref="A40:A49"/>
    <mergeCell ref="A50:A62"/>
    <mergeCell ref="A63:A71"/>
    <mergeCell ref="A72:A83"/>
    <mergeCell ref="B50:B52"/>
    <mergeCell ref="B53:B56"/>
    <mergeCell ref="B57:B62"/>
    <mergeCell ref="B63:B65"/>
    <mergeCell ref="B66:B71"/>
    <mergeCell ref="B72:B77"/>
    <mergeCell ref="B78:B83"/>
    <mergeCell ref="B10:B13"/>
    <mergeCell ref="B14:B18"/>
    <mergeCell ref="A24:A39"/>
    <mergeCell ref="B24:B33"/>
    <mergeCell ref="B34:B39"/>
    <mergeCell ref="B40:B43"/>
    <mergeCell ref="B44:B49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7.63"/>
    <col customWidth="1" min="9" max="9" width="10.0"/>
    <col customWidth="1" min="10" max="10" width="16.38"/>
    <col customWidth="1" min="13" max="13" width="15.38"/>
    <col customWidth="1" min="18" max="18" width="15.38"/>
    <col customWidth="1" min="23" max="23" width="15.38"/>
    <col customWidth="1" min="29" max="29" width="15.38"/>
    <col customWidth="1" min="34" max="34" width="15.38"/>
    <col customWidth="1" min="40" max="40" width="15.38"/>
    <col customWidth="1" min="45" max="45" width="15.38"/>
    <col customWidth="1" min="47" max="47" width="11.25"/>
    <col customWidth="1" min="51" max="51" width="15.38"/>
    <col customWidth="1" min="52" max="52" width="11.25"/>
    <col customWidth="1" min="53" max="53" width="15.38"/>
    <col customWidth="1" min="56" max="56" width="15.38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6"/>
      <c r="K1" s="4"/>
      <c r="L1" s="4"/>
      <c r="M1" s="4"/>
      <c r="N1" s="7"/>
      <c r="O1" s="4"/>
      <c r="P1" s="4"/>
      <c r="Q1" s="4"/>
      <c r="R1" s="4"/>
      <c r="S1" s="4"/>
      <c r="T1" s="4"/>
      <c r="U1" s="4"/>
      <c r="V1" s="4"/>
      <c r="W1" s="4"/>
      <c r="X1" s="4"/>
      <c r="Y1" s="7"/>
      <c r="Z1" s="4"/>
      <c r="AA1" s="4"/>
      <c r="AB1" s="4"/>
      <c r="AC1" s="4"/>
      <c r="AD1" s="4"/>
      <c r="AE1" s="4"/>
      <c r="AF1" s="4"/>
      <c r="AG1" s="4"/>
      <c r="AH1" s="4"/>
      <c r="AI1" s="4"/>
      <c r="AJ1" s="7"/>
      <c r="AK1" s="4"/>
      <c r="AL1" s="4"/>
      <c r="AM1" s="4"/>
      <c r="AN1" s="4"/>
      <c r="AO1" s="4"/>
      <c r="AP1" s="4"/>
      <c r="AQ1" s="4"/>
      <c r="AR1" s="4"/>
      <c r="AS1" s="4"/>
      <c r="AT1" s="4"/>
      <c r="AU1" s="7"/>
      <c r="AV1" s="4"/>
      <c r="AW1" s="4"/>
      <c r="AX1" s="4"/>
      <c r="AY1" s="4"/>
      <c r="AZ1" s="7"/>
      <c r="BA1" s="4"/>
      <c r="BB1" s="4"/>
      <c r="BC1" s="7"/>
      <c r="BD1" s="4"/>
    </row>
    <row r="2">
      <c r="A2" s="11" t="s">
        <v>21</v>
      </c>
      <c r="B2" s="15" t="s">
        <v>27</v>
      </c>
      <c r="C2" s="17"/>
      <c r="D2" s="17"/>
      <c r="E2" s="18"/>
      <c r="F2" s="19" t="s">
        <v>38</v>
      </c>
      <c r="G2" s="19" t="s">
        <v>45</v>
      </c>
      <c r="H2" s="19" t="s">
        <v>47</v>
      </c>
      <c r="I2" s="21" t="s">
        <v>48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/>
      <c r="AJ2" s="25" t="s">
        <v>65</v>
      </c>
      <c r="AK2" s="17"/>
      <c r="AL2" s="17"/>
      <c r="AM2" s="17"/>
      <c r="AN2" s="17"/>
      <c r="AO2" s="17"/>
      <c r="AP2" s="17"/>
      <c r="AQ2" s="17"/>
      <c r="AR2" s="17"/>
      <c r="AS2" s="17"/>
      <c r="AT2" s="18"/>
      <c r="AU2" s="31" t="s">
        <v>73</v>
      </c>
      <c r="AV2" s="17"/>
      <c r="AW2" s="17"/>
      <c r="AX2" s="17"/>
      <c r="AY2" s="18"/>
      <c r="AZ2" s="32" t="s">
        <v>78</v>
      </c>
      <c r="BA2" s="17"/>
      <c r="BB2" s="18"/>
      <c r="BC2" s="35" t="s">
        <v>82</v>
      </c>
      <c r="BD2" s="18"/>
    </row>
    <row r="3">
      <c r="A3" s="39" t="s">
        <v>7</v>
      </c>
      <c r="B3" s="39" t="s">
        <v>90</v>
      </c>
      <c r="C3" s="39" t="s">
        <v>94</v>
      </c>
      <c r="D3" s="39" t="s">
        <v>95</v>
      </c>
      <c r="E3" s="39" t="s">
        <v>96</v>
      </c>
      <c r="F3" s="39" t="s">
        <v>13</v>
      </c>
      <c r="G3" s="39" t="s">
        <v>98</v>
      </c>
      <c r="H3" s="39" t="s">
        <v>101</v>
      </c>
      <c r="I3" s="49" t="s">
        <v>102</v>
      </c>
      <c r="J3" s="17"/>
      <c r="K3" s="17"/>
      <c r="L3" s="17"/>
      <c r="M3" s="18"/>
      <c r="N3" s="53" t="s">
        <v>104</v>
      </c>
      <c r="O3" s="17"/>
      <c r="P3" s="17"/>
      <c r="Q3" s="17"/>
      <c r="R3" s="17"/>
      <c r="S3" s="17"/>
      <c r="T3" s="17"/>
      <c r="U3" s="17"/>
      <c r="V3" s="17"/>
      <c r="W3" s="17"/>
      <c r="X3" s="18"/>
      <c r="Y3" s="55" t="s">
        <v>109</v>
      </c>
      <c r="Z3" s="17"/>
      <c r="AA3" s="17"/>
      <c r="AB3" s="17"/>
      <c r="AC3" s="17"/>
      <c r="AD3" s="17"/>
      <c r="AE3" s="17"/>
      <c r="AF3" s="17"/>
      <c r="AG3" s="17"/>
      <c r="AH3" s="17"/>
      <c r="AI3" s="18"/>
      <c r="AJ3" s="60" t="s">
        <v>113</v>
      </c>
      <c r="AK3" s="17"/>
      <c r="AL3" s="17"/>
      <c r="AM3" s="17"/>
      <c r="AN3" s="17"/>
      <c r="AO3" s="18"/>
      <c r="AP3" s="60" t="s">
        <v>117</v>
      </c>
      <c r="AQ3" s="17"/>
      <c r="AR3" s="17"/>
      <c r="AS3" s="17"/>
      <c r="AT3" s="18"/>
      <c r="AU3" s="65" t="s">
        <v>118</v>
      </c>
      <c r="AV3" s="65" t="s">
        <v>119</v>
      </c>
      <c r="AW3" s="66"/>
      <c r="AX3" s="65" t="s">
        <v>122</v>
      </c>
      <c r="AY3" s="65" t="s">
        <v>123</v>
      </c>
      <c r="AZ3" s="65" t="s">
        <v>118</v>
      </c>
      <c r="BA3" s="65" t="s">
        <v>123</v>
      </c>
      <c r="BB3" s="65" t="s">
        <v>124</v>
      </c>
      <c r="BC3" s="65" t="s">
        <v>89</v>
      </c>
      <c r="BD3" s="65" t="s">
        <v>123</v>
      </c>
    </row>
    <row r="4">
      <c r="A4" s="29"/>
      <c r="B4" s="29"/>
      <c r="C4" s="29"/>
      <c r="D4" s="29"/>
      <c r="E4" s="29"/>
      <c r="F4" s="29"/>
      <c r="G4" s="33"/>
      <c r="H4" s="29"/>
      <c r="I4" s="69" t="s">
        <v>16</v>
      </c>
      <c r="J4" s="72" t="s">
        <v>17</v>
      </c>
      <c r="K4" s="69" t="s">
        <v>19</v>
      </c>
      <c r="L4" s="74" t="s">
        <v>128</v>
      </c>
      <c r="M4" s="74" t="s">
        <v>123</v>
      </c>
      <c r="N4" s="74" t="s">
        <v>130</v>
      </c>
      <c r="O4" s="74" t="s">
        <v>131</v>
      </c>
      <c r="P4" s="74" t="s">
        <v>128</v>
      </c>
      <c r="Q4" s="74" t="s">
        <v>132</v>
      </c>
      <c r="R4" s="74" t="s">
        <v>123</v>
      </c>
      <c r="S4" s="74" t="s">
        <v>39</v>
      </c>
      <c r="T4" s="74" t="s">
        <v>134</v>
      </c>
      <c r="U4" s="74" t="s">
        <v>128</v>
      </c>
      <c r="V4" s="74" t="s">
        <v>132</v>
      </c>
      <c r="W4" s="74" t="s">
        <v>123</v>
      </c>
      <c r="X4" s="74" t="s">
        <v>39</v>
      </c>
      <c r="Y4" s="74" t="s">
        <v>130</v>
      </c>
      <c r="Z4" s="74" t="s">
        <v>131</v>
      </c>
      <c r="AA4" s="74" t="s">
        <v>136</v>
      </c>
      <c r="AB4" s="74" t="s">
        <v>132</v>
      </c>
      <c r="AC4" s="74" t="s">
        <v>123</v>
      </c>
      <c r="AD4" s="74" t="s">
        <v>39</v>
      </c>
      <c r="AE4" s="74" t="s">
        <v>134</v>
      </c>
      <c r="AF4" s="74" t="s">
        <v>128</v>
      </c>
      <c r="AG4" s="74" t="s">
        <v>132</v>
      </c>
      <c r="AH4" s="74" t="s">
        <v>123</v>
      </c>
      <c r="AI4" s="74" t="s">
        <v>39</v>
      </c>
      <c r="AJ4" s="74" t="s">
        <v>130</v>
      </c>
      <c r="AK4" s="81"/>
      <c r="AL4" s="74" t="s">
        <v>128</v>
      </c>
      <c r="AM4" s="74" t="s">
        <v>132</v>
      </c>
      <c r="AN4" s="74" t="s">
        <v>123</v>
      </c>
      <c r="AO4" s="74" t="s">
        <v>39</v>
      </c>
      <c r="AP4" s="74" t="s">
        <v>130</v>
      </c>
      <c r="AQ4" s="74" t="s">
        <v>128</v>
      </c>
      <c r="AR4" s="74" t="s">
        <v>132</v>
      </c>
      <c r="AS4" s="74" t="s">
        <v>123</v>
      </c>
      <c r="AT4" s="74" t="s">
        <v>39</v>
      </c>
      <c r="AU4" s="33"/>
      <c r="AV4" s="33"/>
      <c r="AW4" s="74" t="s">
        <v>141</v>
      </c>
      <c r="AX4" s="33"/>
      <c r="AY4" s="33"/>
      <c r="AZ4" s="33"/>
      <c r="BA4" s="33"/>
      <c r="BB4" s="33"/>
      <c r="BC4" s="33"/>
      <c r="BD4" s="33"/>
    </row>
    <row r="5">
      <c r="A5" s="33"/>
      <c r="B5" s="33"/>
      <c r="C5" s="33"/>
      <c r="D5" s="33"/>
      <c r="E5" s="33"/>
      <c r="F5" s="33"/>
      <c r="G5" s="74" t="s">
        <v>50</v>
      </c>
      <c r="H5" s="33"/>
      <c r="I5" s="33"/>
      <c r="J5" s="33"/>
      <c r="K5" s="33"/>
      <c r="L5" s="74" t="s">
        <v>50</v>
      </c>
      <c r="M5" s="81"/>
      <c r="N5" s="81"/>
      <c r="O5" s="74"/>
      <c r="P5" s="74" t="s">
        <v>50</v>
      </c>
      <c r="Q5" s="81"/>
      <c r="R5" s="81"/>
      <c r="S5" s="81"/>
      <c r="T5" s="81"/>
      <c r="U5" s="74" t="s">
        <v>50</v>
      </c>
      <c r="V5" s="81"/>
      <c r="W5" s="81"/>
      <c r="X5" s="81"/>
      <c r="Y5" s="81"/>
      <c r="Z5" s="74" t="s">
        <v>143</v>
      </c>
      <c r="AA5" s="74" t="s">
        <v>50</v>
      </c>
      <c r="AB5" s="81"/>
      <c r="AC5" s="81"/>
      <c r="AD5" s="81"/>
      <c r="AE5" s="81"/>
      <c r="AF5" s="74" t="s">
        <v>50</v>
      </c>
      <c r="AG5" s="81"/>
      <c r="AH5" s="81"/>
      <c r="AI5" s="81"/>
      <c r="AJ5" s="81"/>
      <c r="AK5" s="81"/>
      <c r="AL5" s="74" t="s">
        <v>50</v>
      </c>
      <c r="AM5" s="81"/>
      <c r="AN5" s="81"/>
      <c r="AO5" s="81"/>
      <c r="AP5" s="81"/>
      <c r="AQ5" s="74" t="s">
        <v>50</v>
      </c>
      <c r="AR5" s="81"/>
      <c r="AS5" s="81"/>
      <c r="AT5" s="81"/>
      <c r="AU5" s="81"/>
      <c r="AV5" s="81"/>
      <c r="AW5" s="81"/>
      <c r="AX5" s="74" t="s">
        <v>146</v>
      </c>
      <c r="AY5" s="81"/>
      <c r="AZ5" s="81"/>
      <c r="BA5" s="81"/>
      <c r="BB5" s="81"/>
      <c r="BC5" s="81"/>
      <c r="BD5" s="81"/>
    </row>
    <row r="6">
      <c r="A6" s="88">
        <v>1.0</v>
      </c>
      <c r="B6" s="89" t="s">
        <v>147</v>
      </c>
      <c r="C6" s="90" t="s">
        <v>148</v>
      </c>
      <c r="D6" s="91"/>
      <c r="E6" s="91"/>
      <c r="F6" s="91"/>
      <c r="G6" s="91"/>
      <c r="H6" s="96" t="s">
        <v>150</v>
      </c>
      <c r="I6" s="91" t="s">
        <v>74</v>
      </c>
      <c r="J6" s="99" t="s">
        <v>110</v>
      </c>
      <c r="K6" s="91" t="s">
        <v>106</v>
      </c>
      <c r="L6" s="91"/>
      <c r="M6" s="91"/>
      <c r="N6" s="91" t="s">
        <v>149</v>
      </c>
      <c r="O6" s="91" t="s">
        <v>156</v>
      </c>
      <c r="P6" s="91"/>
      <c r="Q6" s="91"/>
      <c r="R6" s="91"/>
      <c r="S6" s="91"/>
      <c r="T6" s="91" t="s">
        <v>157</v>
      </c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0" t="s">
        <v>61</v>
      </c>
      <c r="AV6" s="91"/>
      <c r="AW6" s="91"/>
      <c r="AX6" s="91"/>
      <c r="AY6" s="91"/>
      <c r="AZ6" s="91"/>
      <c r="BA6" s="91"/>
      <c r="BB6" s="91"/>
      <c r="BC6" s="91"/>
      <c r="BD6" s="91"/>
    </row>
    <row r="7">
      <c r="A7" s="88">
        <v>2.0</v>
      </c>
      <c r="B7" s="89" t="s">
        <v>164</v>
      </c>
      <c r="C7" s="91" t="s">
        <v>148</v>
      </c>
      <c r="D7" s="91"/>
      <c r="E7" s="91"/>
      <c r="F7" s="90" t="s">
        <v>166</v>
      </c>
      <c r="G7" s="88">
        <v>150.0</v>
      </c>
      <c r="H7" s="96" t="s">
        <v>167</v>
      </c>
      <c r="I7" s="91" t="s">
        <v>74</v>
      </c>
      <c r="J7" s="99" t="s">
        <v>110</v>
      </c>
      <c r="K7" s="91" t="s">
        <v>106</v>
      </c>
      <c r="L7" s="90">
        <v>8.6</v>
      </c>
      <c r="M7" s="91" t="s">
        <v>169</v>
      </c>
      <c r="N7" s="91" t="s">
        <v>149</v>
      </c>
      <c r="O7" s="91" t="s">
        <v>156</v>
      </c>
      <c r="P7" s="90">
        <v>1.3</v>
      </c>
      <c r="Q7" s="88">
        <v>2022.0</v>
      </c>
      <c r="R7" s="91" t="s">
        <v>107</v>
      </c>
      <c r="S7" s="91" t="s">
        <v>170</v>
      </c>
      <c r="T7" s="91" t="s">
        <v>172</v>
      </c>
      <c r="U7" s="90">
        <v>1.3</v>
      </c>
      <c r="V7" s="88">
        <v>2022.0</v>
      </c>
      <c r="W7" s="91" t="s">
        <v>107</v>
      </c>
      <c r="X7" s="91" t="s">
        <v>173</v>
      </c>
      <c r="Y7" s="91" t="s">
        <v>174</v>
      </c>
      <c r="Z7" s="91" t="s">
        <v>175</v>
      </c>
      <c r="AA7" s="90" t="s">
        <v>176</v>
      </c>
      <c r="AB7" s="88">
        <v>2022.0</v>
      </c>
      <c r="AC7" s="91" t="s">
        <v>116</v>
      </c>
      <c r="AD7" s="91" t="s">
        <v>177</v>
      </c>
      <c r="AE7" s="91" t="s">
        <v>175</v>
      </c>
      <c r="AF7" s="91" t="s">
        <v>178</v>
      </c>
      <c r="AG7" s="88">
        <v>2022.0</v>
      </c>
      <c r="AH7" s="91" t="s">
        <v>116</v>
      </c>
      <c r="AI7" s="91" t="s">
        <v>180</v>
      </c>
      <c r="AJ7" s="91" t="s">
        <v>149</v>
      </c>
      <c r="AK7" s="91" t="s">
        <v>181</v>
      </c>
      <c r="AL7" s="91" t="s">
        <v>182</v>
      </c>
      <c r="AM7" s="91" t="s">
        <v>182</v>
      </c>
      <c r="AN7" s="91" t="s">
        <v>183</v>
      </c>
      <c r="AO7" s="91" t="s">
        <v>184</v>
      </c>
      <c r="AP7" s="110" t="s">
        <v>185</v>
      </c>
      <c r="AQ7" s="110" t="s">
        <v>185</v>
      </c>
      <c r="AR7" s="110" t="s">
        <v>185</v>
      </c>
      <c r="AS7" s="91" t="s">
        <v>183</v>
      </c>
      <c r="AT7" s="110" t="s">
        <v>185</v>
      </c>
      <c r="AU7" s="90" t="s">
        <v>61</v>
      </c>
      <c r="AV7" s="91" t="s">
        <v>106</v>
      </c>
      <c r="AW7" s="88">
        <v>2021.0</v>
      </c>
      <c r="AX7" s="91" t="s">
        <v>186</v>
      </c>
      <c r="AY7" s="91" t="s">
        <v>107</v>
      </c>
      <c r="AZ7" s="90" t="s">
        <v>61</v>
      </c>
      <c r="BA7" s="91" t="s">
        <v>187</v>
      </c>
      <c r="BB7" s="91" t="s">
        <v>188</v>
      </c>
      <c r="BC7" s="91" t="s">
        <v>133</v>
      </c>
      <c r="BD7" s="91" t="s">
        <v>189</v>
      </c>
    </row>
    <row r="8">
      <c r="A8" s="112">
        <v>3.0</v>
      </c>
      <c r="B8" s="89" t="s">
        <v>190</v>
      </c>
      <c r="C8" s="91" t="s">
        <v>148</v>
      </c>
      <c r="D8" s="91"/>
      <c r="E8" s="91" t="s">
        <v>191</v>
      </c>
      <c r="F8" s="91" t="s">
        <v>192</v>
      </c>
      <c r="G8" s="88">
        <v>140.0</v>
      </c>
      <c r="H8" s="96" t="s">
        <v>193</v>
      </c>
      <c r="I8" s="91" t="s">
        <v>61</v>
      </c>
      <c r="J8" s="99" t="s">
        <v>105</v>
      </c>
      <c r="K8" s="91" t="s">
        <v>106</v>
      </c>
      <c r="L8" s="88">
        <v>5.5</v>
      </c>
      <c r="M8" s="91" t="s">
        <v>107</v>
      </c>
      <c r="N8" s="91" t="s">
        <v>108</v>
      </c>
      <c r="O8" s="91" t="s">
        <v>156</v>
      </c>
      <c r="P8" s="88">
        <v>0.6</v>
      </c>
      <c r="Q8" s="88">
        <v>2016.0</v>
      </c>
      <c r="R8" s="91" t="s">
        <v>107</v>
      </c>
      <c r="S8" s="91"/>
      <c r="T8" s="91" t="s">
        <v>183</v>
      </c>
      <c r="U8" s="91" t="s">
        <v>70</v>
      </c>
      <c r="V8" s="91" t="s">
        <v>185</v>
      </c>
      <c r="W8" s="91" t="s">
        <v>183</v>
      </c>
      <c r="X8" s="91" t="s">
        <v>185</v>
      </c>
      <c r="Y8" s="91" t="s">
        <v>114</v>
      </c>
      <c r="Z8" s="91" t="s">
        <v>156</v>
      </c>
      <c r="AA8" s="88">
        <v>1.2</v>
      </c>
      <c r="AB8" s="91" t="s">
        <v>185</v>
      </c>
      <c r="AC8" s="91" t="s">
        <v>107</v>
      </c>
      <c r="AD8" s="91" t="s">
        <v>185</v>
      </c>
      <c r="AE8" s="91" t="s">
        <v>183</v>
      </c>
      <c r="AF8" s="91" t="s">
        <v>185</v>
      </c>
      <c r="AG8" s="91" t="s">
        <v>185</v>
      </c>
      <c r="AH8" s="91" t="s">
        <v>183</v>
      </c>
      <c r="AI8" s="91" t="s">
        <v>185</v>
      </c>
      <c r="AJ8" s="91"/>
      <c r="AK8" s="91" t="s">
        <v>197</v>
      </c>
      <c r="AL8" s="90">
        <v>0.6</v>
      </c>
      <c r="AM8" s="88">
        <v>2016.0</v>
      </c>
      <c r="AN8" s="91" t="s">
        <v>107</v>
      </c>
      <c r="AO8" s="91" t="s">
        <v>198</v>
      </c>
      <c r="AP8" s="91" t="s">
        <v>197</v>
      </c>
      <c r="AQ8" s="88">
        <v>0.6</v>
      </c>
      <c r="AR8" s="91"/>
      <c r="AS8" s="91" t="s">
        <v>107</v>
      </c>
      <c r="AT8" s="110" t="s">
        <v>185</v>
      </c>
      <c r="AU8" s="90" t="s">
        <v>61</v>
      </c>
      <c r="AV8" s="91" t="s">
        <v>127</v>
      </c>
      <c r="AW8" s="91" t="s">
        <v>166</v>
      </c>
      <c r="AX8" s="88">
        <v>225.0</v>
      </c>
      <c r="AY8" s="91" t="s">
        <v>129</v>
      </c>
      <c r="AZ8" s="90" t="s">
        <v>61</v>
      </c>
      <c r="BA8" s="91" t="s">
        <v>166</v>
      </c>
      <c r="BB8" s="91" t="s">
        <v>166</v>
      </c>
      <c r="BC8" s="91"/>
      <c r="BD8" s="91"/>
    </row>
    <row r="9">
      <c r="A9" s="112">
        <v>4.0</v>
      </c>
      <c r="B9" s="89" t="s">
        <v>200</v>
      </c>
      <c r="C9" s="91" t="s">
        <v>148</v>
      </c>
      <c r="D9" s="91"/>
      <c r="E9" s="91" t="s">
        <v>201</v>
      </c>
      <c r="F9" s="91" t="s">
        <v>192</v>
      </c>
      <c r="G9" s="91"/>
      <c r="H9" s="96" t="s">
        <v>202</v>
      </c>
      <c r="I9" s="91" t="s">
        <v>61</v>
      </c>
      <c r="J9" s="99" t="s">
        <v>105</v>
      </c>
      <c r="K9" s="91" t="s">
        <v>106</v>
      </c>
      <c r="L9" s="88">
        <v>4.4</v>
      </c>
      <c r="M9" s="91" t="s">
        <v>107</v>
      </c>
      <c r="N9" s="91" t="s">
        <v>149</v>
      </c>
      <c r="O9" s="91" t="s">
        <v>183</v>
      </c>
      <c r="P9" s="91" t="s">
        <v>185</v>
      </c>
      <c r="Q9" s="88">
        <v>2006.0</v>
      </c>
      <c r="R9" s="91" t="s">
        <v>107</v>
      </c>
      <c r="S9" s="91" t="s">
        <v>204</v>
      </c>
      <c r="T9" s="91" t="s">
        <v>183</v>
      </c>
      <c r="U9" s="91"/>
      <c r="V9" s="91"/>
      <c r="W9" s="91" t="s">
        <v>183</v>
      </c>
      <c r="X9" s="91"/>
      <c r="Y9" s="91"/>
      <c r="Z9" s="91" t="s">
        <v>183</v>
      </c>
      <c r="AA9" s="91"/>
      <c r="AB9" s="91"/>
      <c r="AC9" s="91" t="s">
        <v>183</v>
      </c>
      <c r="AD9" s="91"/>
      <c r="AE9" s="91"/>
      <c r="AF9" s="91"/>
      <c r="AG9" s="91"/>
      <c r="AH9" s="91"/>
      <c r="AI9" s="91"/>
      <c r="AJ9" s="91"/>
      <c r="AK9" s="91" t="s">
        <v>120</v>
      </c>
      <c r="AL9" s="88">
        <v>0.45</v>
      </c>
      <c r="AM9" s="88">
        <v>2006.0</v>
      </c>
      <c r="AN9" s="91" t="s">
        <v>107</v>
      </c>
      <c r="AO9" s="91" t="s">
        <v>205</v>
      </c>
      <c r="AP9" s="91" t="s">
        <v>120</v>
      </c>
      <c r="AQ9" s="88">
        <v>0.45</v>
      </c>
      <c r="AR9" s="88">
        <v>2006.0</v>
      </c>
      <c r="AS9" s="91" t="s">
        <v>107</v>
      </c>
      <c r="AT9" s="110" t="s">
        <v>185</v>
      </c>
      <c r="AU9" s="90" t="s">
        <v>61</v>
      </c>
      <c r="AV9" s="91" t="s">
        <v>127</v>
      </c>
      <c r="AW9" s="88">
        <v>2006.0</v>
      </c>
      <c r="AX9" s="88">
        <v>225.0</v>
      </c>
      <c r="AY9" s="91" t="s">
        <v>129</v>
      </c>
      <c r="AZ9" s="90" t="s">
        <v>61</v>
      </c>
      <c r="BA9" s="91" t="s">
        <v>204</v>
      </c>
      <c r="BB9" s="91" t="s">
        <v>205</v>
      </c>
      <c r="BC9" s="91" t="s">
        <v>133</v>
      </c>
      <c r="BD9" s="91" t="s">
        <v>206</v>
      </c>
    </row>
    <row r="10">
      <c r="A10" s="112">
        <v>5.0</v>
      </c>
      <c r="B10" s="89" t="s">
        <v>207</v>
      </c>
      <c r="C10" s="91" t="s">
        <v>148</v>
      </c>
      <c r="D10" s="91"/>
      <c r="E10" s="91"/>
      <c r="F10" s="91" t="s">
        <v>192</v>
      </c>
      <c r="G10" s="91"/>
      <c r="H10" s="96" t="s">
        <v>208</v>
      </c>
      <c r="I10" s="91" t="s">
        <v>61</v>
      </c>
      <c r="J10" s="99" t="s">
        <v>105</v>
      </c>
      <c r="K10" s="91" t="s">
        <v>106</v>
      </c>
      <c r="L10" s="88">
        <v>4.2</v>
      </c>
      <c r="M10" s="91" t="s">
        <v>107</v>
      </c>
      <c r="N10" s="91" t="s">
        <v>149</v>
      </c>
      <c r="O10" s="91" t="s">
        <v>183</v>
      </c>
      <c r="P10" s="91" t="s">
        <v>185</v>
      </c>
      <c r="Q10" s="88">
        <v>2006.0</v>
      </c>
      <c r="R10" s="91" t="s">
        <v>107</v>
      </c>
      <c r="S10" s="91" t="s">
        <v>204</v>
      </c>
      <c r="T10" s="91" t="s">
        <v>183</v>
      </c>
      <c r="U10" s="91"/>
      <c r="V10" s="91"/>
      <c r="W10" s="91" t="s">
        <v>183</v>
      </c>
      <c r="X10" s="91"/>
      <c r="Y10" s="91"/>
      <c r="Z10" s="91" t="s">
        <v>183</v>
      </c>
      <c r="AA10" s="91"/>
      <c r="AB10" s="91"/>
      <c r="AC10" s="91" t="s">
        <v>183</v>
      </c>
      <c r="AD10" s="91"/>
      <c r="AE10" s="91" t="s">
        <v>183</v>
      </c>
      <c r="AF10" s="91"/>
      <c r="AG10" s="91"/>
      <c r="AH10" s="91" t="s">
        <v>183</v>
      </c>
      <c r="AI10" s="91"/>
      <c r="AJ10" s="91"/>
      <c r="AK10" s="91"/>
      <c r="AL10" s="88">
        <v>0.45</v>
      </c>
      <c r="AM10" s="88">
        <v>2006.0</v>
      </c>
      <c r="AN10" s="91" t="s">
        <v>169</v>
      </c>
      <c r="AO10" s="91" t="s">
        <v>205</v>
      </c>
      <c r="AP10" s="91" t="s">
        <v>120</v>
      </c>
      <c r="AQ10" s="88">
        <v>0.45</v>
      </c>
      <c r="AR10" s="88">
        <v>2006.0</v>
      </c>
      <c r="AS10" s="91" t="s">
        <v>169</v>
      </c>
      <c r="AT10" s="90" t="s">
        <v>210</v>
      </c>
      <c r="AU10" s="90" t="s">
        <v>61</v>
      </c>
      <c r="AV10" s="91" t="s">
        <v>127</v>
      </c>
      <c r="AW10" s="88">
        <v>2006.0</v>
      </c>
      <c r="AX10" s="88">
        <v>225.0</v>
      </c>
      <c r="AY10" s="91" t="s">
        <v>129</v>
      </c>
      <c r="AZ10" s="90" t="s">
        <v>61</v>
      </c>
      <c r="BA10" s="91" t="s">
        <v>204</v>
      </c>
      <c r="BB10" s="91"/>
      <c r="BC10" s="91" t="s">
        <v>133</v>
      </c>
      <c r="BD10" s="91" t="s">
        <v>206</v>
      </c>
    </row>
    <row r="11">
      <c r="A11" s="112">
        <v>6.0</v>
      </c>
      <c r="B11" s="89" t="s">
        <v>211</v>
      </c>
      <c r="C11" s="91" t="s">
        <v>148</v>
      </c>
      <c r="D11" s="91"/>
      <c r="E11" s="91" t="s">
        <v>213</v>
      </c>
      <c r="F11" s="91" t="s">
        <v>192</v>
      </c>
      <c r="G11" s="91"/>
      <c r="H11" s="96" t="s">
        <v>215</v>
      </c>
      <c r="I11" s="91" t="s">
        <v>61</v>
      </c>
      <c r="J11" s="99" t="s">
        <v>105</v>
      </c>
      <c r="K11" s="91" t="s">
        <v>106</v>
      </c>
      <c r="L11" s="88">
        <v>4.0</v>
      </c>
      <c r="M11" s="91" t="s">
        <v>107</v>
      </c>
      <c r="N11" s="91" t="s">
        <v>149</v>
      </c>
      <c r="O11" s="91" t="s">
        <v>183</v>
      </c>
      <c r="P11" s="91" t="s">
        <v>185</v>
      </c>
      <c r="Q11" s="88">
        <v>2006.0</v>
      </c>
      <c r="R11" s="91" t="s">
        <v>169</v>
      </c>
      <c r="S11" s="91" t="s">
        <v>218</v>
      </c>
      <c r="T11" s="91" t="s">
        <v>183</v>
      </c>
      <c r="U11" s="91" t="s">
        <v>185</v>
      </c>
      <c r="V11" s="91" t="s">
        <v>185</v>
      </c>
      <c r="W11" s="91" t="s">
        <v>183</v>
      </c>
      <c r="X11" s="91"/>
      <c r="Y11" s="91"/>
      <c r="Z11" s="91"/>
      <c r="AA11" s="91"/>
      <c r="AB11" s="91"/>
      <c r="AC11" s="91"/>
      <c r="AD11" s="91"/>
      <c r="AE11" s="91" t="s">
        <v>183</v>
      </c>
      <c r="AF11" s="91"/>
      <c r="AG11" s="91"/>
      <c r="AH11" s="91" t="s">
        <v>183</v>
      </c>
      <c r="AI11" s="91"/>
      <c r="AJ11" s="91" t="s">
        <v>149</v>
      </c>
      <c r="AK11" s="91" t="s">
        <v>120</v>
      </c>
      <c r="AL11" s="88">
        <v>0.45</v>
      </c>
      <c r="AM11" s="88">
        <v>2006.0</v>
      </c>
      <c r="AN11" s="91" t="s">
        <v>107</v>
      </c>
      <c r="AO11" s="91" t="s">
        <v>219</v>
      </c>
      <c r="AP11" s="91" t="s">
        <v>120</v>
      </c>
      <c r="AQ11" s="88">
        <v>0.45</v>
      </c>
      <c r="AR11" s="88">
        <v>2006.0</v>
      </c>
      <c r="AS11" s="91" t="s">
        <v>169</v>
      </c>
      <c r="AT11" s="90" t="s">
        <v>210</v>
      </c>
      <c r="AU11" s="90" t="s">
        <v>61</v>
      </c>
      <c r="AV11" s="91" t="s">
        <v>127</v>
      </c>
      <c r="AW11" s="88">
        <v>2006.0</v>
      </c>
      <c r="AX11" s="88">
        <v>225.0</v>
      </c>
      <c r="AY11" s="91" t="s">
        <v>129</v>
      </c>
      <c r="AZ11" s="90" t="s">
        <v>61</v>
      </c>
      <c r="BA11" s="91" t="s">
        <v>222</v>
      </c>
      <c r="BB11" s="91" t="s">
        <v>205</v>
      </c>
      <c r="BC11" s="91" t="s">
        <v>133</v>
      </c>
      <c r="BD11" s="91" t="s">
        <v>205</v>
      </c>
    </row>
    <row r="12">
      <c r="A12" s="112">
        <v>7.0</v>
      </c>
      <c r="B12" s="89" t="s">
        <v>223</v>
      </c>
      <c r="C12" s="91" t="s">
        <v>148</v>
      </c>
      <c r="D12" s="91"/>
      <c r="E12" s="91"/>
      <c r="F12" s="91" t="s">
        <v>192</v>
      </c>
      <c r="G12" s="91"/>
      <c r="H12" s="96" t="s">
        <v>224</v>
      </c>
      <c r="I12" s="91" t="s">
        <v>74</v>
      </c>
      <c r="J12" s="99" t="s">
        <v>105</v>
      </c>
      <c r="K12" s="91" t="s">
        <v>106</v>
      </c>
      <c r="L12" s="88">
        <v>2.5</v>
      </c>
      <c r="M12" s="91" t="s">
        <v>107</v>
      </c>
      <c r="N12" s="91" t="s">
        <v>149</v>
      </c>
      <c r="O12" s="91" t="s">
        <v>183</v>
      </c>
      <c r="P12" s="91"/>
      <c r="Q12" s="91"/>
      <c r="R12" s="91" t="s">
        <v>183</v>
      </c>
      <c r="S12" s="91"/>
      <c r="T12" s="91" t="s">
        <v>183</v>
      </c>
      <c r="U12" s="91"/>
      <c r="V12" s="91"/>
      <c r="W12" s="91" t="s">
        <v>183</v>
      </c>
      <c r="X12" s="91"/>
      <c r="Y12" s="91"/>
      <c r="Z12" s="91" t="s">
        <v>183</v>
      </c>
      <c r="AA12" s="91"/>
      <c r="AB12" s="91"/>
      <c r="AC12" s="91" t="s">
        <v>183</v>
      </c>
      <c r="AD12" s="91"/>
      <c r="AE12" s="91" t="s">
        <v>183</v>
      </c>
      <c r="AF12" s="91"/>
      <c r="AG12" s="91"/>
      <c r="AH12" s="91" t="s">
        <v>183</v>
      </c>
      <c r="AI12" s="91"/>
      <c r="AJ12" s="91"/>
      <c r="AK12" s="91" t="s">
        <v>181</v>
      </c>
      <c r="AL12" s="91" t="s">
        <v>185</v>
      </c>
      <c r="AM12" s="91"/>
      <c r="AN12" s="91" t="s">
        <v>183</v>
      </c>
      <c r="AO12" s="91"/>
      <c r="AP12" s="91"/>
      <c r="AQ12" s="91"/>
      <c r="AR12" s="91"/>
      <c r="AS12" s="91"/>
      <c r="AT12" s="91"/>
      <c r="AU12" s="90" t="s">
        <v>61</v>
      </c>
      <c r="AV12" s="91" t="s">
        <v>127</v>
      </c>
      <c r="AW12" s="88">
        <v>2021.0</v>
      </c>
      <c r="AX12" s="88">
        <v>225.0</v>
      </c>
      <c r="AY12" s="91" t="s">
        <v>169</v>
      </c>
      <c r="AZ12" s="90" t="s">
        <v>61</v>
      </c>
      <c r="BA12" s="91"/>
      <c r="BB12" s="91" t="s">
        <v>204</v>
      </c>
      <c r="BC12" s="91" t="s">
        <v>185</v>
      </c>
      <c r="BD12" s="91"/>
    </row>
    <row r="13">
      <c r="A13" s="27">
        <v>8.0</v>
      </c>
      <c r="B13" s="27" t="s">
        <v>226</v>
      </c>
      <c r="C13" s="28"/>
      <c r="D13" s="28"/>
      <c r="E13" s="125" t="s">
        <v>228</v>
      </c>
      <c r="F13" s="27" t="s">
        <v>192</v>
      </c>
      <c r="G13" s="27">
        <v>3.7</v>
      </c>
      <c r="H13" s="28"/>
      <c r="I13" s="91" t="s">
        <v>61</v>
      </c>
      <c r="J13" s="99" t="s">
        <v>105</v>
      </c>
      <c r="K13" s="91" t="s">
        <v>106</v>
      </c>
      <c r="L13" s="27">
        <v>3.7</v>
      </c>
      <c r="M13" s="90" t="s">
        <v>169</v>
      </c>
      <c r="N13" s="91" t="s">
        <v>149</v>
      </c>
      <c r="O13" s="91" t="s">
        <v>183</v>
      </c>
      <c r="P13" s="27">
        <v>1.0</v>
      </c>
      <c r="Q13" s="27">
        <v>2023.0</v>
      </c>
      <c r="R13" s="27" t="s">
        <v>229</v>
      </c>
      <c r="S13" s="28"/>
      <c r="T13" s="27" t="s">
        <v>231</v>
      </c>
      <c r="U13" s="27">
        <v>1.4</v>
      </c>
      <c r="V13" s="27">
        <v>2023.0</v>
      </c>
      <c r="W13" s="27" t="s">
        <v>107</v>
      </c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7" t="s">
        <v>235</v>
      </c>
      <c r="AL13" s="27">
        <v>0.6</v>
      </c>
      <c r="AM13" s="27">
        <v>2006.0</v>
      </c>
      <c r="AN13" s="27" t="s">
        <v>229</v>
      </c>
      <c r="AO13" s="28"/>
      <c r="AP13" s="28"/>
      <c r="AQ13" s="27">
        <v>0.6</v>
      </c>
      <c r="AR13" s="27">
        <v>2006.0</v>
      </c>
      <c r="AS13" s="27" t="s">
        <v>229</v>
      </c>
      <c r="AT13" s="28"/>
      <c r="AU13" s="28"/>
      <c r="AV13" s="27" t="s">
        <v>127</v>
      </c>
      <c r="AW13" s="28"/>
      <c r="AX13" s="28"/>
      <c r="AY13" s="27" t="s">
        <v>129</v>
      </c>
      <c r="AZ13" s="27" t="s">
        <v>61</v>
      </c>
      <c r="BA13" s="28"/>
      <c r="BB13" s="27" t="s">
        <v>107</v>
      </c>
      <c r="BC13" s="27" t="s">
        <v>236</v>
      </c>
      <c r="BD13" s="28"/>
    </row>
    <row r="14">
      <c r="A14" s="27">
        <v>9.0</v>
      </c>
      <c r="B14" s="27" t="s">
        <v>237</v>
      </c>
      <c r="C14" s="28"/>
      <c r="D14" s="28"/>
      <c r="E14" s="28"/>
      <c r="F14" s="28"/>
      <c r="G14" s="28"/>
      <c r="H14" s="28"/>
      <c r="I14" s="91" t="s">
        <v>74</v>
      </c>
      <c r="J14" s="99" t="s">
        <v>105</v>
      </c>
      <c r="K14" s="91" t="s">
        <v>106</v>
      </c>
      <c r="L14" s="27">
        <v>2.3</v>
      </c>
      <c r="M14" s="91" t="s">
        <v>107</v>
      </c>
      <c r="N14" s="91" t="s">
        <v>149</v>
      </c>
      <c r="O14" s="91" t="s">
        <v>183</v>
      </c>
      <c r="P14" s="28"/>
      <c r="Q14" s="28"/>
      <c r="R14" s="28"/>
      <c r="S14" s="28"/>
      <c r="T14" s="27" t="s">
        <v>185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7" t="s">
        <v>185</v>
      </c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7" t="s">
        <v>127</v>
      </c>
      <c r="AW14" s="28"/>
      <c r="AX14" s="28"/>
      <c r="AY14" s="27" t="s">
        <v>239</v>
      </c>
      <c r="AZ14" s="27" t="s">
        <v>61</v>
      </c>
      <c r="BA14" s="28"/>
      <c r="BB14" s="27" t="s">
        <v>240</v>
      </c>
      <c r="BC14" s="27" t="s">
        <v>185</v>
      </c>
      <c r="BD14" s="27" t="s">
        <v>241</v>
      </c>
    </row>
    <row r="15">
      <c r="A15" s="27">
        <v>10.0</v>
      </c>
      <c r="B15" s="27" t="s">
        <v>242</v>
      </c>
      <c r="C15" s="28"/>
      <c r="D15" s="28"/>
      <c r="E15" s="28"/>
      <c r="F15" s="28"/>
      <c r="G15" s="28"/>
      <c r="H15" s="28"/>
      <c r="I15" s="91" t="s">
        <v>61</v>
      </c>
      <c r="J15" s="99" t="s">
        <v>105</v>
      </c>
      <c r="K15" s="91" t="s">
        <v>106</v>
      </c>
      <c r="L15" s="27">
        <v>2.7</v>
      </c>
      <c r="M15" s="90" t="s">
        <v>169</v>
      </c>
      <c r="N15" s="91" t="s">
        <v>149</v>
      </c>
      <c r="O15" s="91" t="s">
        <v>183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7" t="s">
        <v>235</v>
      </c>
      <c r="AL15" s="27">
        <v>0.6</v>
      </c>
      <c r="AM15" s="27">
        <v>2006.0</v>
      </c>
      <c r="AN15" s="27" t="s">
        <v>107</v>
      </c>
      <c r="AO15" s="28"/>
      <c r="AP15" s="27" t="s">
        <v>235</v>
      </c>
      <c r="AQ15" s="27">
        <v>0.6</v>
      </c>
      <c r="AR15" s="27">
        <v>2006.0</v>
      </c>
      <c r="AS15" s="27" t="s">
        <v>229</v>
      </c>
      <c r="AT15" s="28"/>
      <c r="AU15" s="28"/>
      <c r="AV15" s="27" t="s">
        <v>127</v>
      </c>
      <c r="AW15" s="28"/>
      <c r="AX15" s="28"/>
      <c r="AY15" s="28"/>
      <c r="AZ15" s="27" t="s">
        <v>61</v>
      </c>
      <c r="BA15" s="27" t="s">
        <v>107</v>
      </c>
      <c r="BB15" s="27" t="s">
        <v>244</v>
      </c>
      <c r="BC15" s="27" t="s">
        <v>236</v>
      </c>
      <c r="BD15" s="27" t="s">
        <v>107</v>
      </c>
    </row>
    <row r="16">
      <c r="A16" s="27">
        <v>11.0</v>
      </c>
      <c r="B16" s="27" t="s">
        <v>245</v>
      </c>
      <c r="C16" s="28"/>
      <c r="D16" s="28"/>
      <c r="E16" s="27" t="s">
        <v>246</v>
      </c>
      <c r="F16" s="27" t="s">
        <v>247</v>
      </c>
      <c r="G16" s="27"/>
      <c r="H16" s="28"/>
      <c r="I16" s="91" t="s">
        <v>61</v>
      </c>
      <c r="J16" s="99" t="s">
        <v>105</v>
      </c>
      <c r="K16" s="91" t="s">
        <v>106</v>
      </c>
      <c r="L16" s="27">
        <v>5.4</v>
      </c>
      <c r="M16" s="90" t="s">
        <v>169</v>
      </c>
      <c r="N16" s="91" t="s">
        <v>149</v>
      </c>
      <c r="O16" s="91" t="s">
        <v>183</v>
      </c>
      <c r="P16" s="28"/>
      <c r="Q16" s="27">
        <v>2011.0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7" t="s">
        <v>235</v>
      </c>
      <c r="AL16" s="27">
        <v>0.6</v>
      </c>
      <c r="AM16" s="27">
        <v>2016.0</v>
      </c>
      <c r="AN16" s="27" t="s">
        <v>229</v>
      </c>
      <c r="AO16" s="28"/>
      <c r="AP16" s="27" t="s">
        <v>235</v>
      </c>
      <c r="AQ16" s="27">
        <v>0.6</v>
      </c>
      <c r="AR16" s="27">
        <v>2006.0</v>
      </c>
      <c r="AS16" s="27" t="s">
        <v>229</v>
      </c>
      <c r="AT16" s="27" t="s">
        <v>248</v>
      </c>
      <c r="AU16" s="28"/>
      <c r="AV16" s="27" t="s">
        <v>106</v>
      </c>
      <c r="AW16" s="27">
        <v>2016.0</v>
      </c>
      <c r="AX16" s="28"/>
      <c r="AY16" s="27" t="s">
        <v>248</v>
      </c>
      <c r="AZ16" s="27" t="s">
        <v>61</v>
      </c>
      <c r="BA16" s="28"/>
      <c r="BB16" s="27" t="s">
        <v>249</v>
      </c>
      <c r="BC16" s="27" t="s">
        <v>250</v>
      </c>
      <c r="BD16" s="27" t="s">
        <v>107</v>
      </c>
    </row>
    <row r="17">
      <c r="A17" s="27">
        <v>12.0</v>
      </c>
      <c r="B17" s="27" t="s">
        <v>251</v>
      </c>
      <c r="C17" s="28"/>
      <c r="D17" s="28"/>
      <c r="E17" s="28"/>
      <c r="F17" s="28"/>
      <c r="G17" s="28"/>
      <c r="H17" s="28"/>
      <c r="I17" s="91" t="s">
        <v>61</v>
      </c>
      <c r="J17" s="99" t="s">
        <v>105</v>
      </c>
      <c r="K17" s="91" t="s">
        <v>106</v>
      </c>
      <c r="L17" s="27">
        <v>3.1</v>
      </c>
      <c r="M17" s="91" t="s">
        <v>107</v>
      </c>
      <c r="N17" s="91" t="s">
        <v>149</v>
      </c>
      <c r="O17" s="90" t="s">
        <v>156</v>
      </c>
      <c r="P17" s="27">
        <v>1.5</v>
      </c>
      <c r="Q17" s="27">
        <v>2023.0</v>
      </c>
      <c r="R17" s="28"/>
      <c r="S17" s="28"/>
      <c r="T17" s="28"/>
      <c r="U17" s="28"/>
      <c r="V17" s="28"/>
      <c r="W17" s="28"/>
      <c r="X17" s="28"/>
      <c r="Y17" s="27" t="s">
        <v>174</v>
      </c>
      <c r="Z17" s="27" t="s">
        <v>231</v>
      </c>
      <c r="AA17" s="27">
        <v>1.3</v>
      </c>
      <c r="AB17" s="27">
        <v>2023.0</v>
      </c>
      <c r="AC17" s="27" t="s">
        <v>107</v>
      </c>
      <c r="AD17" s="28"/>
      <c r="AE17" s="28"/>
      <c r="AF17" s="28"/>
      <c r="AG17" s="28"/>
      <c r="AH17" s="28"/>
      <c r="AI17" s="28"/>
      <c r="AJ17" s="27" t="s">
        <v>149</v>
      </c>
      <c r="AK17" s="27" t="s">
        <v>252</v>
      </c>
      <c r="AL17" s="27">
        <v>0.7</v>
      </c>
      <c r="AM17" s="27">
        <v>2023.0</v>
      </c>
      <c r="AN17" s="27" t="s">
        <v>229</v>
      </c>
      <c r="AO17" s="28"/>
      <c r="AP17" s="27" t="s">
        <v>252</v>
      </c>
      <c r="AQ17" s="27">
        <v>0.7</v>
      </c>
      <c r="AR17" s="27">
        <v>2023.0</v>
      </c>
      <c r="AS17" s="27" t="s">
        <v>229</v>
      </c>
      <c r="AT17" s="28"/>
      <c r="AU17" s="28"/>
      <c r="AV17" s="27" t="s">
        <v>106</v>
      </c>
      <c r="AW17" s="28"/>
      <c r="AX17" s="28"/>
      <c r="AY17" s="28"/>
      <c r="AZ17" s="27" t="s">
        <v>61</v>
      </c>
      <c r="BA17" s="28"/>
      <c r="BB17" s="27" t="s">
        <v>253</v>
      </c>
      <c r="BC17" s="27" t="s">
        <v>236</v>
      </c>
      <c r="BD17" s="27" t="s">
        <v>107</v>
      </c>
    </row>
    <row r="18">
      <c r="A18" s="27">
        <v>13.0</v>
      </c>
      <c r="B18" s="27" t="s">
        <v>254</v>
      </c>
      <c r="C18" s="28"/>
      <c r="D18" s="28"/>
      <c r="E18" s="28"/>
      <c r="F18" s="28"/>
      <c r="G18" s="28"/>
      <c r="H18" s="28"/>
      <c r="I18" s="91" t="s">
        <v>74</v>
      </c>
      <c r="J18" s="137" t="s">
        <v>255</v>
      </c>
      <c r="K18" s="91" t="s">
        <v>106</v>
      </c>
      <c r="L18" s="27">
        <v>5.0</v>
      </c>
      <c r="M18" s="91" t="s">
        <v>107</v>
      </c>
      <c r="N18" s="91" t="s">
        <v>149</v>
      </c>
      <c r="O18" s="27" t="s">
        <v>185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7" t="s">
        <v>235</v>
      </c>
      <c r="AL18" s="27">
        <v>0.5</v>
      </c>
      <c r="AM18" s="27">
        <v>2016.0</v>
      </c>
      <c r="AN18" s="27" t="s">
        <v>129</v>
      </c>
      <c r="AO18" s="27" t="s">
        <v>256</v>
      </c>
      <c r="AP18" s="27" t="s">
        <v>235</v>
      </c>
      <c r="AQ18" s="27">
        <v>0.5</v>
      </c>
      <c r="AR18" s="27">
        <v>2016.0</v>
      </c>
      <c r="AS18" s="28"/>
      <c r="AT18" s="27" t="s">
        <v>259</v>
      </c>
      <c r="AU18" s="28"/>
      <c r="AV18" s="27" t="s">
        <v>127</v>
      </c>
      <c r="AW18" s="27">
        <v>2006.0</v>
      </c>
      <c r="AX18" s="28"/>
      <c r="AY18" s="27" t="s">
        <v>260</v>
      </c>
      <c r="AZ18" s="27" t="s">
        <v>61</v>
      </c>
      <c r="BA18" s="28"/>
      <c r="BB18" s="27" t="s">
        <v>261</v>
      </c>
      <c r="BC18" s="28"/>
      <c r="BD18" s="28"/>
    </row>
    <row r="19">
      <c r="A19" s="27">
        <v>14.0</v>
      </c>
      <c r="B19" s="27" t="s">
        <v>262</v>
      </c>
      <c r="C19" s="28"/>
      <c r="D19" s="28"/>
      <c r="E19" s="28"/>
      <c r="F19" s="28"/>
      <c r="G19" s="28"/>
      <c r="H19" s="28"/>
      <c r="I19" s="28"/>
      <c r="J19" s="137" t="s">
        <v>255</v>
      </c>
      <c r="K19" s="91" t="s">
        <v>106</v>
      </c>
      <c r="L19" s="27">
        <v>1.66</v>
      </c>
      <c r="M19" s="91" t="s">
        <v>107</v>
      </c>
      <c r="N19" s="91" t="s">
        <v>149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7" t="s">
        <v>127</v>
      </c>
      <c r="AW19" s="27">
        <v>2006.0</v>
      </c>
      <c r="AX19" s="28"/>
      <c r="AY19" s="27" t="s">
        <v>263</v>
      </c>
      <c r="AZ19" s="27" t="s">
        <v>61</v>
      </c>
      <c r="BA19" s="28"/>
      <c r="BB19" s="27" t="s">
        <v>261</v>
      </c>
      <c r="BC19" s="27" t="s">
        <v>185</v>
      </c>
      <c r="BD19" s="27" t="s">
        <v>264</v>
      </c>
    </row>
    <row r="20">
      <c r="A20" s="27">
        <v>15.0</v>
      </c>
      <c r="B20" s="27" t="s">
        <v>265</v>
      </c>
      <c r="C20" s="28"/>
      <c r="D20" s="28"/>
      <c r="E20" s="28"/>
      <c r="F20" s="28"/>
      <c r="G20" s="28"/>
      <c r="H20" s="28"/>
      <c r="I20" s="91" t="s">
        <v>74</v>
      </c>
      <c r="J20" s="137" t="s">
        <v>255</v>
      </c>
      <c r="K20" s="91" t="s">
        <v>106</v>
      </c>
      <c r="L20" s="27">
        <v>3.0</v>
      </c>
      <c r="M20" s="91" t="s">
        <v>107</v>
      </c>
      <c r="N20" s="91" t="s">
        <v>149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7" t="s">
        <v>185</v>
      </c>
      <c r="AK20" s="28"/>
      <c r="AL20" s="28"/>
      <c r="AM20" s="28"/>
      <c r="AN20" s="28"/>
      <c r="AO20" s="28"/>
      <c r="AP20" s="28"/>
      <c r="AQ20" s="28"/>
      <c r="AR20" s="28"/>
      <c r="AS20" s="28"/>
      <c r="AT20" s="27" t="s">
        <v>266</v>
      </c>
      <c r="AU20" s="27" t="s">
        <v>61</v>
      </c>
      <c r="AV20" s="27" t="s">
        <v>127</v>
      </c>
      <c r="AW20" s="27">
        <v>2006.0</v>
      </c>
      <c r="AX20" s="28"/>
      <c r="AY20" s="27" t="s">
        <v>267</v>
      </c>
      <c r="AZ20" s="28"/>
      <c r="BA20" s="28"/>
      <c r="BB20" s="28"/>
      <c r="BC20" s="28"/>
      <c r="BD20" s="28"/>
    </row>
    <row r="21">
      <c r="A21" s="27">
        <v>16.0</v>
      </c>
      <c r="B21" s="27" t="s">
        <v>268</v>
      </c>
      <c r="C21" s="28"/>
      <c r="D21" s="28"/>
      <c r="E21" s="28"/>
      <c r="F21" s="28"/>
      <c r="G21" s="28"/>
      <c r="H21" s="28"/>
      <c r="I21" s="27" t="s">
        <v>61</v>
      </c>
      <c r="J21" s="99" t="s">
        <v>105</v>
      </c>
      <c r="K21" s="91" t="s">
        <v>106</v>
      </c>
      <c r="L21" s="27">
        <v>5.0</v>
      </c>
      <c r="M21" s="90" t="s">
        <v>169</v>
      </c>
      <c r="N21" s="91" t="s">
        <v>149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7" t="s">
        <v>252</v>
      </c>
      <c r="AL21" s="27">
        <v>0.6</v>
      </c>
      <c r="AM21" s="27">
        <v>2022.0</v>
      </c>
      <c r="AN21" s="27" t="s">
        <v>229</v>
      </c>
      <c r="AO21" s="28"/>
      <c r="AP21" s="27" t="s">
        <v>252</v>
      </c>
      <c r="AQ21" s="27">
        <v>0.65</v>
      </c>
      <c r="AR21" s="27">
        <v>2020.0</v>
      </c>
      <c r="AS21" s="27" t="s">
        <v>229</v>
      </c>
      <c r="AT21" s="28"/>
      <c r="AU21" s="28"/>
      <c r="AV21" s="27" t="s">
        <v>127</v>
      </c>
      <c r="AW21" s="27">
        <v>2006.0</v>
      </c>
      <c r="AX21" s="28"/>
      <c r="AY21" s="28"/>
      <c r="AZ21" s="27" t="s">
        <v>61</v>
      </c>
      <c r="BA21" s="28"/>
      <c r="BB21" s="27" t="s">
        <v>270</v>
      </c>
      <c r="BC21" s="27" t="s">
        <v>61</v>
      </c>
      <c r="BD21" s="27" t="s">
        <v>107</v>
      </c>
    </row>
    <row r="22">
      <c r="A22" s="28"/>
      <c r="B22" s="27" t="s">
        <v>271</v>
      </c>
      <c r="C22" s="28"/>
      <c r="D22" s="28"/>
      <c r="E22" s="28"/>
      <c r="F22" s="28"/>
      <c r="G22" s="28"/>
      <c r="H22" s="28"/>
      <c r="I22" s="28"/>
      <c r="J22" s="138"/>
      <c r="K22" s="28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8"/>
      <c r="B23" s="28"/>
      <c r="C23" s="28"/>
      <c r="D23" s="28"/>
      <c r="E23" s="28"/>
      <c r="F23" s="28"/>
      <c r="G23" s="27">
        <v>162.0</v>
      </c>
      <c r="H23" s="28"/>
      <c r="I23" s="28"/>
      <c r="J23" s="13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13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13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138"/>
      <c r="K26" s="28"/>
      <c r="L26" s="28"/>
      <c r="M26" s="139"/>
      <c r="N26" s="140"/>
      <c r="O26" s="28"/>
      <c r="P26" s="28"/>
      <c r="Q26" s="28"/>
      <c r="R26" s="28"/>
      <c r="S26" s="28"/>
      <c r="T26" s="28"/>
      <c r="U26" s="28"/>
      <c r="V26" s="28"/>
      <c r="W26" s="28"/>
      <c r="X26" s="139"/>
      <c r="Y26" s="140"/>
      <c r="Z26" s="28"/>
      <c r="AA26" s="28"/>
      <c r="AB26" s="28"/>
      <c r="AC26" s="28"/>
      <c r="AD26" s="28"/>
      <c r="AE26" s="28"/>
      <c r="AF26" s="28"/>
      <c r="AG26" s="28"/>
      <c r="AH26" s="28"/>
      <c r="AI26" s="139"/>
      <c r="AJ26" s="140"/>
      <c r="AK26" s="28"/>
      <c r="AL26" s="28"/>
      <c r="AM26" s="28"/>
      <c r="AN26" s="28"/>
      <c r="AO26" s="28"/>
      <c r="AP26" s="28"/>
      <c r="AQ26" s="28"/>
      <c r="AR26" s="28"/>
      <c r="AS26" s="28"/>
      <c r="AT26" s="139"/>
      <c r="AU26" s="140"/>
      <c r="AV26" s="28"/>
      <c r="AW26" s="28"/>
      <c r="AX26" s="28"/>
      <c r="AY26" s="139"/>
      <c r="AZ26" s="140"/>
      <c r="BA26" s="28"/>
      <c r="BB26" s="139"/>
      <c r="BC26" s="140"/>
      <c r="BD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138"/>
      <c r="K27" s="28"/>
      <c r="L27" s="28"/>
      <c r="M27" s="139"/>
      <c r="N27" s="140"/>
      <c r="O27" s="28"/>
      <c r="P27" s="28"/>
      <c r="Q27" s="28"/>
      <c r="R27" s="28"/>
      <c r="S27" s="28"/>
      <c r="T27" s="28"/>
      <c r="U27" s="28"/>
      <c r="V27" s="28"/>
      <c r="W27" s="28"/>
      <c r="X27" s="139"/>
      <c r="Y27" s="140"/>
      <c r="Z27" s="28"/>
      <c r="AA27" s="28"/>
      <c r="AB27" s="28"/>
      <c r="AC27" s="28"/>
      <c r="AD27" s="28"/>
      <c r="AE27" s="28"/>
      <c r="AF27" s="28"/>
      <c r="AG27" s="28"/>
      <c r="AH27" s="28"/>
      <c r="AI27" s="139"/>
      <c r="AJ27" s="140"/>
      <c r="AK27" s="28"/>
      <c r="AL27" s="28"/>
      <c r="AM27" s="28"/>
      <c r="AN27" s="28"/>
      <c r="AO27" s="28"/>
      <c r="AP27" s="28"/>
      <c r="AQ27" s="28"/>
      <c r="AR27" s="28"/>
      <c r="AS27" s="28"/>
      <c r="AT27" s="139"/>
      <c r="AU27" s="140"/>
      <c r="AV27" s="28"/>
      <c r="AW27" s="28"/>
      <c r="AX27" s="28"/>
      <c r="AY27" s="139"/>
      <c r="AZ27" s="140"/>
      <c r="BA27" s="28"/>
      <c r="BB27" s="139"/>
      <c r="BC27" s="140"/>
      <c r="BD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138"/>
      <c r="K28" s="28"/>
      <c r="L28" s="28"/>
      <c r="M28" s="139"/>
      <c r="N28" s="140"/>
      <c r="O28" s="28"/>
      <c r="P28" s="28"/>
      <c r="Q28" s="28"/>
      <c r="R28" s="28"/>
      <c r="S28" s="28"/>
      <c r="T28" s="28"/>
      <c r="U28" s="28"/>
      <c r="V28" s="28"/>
      <c r="W28" s="28"/>
      <c r="X28" s="139"/>
      <c r="Y28" s="140"/>
      <c r="Z28" s="28"/>
      <c r="AA28" s="28"/>
      <c r="AB28" s="28"/>
      <c r="AC28" s="28"/>
      <c r="AD28" s="28"/>
      <c r="AE28" s="28"/>
      <c r="AF28" s="28"/>
      <c r="AG28" s="28"/>
      <c r="AH28" s="28"/>
      <c r="AI28" s="139"/>
      <c r="AJ28" s="140"/>
      <c r="AK28" s="28"/>
      <c r="AL28" s="28"/>
      <c r="AM28" s="28"/>
      <c r="AN28" s="28"/>
      <c r="AO28" s="28"/>
      <c r="AP28" s="28"/>
      <c r="AQ28" s="28"/>
      <c r="AR28" s="28"/>
      <c r="AS28" s="28"/>
      <c r="AT28" s="139"/>
      <c r="AU28" s="140"/>
      <c r="AV28" s="28"/>
      <c r="AW28" s="28"/>
      <c r="AX28" s="28"/>
      <c r="AY28" s="139"/>
      <c r="AZ28" s="140"/>
      <c r="BA28" s="28"/>
      <c r="BB28" s="139"/>
      <c r="BC28" s="140"/>
      <c r="BD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138"/>
      <c r="K29" s="28"/>
      <c r="L29" s="28"/>
      <c r="M29" s="139"/>
      <c r="N29" s="140"/>
      <c r="O29" s="28"/>
      <c r="P29" s="28"/>
      <c r="Q29" s="28"/>
      <c r="R29" s="28"/>
      <c r="S29" s="28"/>
      <c r="T29" s="28"/>
      <c r="U29" s="28"/>
      <c r="V29" s="28"/>
      <c r="W29" s="28"/>
      <c r="X29" s="139"/>
      <c r="Y29" s="140"/>
      <c r="Z29" s="28"/>
      <c r="AA29" s="28"/>
      <c r="AB29" s="28"/>
      <c r="AC29" s="28"/>
      <c r="AD29" s="28"/>
      <c r="AE29" s="28"/>
      <c r="AF29" s="28"/>
      <c r="AG29" s="28"/>
      <c r="AH29" s="28"/>
      <c r="AI29" s="139"/>
      <c r="AJ29" s="140"/>
      <c r="AK29" s="28"/>
      <c r="AL29" s="28"/>
      <c r="AM29" s="28"/>
      <c r="AN29" s="28"/>
      <c r="AO29" s="28"/>
      <c r="AP29" s="28"/>
      <c r="AQ29" s="28"/>
      <c r="AR29" s="28"/>
      <c r="AS29" s="28"/>
      <c r="AT29" s="139"/>
      <c r="AU29" s="140"/>
      <c r="AV29" s="28"/>
      <c r="AW29" s="28"/>
      <c r="AX29" s="28"/>
      <c r="AY29" s="139"/>
      <c r="AZ29" s="140"/>
      <c r="BA29" s="28"/>
      <c r="BB29" s="139"/>
      <c r="BC29" s="140"/>
      <c r="BD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138"/>
      <c r="K30" s="28"/>
      <c r="L30" s="28"/>
      <c r="M30" s="139"/>
      <c r="N30" s="140"/>
      <c r="O30" s="28"/>
      <c r="P30" s="28"/>
      <c r="Q30" s="28"/>
      <c r="R30" s="28"/>
      <c r="S30" s="28"/>
      <c r="T30" s="28"/>
      <c r="U30" s="28"/>
      <c r="V30" s="28"/>
      <c r="W30" s="28"/>
      <c r="X30" s="139"/>
      <c r="Y30" s="140"/>
      <c r="Z30" s="28"/>
      <c r="AA30" s="28"/>
      <c r="AB30" s="28"/>
      <c r="AC30" s="28"/>
      <c r="AD30" s="28"/>
      <c r="AE30" s="28"/>
      <c r="AF30" s="28"/>
      <c r="AG30" s="28"/>
      <c r="AH30" s="28"/>
      <c r="AI30" s="139"/>
      <c r="AJ30" s="140"/>
      <c r="AK30" s="28"/>
      <c r="AL30" s="28"/>
      <c r="AM30" s="28"/>
      <c r="AN30" s="28"/>
      <c r="AO30" s="28"/>
      <c r="AP30" s="28"/>
      <c r="AQ30" s="28"/>
      <c r="AR30" s="28"/>
      <c r="AS30" s="28"/>
      <c r="AT30" s="139"/>
      <c r="AU30" s="140"/>
      <c r="AV30" s="28"/>
      <c r="AW30" s="28"/>
      <c r="AX30" s="28"/>
      <c r="AY30" s="139"/>
      <c r="AZ30" s="140"/>
      <c r="BA30" s="28"/>
      <c r="BB30" s="139"/>
      <c r="BC30" s="140"/>
      <c r="BD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138"/>
      <c r="K31" s="28"/>
      <c r="L31" s="28"/>
      <c r="M31" s="139"/>
      <c r="N31" s="140"/>
      <c r="O31" s="28"/>
      <c r="P31" s="28"/>
      <c r="Q31" s="28"/>
      <c r="R31" s="28"/>
      <c r="S31" s="28"/>
      <c r="T31" s="28"/>
      <c r="U31" s="28"/>
      <c r="V31" s="28"/>
      <c r="W31" s="28"/>
      <c r="X31" s="139"/>
      <c r="Y31" s="140"/>
      <c r="Z31" s="28"/>
      <c r="AA31" s="28"/>
      <c r="AB31" s="28"/>
      <c r="AC31" s="28"/>
      <c r="AD31" s="28"/>
      <c r="AE31" s="28"/>
      <c r="AF31" s="28"/>
      <c r="AG31" s="28"/>
      <c r="AH31" s="28"/>
      <c r="AI31" s="139"/>
      <c r="AJ31" s="140"/>
      <c r="AK31" s="28"/>
      <c r="AL31" s="28"/>
      <c r="AM31" s="28"/>
      <c r="AN31" s="28"/>
      <c r="AO31" s="28"/>
      <c r="AP31" s="28"/>
      <c r="AQ31" s="28"/>
      <c r="AR31" s="28"/>
      <c r="AS31" s="28"/>
      <c r="AT31" s="139"/>
      <c r="AU31" s="140"/>
      <c r="AV31" s="28"/>
      <c r="AW31" s="28"/>
      <c r="AX31" s="28"/>
      <c r="AY31" s="139"/>
      <c r="AZ31" s="140"/>
      <c r="BA31" s="28"/>
      <c r="BB31" s="139"/>
      <c r="BC31" s="140"/>
      <c r="BD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138"/>
      <c r="K32" s="28"/>
      <c r="L32" s="28"/>
      <c r="M32" s="139"/>
      <c r="N32" s="140"/>
      <c r="O32" s="28"/>
      <c r="P32" s="28"/>
      <c r="Q32" s="28"/>
      <c r="R32" s="28"/>
      <c r="S32" s="28"/>
      <c r="T32" s="28"/>
      <c r="U32" s="28"/>
      <c r="V32" s="28"/>
      <c r="W32" s="28"/>
      <c r="X32" s="139"/>
      <c r="Y32" s="140"/>
      <c r="Z32" s="28"/>
      <c r="AA32" s="28"/>
      <c r="AB32" s="28"/>
      <c r="AC32" s="28"/>
      <c r="AD32" s="28"/>
      <c r="AE32" s="28"/>
      <c r="AF32" s="28"/>
      <c r="AG32" s="28"/>
      <c r="AH32" s="28"/>
      <c r="AI32" s="139"/>
      <c r="AJ32" s="140"/>
      <c r="AK32" s="28"/>
      <c r="AL32" s="28"/>
      <c r="AM32" s="28"/>
      <c r="AN32" s="28"/>
      <c r="AO32" s="28"/>
      <c r="AP32" s="28"/>
      <c r="AQ32" s="28"/>
      <c r="AR32" s="28"/>
      <c r="AS32" s="28"/>
      <c r="AT32" s="139"/>
      <c r="AU32" s="140"/>
      <c r="AV32" s="28"/>
      <c r="AW32" s="28"/>
      <c r="AX32" s="28"/>
      <c r="AY32" s="139"/>
      <c r="AZ32" s="140"/>
      <c r="BA32" s="28"/>
      <c r="BB32" s="139"/>
      <c r="BC32" s="140"/>
      <c r="BD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138"/>
      <c r="K33" s="28"/>
      <c r="L33" s="28"/>
      <c r="M33" s="139"/>
      <c r="N33" s="140"/>
      <c r="O33" s="28"/>
      <c r="P33" s="28"/>
      <c r="Q33" s="28"/>
      <c r="R33" s="28"/>
      <c r="S33" s="28"/>
      <c r="T33" s="28"/>
      <c r="U33" s="28"/>
      <c r="V33" s="28"/>
      <c r="W33" s="28"/>
      <c r="X33" s="139"/>
      <c r="Y33" s="140"/>
      <c r="Z33" s="28"/>
      <c r="AA33" s="28"/>
      <c r="AB33" s="28"/>
      <c r="AC33" s="28"/>
      <c r="AD33" s="28"/>
      <c r="AE33" s="28"/>
      <c r="AF33" s="28"/>
      <c r="AG33" s="28"/>
      <c r="AH33" s="28"/>
      <c r="AI33" s="139"/>
      <c r="AJ33" s="140"/>
      <c r="AK33" s="28"/>
      <c r="AL33" s="28"/>
      <c r="AM33" s="28"/>
      <c r="AN33" s="28"/>
      <c r="AO33" s="28"/>
      <c r="AP33" s="28"/>
      <c r="AQ33" s="28"/>
      <c r="AR33" s="28"/>
      <c r="AS33" s="28"/>
      <c r="AT33" s="139"/>
      <c r="AU33" s="140"/>
      <c r="AV33" s="28"/>
      <c r="AW33" s="28"/>
      <c r="AX33" s="28"/>
      <c r="AY33" s="139"/>
      <c r="AZ33" s="140"/>
      <c r="BA33" s="28"/>
      <c r="BB33" s="139"/>
      <c r="BC33" s="140"/>
      <c r="BD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138"/>
      <c r="K34" s="28"/>
      <c r="L34" s="28"/>
      <c r="M34" s="139"/>
      <c r="N34" s="140"/>
      <c r="O34" s="28"/>
      <c r="P34" s="28"/>
      <c r="Q34" s="28"/>
      <c r="R34" s="28"/>
      <c r="S34" s="28"/>
      <c r="T34" s="28"/>
      <c r="U34" s="28"/>
      <c r="V34" s="28"/>
      <c r="W34" s="28"/>
      <c r="X34" s="139"/>
      <c r="Y34" s="140"/>
      <c r="Z34" s="28"/>
      <c r="AA34" s="28"/>
      <c r="AB34" s="28"/>
      <c r="AC34" s="28"/>
      <c r="AD34" s="28"/>
      <c r="AE34" s="28"/>
      <c r="AF34" s="28"/>
      <c r="AG34" s="28"/>
      <c r="AH34" s="28"/>
      <c r="AI34" s="139"/>
      <c r="AJ34" s="140"/>
      <c r="AK34" s="28"/>
      <c r="AL34" s="28"/>
      <c r="AM34" s="28"/>
      <c r="AN34" s="28"/>
      <c r="AO34" s="28"/>
      <c r="AP34" s="28"/>
      <c r="AQ34" s="28"/>
      <c r="AR34" s="28"/>
      <c r="AS34" s="28"/>
      <c r="AT34" s="139"/>
      <c r="AU34" s="140"/>
      <c r="AV34" s="28"/>
      <c r="AW34" s="28"/>
      <c r="AX34" s="28"/>
      <c r="AY34" s="139"/>
      <c r="AZ34" s="140"/>
      <c r="BA34" s="28"/>
      <c r="BB34" s="139"/>
      <c r="BC34" s="140"/>
      <c r="BD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138"/>
      <c r="K35" s="28"/>
      <c r="L35" s="28"/>
      <c r="M35" s="139"/>
      <c r="N35" s="140"/>
      <c r="O35" s="28"/>
      <c r="P35" s="28"/>
      <c r="Q35" s="28"/>
      <c r="R35" s="28"/>
      <c r="S35" s="28"/>
      <c r="T35" s="28"/>
      <c r="U35" s="28"/>
      <c r="V35" s="28"/>
      <c r="W35" s="28"/>
      <c r="X35" s="139"/>
      <c r="Y35" s="140"/>
      <c r="Z35" s="28"/>
      <c r="AA35" s="28"/>
      <c r="AB35" s="28"/>
      <c r="AC35" s="28"/>
      <c r="AD35" s="28"/>
      <c r="AE35" s="28"/>
      <c r="AF35" s="28"/>
      <c r="AG35" s="28"/>
      <c r="AH35" s="28"/>
      <c r="AI35" s="139"/>
      <c r="AJ35" s="140"/>
      <c r="AK35" s="28"/>
      <c r="AL35" s="28"/>
      <c r="AM35" s="28"/>
      <c r="AN35" s="28"/>
      <c r="AO35" s="28"/>
      <c r="AP35" s="28"/>
      <c r="AQ35" s="28"/>
      <c r="AR35" s="28"/>
      <c r="AS35" s="28"/>
      <c r="AT35" s="139"/>
      <c r="AU35" s="140"/>
      <c r="AV35" s="28"/>
      <c r="AW35" s="28"/>
      <c r="AX35" s="28"/>
      <c r="AY35" s="139"/>
      <c r="AZ35" s="140"/>
      <c r="BA35" s="28"/>
      <c r="BB35" s="139"/>
      <c r="BC35" s="140"/>
      <c r="BD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138"/>
      <c r="K36" s="28"/>
      <c r="L36" s="28"/>
      <c r="M36" s="139"/>
      <c r="N36" s="140"/>
      <c r="O36" s="28"/>
      <c r="P36" s="28"/>
      <c r="Q36" s="28"/>
      <c r="R36" s="28"/>
      <c r="S36" s="28"/>
      <c r="T36" s="28"/>
      <c r="U36" s="28"/>
      <c r="V36" s="28"/>
      <c r="W36" s="28"/>
      <c r="X36" s="139"/>
      <c r="Y36" s="140"/>
      <c r="Z36" s="28"/>
      <c r="AA36" s="28"/>
      <c r="AB36" s="28"/>
      <c r="AC36" s="28"/>
      <c r="AD36" s="28"/>
      <c r="AE36" s="28"/>
      <c r="AF36" s="28"/>
      <c r="AG36" s="28"/>
      <c r="AH36" s="28"/>
      <c r="AI36" s="139"/>
      <c r="AJ36" s="140"/>
      <c r="AK36" s="28"/>
      <c r="AL36" s="28"/>
      <c r="AM36" s="28"/>
      <c r="AN36" s="28"/>
      <c r="AO36" s="28"/>
      <c r="AP36" s="28"/>
      <c r="AQ36" s="28"/>
      <c r="AR36" s="28"/>
      <c r="AS36" s="28"/>
      <c r="AT36" s="139"/>
      <c r="AU36" s="140"/>
      <c r="AV36" s="28"/>
      <c r="AW36" s="28"/>
      <c r="AX36" s="28"/>
      <c r="AY36" s="139"/>
      <c r="AZ36" s="140"/>
      <c r="BA36" s="28"/>
      <c r="BB36" s="139"/>
      <c r="BC36" s="140"/>
      <c r="BD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138"/>
      <c r="K37" s="28"/>
      <c r="L37" s="28"/>
      <c r="M37" s="139"/>
      <c r="N37" s="140"/>
      <c r="O37" s="28"/>
      <c r="P37" s="28"/>
      <c r="Q37" s="28"/>
      <c r="R37" s="28"/>
      <c r="S37" s="28"/>
      <c r="T37" s="28"/>
      <c r="U37" s="28"/>
      <c r="V37" s="28"/>
      <c r="W37" s="28"/>
      <c r="X37" s="139"/>
      <c r="Y37" s="140"/>
      <c r="Z37" s="28"/>
      <c r="AA37" s="28"/>
      <c r="AB37" s="28"/>
      <c r="AC37" s="28"/>
      <c r="AD37" s="28"/>
      <c r="AE37" s="28"/>
      <c r="AF37" s="28"/>
      <c r="AG37" s="28"/>
      <c r="AH37" s="28"/>
      <c r="AI37" s="139"/>
      <c r="AJ37" s="140"/>
      <c r="AK37" s="28"/>
      <c r="AL37" s="28"/>
      <c r="AM37" s="28"/>
      <c r="AN37" s="28"/>
      <c r="AO37" s="28"/>
      <c r="AP37" s="28"/>
      <c r="AQ37" s="28"/>
      <c r="AR37" s="28"/>
      <c r="AS37" s="28"/>
      <c r="AT37" s="139"/>
      <c r="AU37" s="140"/>
      <c r="AV37" s="28"/>
      <c r="AW37" s="28"/>
      <c r="AX37" s="28"/>
      <c r="AY37" s="139"/>
      <c r="AZ37" s="140"/>
      <c r="BA37" s="28"/>
      <c r="BB37" s="139"/>
      <c r="BC37" s="140"/>
      <c r="BD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138"/>
      <c r="K38" s="28"/>
      <c r="L38" s="28"/>
      <c r="M38" s="139"/>
      <c r="N38" s="140"/>
      <c r="O38" s="28"/>
      <c r="P38" s="28"/>
      <c r="Q38" s="28"/>
      <c r="R38" s="28"/>
      <c r="S38" s="28"/>
      <c r="T38" s="28"/>
      <c r="U38" s="28"/>
      <c r="V38" s="28"/>
      <c r="W38" s="28"/>
      <c r="X38" s="139"/>
      <c r="Y38" s="140"/>
      <c r="Z38" s="28"/>
      <c r="AA38" s="28"/>
      <c r="AB38" s="28"/>
      <c r="AC38" s="28"/>
      <c r="AD38" s="28"/>
      <c r="AE38" s="28"/>
      <c r="AF38" s="28"/>
      <c r="AG38" s="28"/>
      <c r="AH38" s="28"/>
      <c r="AI38" s="139"/>
      <c r="AJ38" s="140"/>
      <c r="AK38" s="28"/>
      <c r="AL38" s="28"/>
      <c r="AM38" s="28"/>
      <c r="AN38" s="28"/>
      <c r="AO38" s="28"/>
      <c r="AP38" s="28"/>
      <c r="AQ38" s="28"/>
      <c r="AR38" s="28"/>
      <c r="AS38" s="28"/>
      <c r="AT38" s="139"/>
      <c r="AU38" s="140"/>
      <c r="AV38" s="28"/>
      <c r="AW38" s="28"/>
      <c r="AX38" s="28"/>
      <c r="AY38" s="139"/>
      <c r="AZ38" s="140"/>
      <c r="BA38" s="28"/>
      <c r="BB38" s="139"/>
      <c r="BC38" s="140"/>
      <c r="BD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138"/>
      <c r="K39" s="28"/>
      <c r="L39" s="28"/>
      <c r="M39" s="139"/>
      <c r="N39" s="140"/>
      <c r="O39" s="28"/>
      <c r="P39" s="28"/>
      <c r="Q39" s="28"/>
      <c r="R39" s="28"/>
      <c r="S39" s="28"/>
      <c r="T39" s="28"/>
      <c r="U39" s="28"/>
      <c r="V39" s="28"/>
      <c r="W39" s="28"/>
      <c r="X39" s="139"/>
      <c r="Y39" s="140"/>
      <c r="Z39" s="28"/>
      <c r="AA39" s="28"/>
      <c r="AB39" s="28"/>
      <c r="AC39" s="28"/>
      <c r="AD39" s="28"/>
      <c r="AE39" s="28"/>
      <c r="AF39" s="28"/>
      <c r="AG39" s="28"/>
      <c r="AH39" s="28"/>
      <c r="AI39" s="139"/>
      <c r="AJ39" s="140"/>
      <c r="AK39" s="28"/>
      <c r="AL39" s="28"/>
      <c r="AM39" s="28"/>
      <c r="AN39" s="28"/>
      <c r="AO39" s="28"/>
      <c r="AP39" s="28"/>
      <c r="AQ39" s="28"/>
      <c r="AR39" s="28"/>
      <c r="AS39" s="28"/>
      <c r="AT39" s="139"/>
      <c r="AU39" s="140"/>
      <c r="AV39" s="28"/>
      <c r="AW39" s="28"/>
      <c r="AX39" s="28"/>
      <c r="AY39" s="139"/>
      <c r="AZ39" s="140"/>
      <c r="BA39" s="28"/>
      <c r="BB39" s="139"/>
      <c r="BC39" s="140"/>
      <c r="BD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138"/>
      <c r="K40" s="28"/>
      <c r="L40" s="28"/>
      <c r="M40" s="139"/>
      <c r="N40" s="140"/>
      <c r="O40" s="28"/>
      <c r="P40" s="28"/>
      <c r="Q40" s="28"/>
      <c r="R40" s="28"/>
      <c r="S40" s="28"/>
      <c r="T40" s="28"/>
      <c r="U40" s="28"/>
      <c r="V40" s="28"/>
      <c r="W40" s="28"/>
      <c r="X40" s="139"/>
      <c r="Y40" s="140"/>
      <c r="Z40" s="28"/>
      <c r="AA40" s="28"/>
      <c r="AB40" s="28"/>
      <c r="AC40" s="28"/>
      <c r="AD40" s="28"/>
      <c r="AE40" s="28"/>
      <c r="AF40" s="28"/>
      <c r="AG40" s="28"/>
      <c r="AH40" s="28"/>
      <c r="AI40" s="139"/>
      <c r="AJ40" s="140"/>
      <c r="AK40" s="28"/>
      <c r="AL40" s="28"/>
      <c r="AM40" s="28"/>
      <c r="AN40" s="28"/>
      <c r="AO40" s="28"/>
      <c r="AP40" s="28"/>
      <c r="AQ40" s="28"/>
      <c r="AR40" s="28"/>
      <c r="AS40" s="28"/>
      <c r="AT40" s="139"/>
      <c r="AU40" s="140"/>
      <c r="AV40" s="28"/>
      <c r="AW40" s="28"/>
      <c r="AX40" s="28"/>
      <c r="AY40" s="139"/>
      <c r="AZ40" s="140"/>
      <c r="BA40" s="28"/>
      <c r="BB40" s="139"/>
      <c r="BC40" s="140"/>
      <c r="BD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138"/>
      <c r="K41" s="28"/>
      <c r="L41" s="28"/>
      <c r="M41" s="139"/>
      <c r="N41" s="140"/>
      <c r="O41" s="28"/>
      <c r="P41" s="28"/>
      <c r="Q41" s="28"/>
      <c r="R41" s="28"/>
      <c r="S41" s="28"/>
      <c r="T41" s="28"/>
      <c r="U41" s="28"/>
      <c r="V41" s="28"/>
      <c r="W41" s="28"/>
      <c r="X41" s="139"/>
      <c r="Y41" s="140"/>
      <c r="Z41" s="28"/>
      <c r="AA41" s="28"/>
      <c r="AB41" s="28"/>
      <c r="AC41" s="28"/>
      <c r="AD41" s="28"/>
      <c r="AE41" s="28"/>
      <c r="AF41" s="28"/>
      <c r="AG41" s="28"/>
      <c r="AH41" s="28"/>
      <c r="AI41" s="139"/>
      <c r="AJ41" s="140"/>
      <c r="AK41" s="28"/>
      <c r="AL41" s="28"/>
      <c r="AM41" s="28"/>
      <c r="AN41" s="28"/>
      <c r="AO41" s="28"/>
      <c r="AP41" s="28"/>
      <c r="AQ41" s="28"/>
      <c r="AR41" s="28"/>
      <c r="AS41" s="28"/>
      <c r="AT41" s="139"/>
      <c r="AU41" s="140"/>
      <c r="AV41" s="28"/>
      <c r="AW41" s="28"/>
      <c r="AX41" s="28"/>
      <c r="AY41" s="139"/>
      <c r="AZ41" s="140"/>
      <c r="BA41" s="28"/>
      <c r="BB41" s="139"/>
      <c r="BC41" s="140"/>
      <c r="BD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138"/>
      <c r="K42" s="28"/>
      <c r="L42" s="28"/>
      <c r="M42" s="139"/>
      <c r="N42" s="140"/>
      <c r="O42" s="28"/>
      <c r="P42" s="28"/>
      <c r="Q42" s="28"/>
      <c r="R42" s="28"/>
      <c r="S42" s="28"/>
      <c r="T42" s="28"/>
      <c r="U42" s="28"/>
      <c r="V42" s="28"/>
      <c r="W42" s="28"/>
      <c r="X42" s="139"/>
      <c r="Y42" s="140"/>
      <c r="Z42" s="28"/>
      <c r="AA42" s="28"/>
      <c r="AB42" s="28"/>
      <c r="AC42" s="28"/>
      <c r="AD42" s="28"/>
      <c r="AE42" s="28"/>
      <c r="AF42" s="28"/>
      <c r="AG42" s="28"/>
      <c r="AH42" s="28"/>
      <c r="AI42" s="139"/>
      <c r="AJ42" s="140"/>
      <c r="AK42" s="28"/>
      <c r="AL42" s="28"/>
      <c r="AM42" s="28"/>
      <c r="AN42" s="28"/>
      <c r="AO42" s="28"/>
      <c r="AP42" s="28"/>
      <c r="AQ42" s="28"/>
      <c r="AR42" s="28"/>
      <c r="AS42" s="28"/>
      <c r="AT42" s="139"/>
      <c r="AU42" s="140"/>
      <c r="AV42" s="28"/>
      <c r="AW42" s="28"/>
      <c r="AX42" s="28"/>
      <c r="AY42" s="139"/>
      <c r="AZ42" s="140"/>
      <c r="BA42" s="28"/>
      <c r="BB42" s="139"/>
      <c r="BC42" s="140"/>
      <c r="BD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138"/>
      <c r="K43" s="28"/>
      <c r="L43" s="28"/>
      <c r="M43" s="139"/>
      <c r="N43" s="140"/>
      <c r="O43" s="28"/>
      <c r="P43" s="28"/>
      <c r="Q43" s="28"/>
      <c r="R43" s="28"/>
      <c r="S43" s="28"/>
      <c r="T43" s="28"/>
      <c r="U43" s="28"/>
      <c r="V43" s="28"/>
      <c r="W43" s="28"/>
      <c r="X43" s="139"/>
      <c r="Y43" s="140"/>
      <c r="Z43" s="28"/>
      <c r="AA43" s="28"/>
      <c r="AB43" s="28"/>
      <c r="AC43" s="28"/>
      <c r="AD43" s="28"/>
      <c r="AE43" s="28"/>
      <c r="AF43" s="28"/>
      <c r="AG43" s="28"/>
      <c r="AH43" s="28"/>
      <c r="AI43" s="139"/>
      <c r="AJ43" s="140"/>
      <c r="AK43" s="28"/>
      <c r="AL43" s="28"/>
      <c r="AM43" s="28"/>
      <c r="AN43" s="28"/>
      <c r="AO43" s="28"/>
      <c r="AP43" s="28"/>
      <c r="AQ43" s="28"/>
      <c r="AR43" s="28"/>
      <c r="AS43" s="28"/>
      <c r="AT43" s="139"/>
      <c r="AU43" s="140"/>
      <c r="AV43" s="28"/>
      <c r="AW43" s="28"/>
      <c r="AX43" s="28"/>
      <c r="AY43" s="139"/>
      <c r="AZ43" s="140"/>
      <c r="BA43" s="28"/>
      <c r="BB43" s="139"/>
      <c r="BC43" s="140"/>
      <c r="BD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138"/>
      <c r="K44" s="28"/>
      <c r="L44" s="28"/>
      <c r="M44" s="139"/>
      <c r="N44" s="140"/>
      <c r="O44" s="28"/>
      <c r="P44" s="28"/>
      <c r="Q44" s="28"/>
      <c r="R44" s="28"/>
      <c r="S44" s="28"/>
      <c r="T44" s="28"/>
      <c r="U44" s="28"/>
      <c r="V44" s="28"/>
      <c r="W44" s="28"/>
      <c r="X44" s="139"/>
      <c r="Y44" s="140"/>
      <c r="Z44" s="28"/>
      <c r="AA44" s="28"/>
      <c r="AB44" s="28"/>
      <c r="AC44" s="28"/>
      <c r="AD44" s="28"/>
      <c r="AE44" s="28"/>
      <c r="AF44" s="28"/>
      <c r="AG44" s="28"/>
      <c r="AH44" s="28"/>
      <c r="AI44" s="139"/>
      <c r="AJ44" s="140"/>
      <c r="AK44" s="28"/>
      <c r="AL44" s="28"/>
      <c r="AM44" s="28"/>
      <c r="AN44" s="28"/>
      <c r="AO44" s="28"/>
      <c r="AP44" s="28"/>
      <c r="AQ44" s="28"/>
      <c r="AR44" s="28"/>
      <c r="AS44" s="28"/>
      <c r="AT44" s="139"/>
      <c r="AU44" s="140"/>
      <c r="AV44" s="28"/>
      <c r="AW44" s="28"/>
      <c r="AX44" s="28"/>
      <c r="AY44" s="139"/>
      <c r="AZ44" s="140"/>
      <c r="BA44" s="28"/>
      <c r="BB44" s="139"/>
      <c r="BC44" s="140"/>
      <c r="BD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138"/>
      <c r="K45" s="28"/>
      <c r="L45" s="28"/>
      <c r="M45" s="139"/>
      <c r="N45" s="140"/>
      <c r="O45" s="28"/>
      <c r="P45" s="28"/>
      <c r="Q45" s="28"/>
      <c r="R45" s="28"/>
      <c r="S45" s="28"/>
      <c r="T45" s="28"/>
      <c r="U45" s="28"/>
      <c r="V45" s="28"/>
      <c r="W45" s="28"/>
      <c r="X45" s="139"/>
      <c r="Y45" s="140"/>
      <c r="Z45" s="28"/>
      <c r="AA45" s="28"/>
      <c r="AB45" s="28"/>
      <c r="AC45" s="28"/>
      <c r="AD45" s="28"/>
      <c r="AE45" s="28"/>
      <c r="AF45" s="28"/>
      <c r="AG45" s="28"/>
      <c r="AH45" s="28"/>
      <c r="AI45" s="139"/>
      <c r="AJ45" s="140"/>
      <c r="AK45" s="28"/>
      <c r="AL45" s="28"/>
      <c r="AM45" s="28"/>
      <c r="AN45" s="28"/>
      <c r="AO45" s="28"/>
      <c r="AP45" s="28"/>
      <c r="AQ45" s="28"/>
      <c r="AR45" s="28"/>
      <c r="AS45" s="28"/>
      <c r="AT45" s="139"/>
      <c r="AU45" s="140"/>
      <c r="AV45" s="28"/>
      <c r="AW45" s="28"/>
      <c r="AX45" s="28"/>
      <c r="AY45" s="139"/>
      <c r="AZ45" s="140"/>
      <c r="BA45" s="28"/>
      <c r="BB45" s="139"/>
      <c r="BC45" s="140"/>
      <c r="BD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138"/>
      <c r="K46" s="28"/>
      <c r="L46" s="28"/>
      <c r="M46" s="139"/>
      <c r="N46" s="140"/>
      <c r="O46" s="28"/>
      <c r="P46" s="28"/>
      <c r="Q46" s="28"/>
      <c r="R46" s="28"/>
      <c r="S46" s="28"/>
      <c r="T46" s="28"/>
      <c r="U46" s="28"/>
      <c r="V46" s="28"/>
      <c r="W46" s="28"/>
      <c r="X46" s="139"/>
      <c r="Y46" s="140"/>
      <c r="Z46" s="28"/>
      <c r="AA46" s="28"/>
      <c r="AB46" s="28"/>
      <c r="AC46" s="28"/>
      <c r="AD46" s="28"/>
      <c r="AE46" s="28"/>
      <c r="AF46" s="28"/>
      <c r="AG46" s="28"/>
      <c r="AH46" s="28"/>
      <c r="AI46" s="139"/>
      <c r="AJ46" s="140"/>
      <c r="AK46" s="28"/>
      <c r="AL46" s="28"/>
      <c r="AM46" s="28"/>
      <c r="AN46" s="28"/>
      <c r="AO46" s="28"/>
      <c r="AP46" s="28"/>
      <c r="AQ46" s="28"/>
      <c r="AR46" s="28"/>
      <c r="AS46" s="28"/>
      <c r="AT46" s="139"/>
      <c r="AU46" s="140"/>
      <c r="AV46" s="28"/>
      <c r="AW46" s="28"/>
      <c r="AX46" s="28"/>
      <c r="AY46" s="139"/>
      <c r="AZ46" s="140"/>
      <c r="BA46" s="28"/>
      <c r="BB46" s="139"/>
      <c r="BC46" s="140"/>
      <c r="BD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138"/>
      <c r="K47" s="28"/>
      <c r="L47" s="28"/>
      <c r="M47" s="139"/>
      <c r="N47" s="140"/>
      <c r="O47" s="28"/>
      <c r="P47" s="28"/>
      <c r="Q47" s="28"/>
      <c r="R47" s="28"/>
      <c r="S47" s="28"/>
      <c r="T47" s="28"/>
      <c r="U47" s="28"/>
      <c r="V47" s="28"/>
      <c r="W47" s="28"/>
      <c r="X47" s="139"/>
      <c r="Y47" s="140"/>
      <c r="Z47" s="28"/>
      <c r="AA47" s="28"/>
      <c r="AB47" s="28"/>
      <c r="AC47" s="28"/>
      <c r="AD47" s="28"/>
      <c r="AE47" s="28"/>
      <c r="AF47" s="28"/>
      <c r="AG47" s="28"/>
      <c r="AH47" s="28"/>
      <c r="AI47" s="139"/>
      <c r="AJ47" s="140"/>
      <c r="AK47" s="28"/>
      <c r="AL47" s="28"/>
      <c r="AM47" s="28"/>
      <c r="AN47" s="28"/>
      <c r="AO47" s="28"/>
      <c r="AP47" s="28"/>
      <c r="AQ47" s="28"/>
      <c r="AR47" s="28"/>
      <c r="AS47" s="28"/>
      <c r="AT47" s="139"/>
      <c r="AU47" s="140"/>
      <c r="AV47" s="28"/>
      <c r="AW47" s="28"/>
      <c r="AX47" s="28"/>
      <c r="AY47" s="139"/>
      <c r="AZ47" s="140"/>
      <c r="BA47" s="28"/>
      <c r="BB47" s="139"/>
      <c r="BC47" s="140"/>
      <c r="BD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138"/>
      <c r="K48" s="28"/>
      <c r="L48" s="28"/>
      <c r="M48" s="139"/>
      <c r="N48" s="140"/>
      <c r="O48" s="28"/>
      <c r="P48" s="28"/>
      <c r="Q48" s="28"/>
      <c r="R48" s="28"/>
      <c r="S48" s="28"/>
      <c r="T48" s="28"/>
      <c r="U48" s="28"/>
      <c r="V48" s="28"/>
      <c r="W48" s="28"/>
      <c r="X48" s="139"/>
      <c r="Y48" s="140"/>
      <c r="Z48" s="28"/>
      <c r="AA48" s="28"/>
      <c r="AB48" s="28"/>
      <c r="AC48" s="28"/>
      <c r="AD48" s="28"/>
      <c r="AE48" s="28"/>
      <c r="AF48" s="28"/>
      <c r="AG48" s="28"/>
      <c r="AH48" s="28"/>
      <c r="AI48" s="139"/>
      <c r="AJ48" s="140"/>
      <c r="AK48" s="28"/>
      <c r="AL48" s="28"/>
      <c r="AM48" s="28"/>
      <c r="AN48" s="28"/>
      <c r="AO48" s="28"/>
      <c r="AP48" s="28"/>
      <c r="AQ48" s="28"/>
      <c r="AR48" s="28"/>
      <c r="AS48" s="28"/>
      <c r="AT48" s="139"/>
      <c r="AU48" s="140"/>
      <c r="AV48" s="28"/>
      <c r="AW48" s="28"/>
      <c r="AX48" s="28"/>
      <c r="AY48" s="139"/>
      <c r="AZ48" s="140"/>
      <c r="BA48" s="28"/>
      <c r="BB48" s="139"/>
      <c r="BC48" s="140"/>
      <c r="BD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138"/>
      <c r="K49" s="28"/>
      <c r="L49" s="28"/>
      <c r="M49" s="139"/>
      <c r="N49" s="140"/>
      <c r="O49" s="28"/>
      <c r="P49" s="28"/>
      <c r="Q49" s="28"/>
      <c r="R49" s="28"/>
      <c r="S49" s="28"/>
      <c r="T49" s="28"/>
      <c r="U49" s="28"/>
      <c r="V49" s="28"/>
      <c r="W49" s="28"/>
      <c r="X49" s="139"/>
      <c r="Y49" s="140"/>
      <c r="Z49" s="28"/>
      <c r="AA49" s="28"/>
      <c r="AB49" s="28"/>
      <c r="AC49" s="28"/>
      <c r="AD49" s="28"/>
      <c r="AE49" s="28"/>
      <c r="AF49" s="28"/>
      <c r="AG49" s="28"/>
      <c r="AH49" s="28"/>
      <c r="AI49" s="139"/>
      <c r="AJ49" s="140"/>
      <c r="AK49" s="28"/>
      <c r="AL49" s="28"/>
      <c r="AM49" s="28"/>
      <c r="AN49" s="28"/>
      <c r="AO49" s="28"/>
      <c r="AP49" s="28"/>
      <c r="AQ49" s="28"/>
      <c r="AR49" s="28"/>
      <c r="AS49" s="28"/>
      <c r="AT49" s="139"/>
      <c r="AU49" s="140"/>
      <c r="AV49" s="28"/>
      <c r="AW49" s="28"/>
      <c r="AX49" s="28"/>
      <c r="AY49" s="139"/>
      <c r="AZ49" s="140"/>
      <c r="BA49" s="28"/>
      <c r="BB49" s="139"/>
      <c r="BC49" s="140"/>
      <c r="BD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138"/>
      <c r="K50" s="28"/>
      <c r="L50" s="28"/>
      <c r="M50" s="139"/>
      <c r="N50" s="140"/>
      <c r="O50" s="28"/>
      <c r="P50" s="28"/>
      <c r="Q50" s="28"/>
      <c r="R50" s="28"/>
      <c r="S50" s="28"/>
      <c r="T50" s="28"/>
      <c r="U50" s="28"/>
      <c r="V50" s="28"/>
      <c r="W50" s="28"/>
      <c r="X50" s="139"/>
      <c r="Y50" s="140"/>
      <c r="Z50" s="28"/>
      <c r="AA50" s="28"/>
      <c r="AB50" s="28"/>
      <c r="AC50" s="28"/>
      <c r="AD50" s="28"/>
      <c r="AE50" s="28"/>
      <c r="AF50" s="28"/>
      <c r="AG50" s="28"/>
      <c r="AH50" s="28"/>
      <c r="AI50" s="139"/>
      <c r="AJ50" s="140"/>
      <c r="AK50" s="28"/>
      <c r="AL50" s="28"/>
      <c r="AM50" s="28"/>
      <c r="AN50" s="28"/>
      <c r="AO50" s="28"/>
      <c r="AP50" s="28"/>
      <c r="AQ50" s="28"/>
      <c r="AR50" s="28"/>
      <c r="AS50" s="28"/>
      <c r="AT50" s="139"/>
      <c r="AU50" s="140"/>
      <c r="AV50" s="28"/>
      <c r="AW50" s="28"/>
      <c r="AX50" s="28"/>
      <c r="AY50" s="139"/>
      <c r="AZ50" s="140"/>
      <c r="BA50" s="28"/>
      <c r="BB50" s="139"/>
      <c r="BC50" s="140"/>
      <c r="BD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138"/>
      <c r="K51" s="28"/>
      <c r="L51" s="28"/>
      <c r="M51" s="139"/>
      <c r="N51" s="140"/>
      <c r="O51" s="28"/>
      <c r="P51" s="28"/>
      <c r="Q51" s="28"/>
      <c r="R51" s="28"/>
      <c r="S51" s="28"/>
      <c r="T51" s="28"/>
      <c r="U51" s="28"/>
      <c r="V51" s="28"/>
      <c r="W51" s="28"/>
      <c r="X51" s="139"/>
      <c r="Y51" s="140"/>
      <c r="Z51" s="28"/>
      <c r="AA51" s="28"/>
      <c r="AB51" s="28"/>
      <c r="AC51" s="28"/>
      <c r="AD51" s="28"/>
      <c r="AE51" s="28"/>
      <c r="AF51" s="28"/>
      <c r="AG51" s="28"/>
      <c r="AH51" s="28"/>
      <c r="AI51" s="139"/>
      <c r="AJ51" s="140"/>
      <c r="AK51" s="28"/>
      <c r="AL51" s="28"/>
      <c r="AM51" s="28"/>
      <c r="AN51" s="28"/>
      <c r="AO51" s="28"/>
      <c r="AP51" s="28"/>
      <c r="AQ51" s="28"/>
      <c r="AR51" s="28"/>
      <c r="AS51" s="28"/>
      <c r="AT51" s="139"/>
      <c r="AU51" s="140"/>
      <c r="AV51" s="28"/>
      <c r="AW51" s="28"/>
      <c r="AX51" s="28"/>
      <c r="AY51" s="139"/>
      <c r="AZ51" s="140"/>
      <c r="BA51" s="28"/>
      <c r="BB51" s="139"/>
      <c r="BC51" s="140"/>
      <c r="BD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138"/>
      <c r="K52" s="28"/>
      <c r="L52" s="28"/>
      <c r="M52" s="139"/>
      <c r="N52" s="140"/>
      <c r="O52" s="28"/>
      <c r="P52" s="28"/>
      <c r="Q52" s="28"/>
      <c r="R52" s="28"/>
      <c r="S52" s="28"/>
      <c r="T52" s="28"/>
      <c r="U52" s="28"/>
      <c r="V52" s="28"/>
      <c r="W52" s="28"/>
      <c r="X52" s="139"/>
      <c r="Y52" s="140"/>
      <c r="Z52" s="28"/>
      <c r="AA52" s="28"/>
      <c r="AB52" s="28"/>
      <c r="AC52" s="28"/>
      <c r="AD52" s="28"/>
      <c r="AE52" s="28"/>
      <c r="AF52" s="28"/>
      <c r="AG52" s="28"/>
      <c r="AH52" s="28"/>
      <c r="AI52" s="139"/>
      <c r="AJ52" s="140"/>
      <c r="AK52" s="28"/>
      <c r="AL52" s="28"/>
      <c r="AM52" s="28"/>
      <c r="AN52" s="28"/>
      <c r="AO52" s="28"/>
      <c r="AP52" s="28"/>
      <c r="AQ52" s="28"/>
      <c r="AR52" s="28"/>
      <c r="AS52" s="28"/>
      <c r="AT52" s="139"/>
      <c r="AU52" s="140"/>
      <c r="AV52" s="28"/>
      <c r="AW52" s="28"/>
      <c r="AX52" s="28"/>
      <c r="AY52" s="139"/>
      <c r="AZ52" s="140"/>
      <c r="BA52" s="28"/>
      <c r="BB52" s="139"/>
      <c r="BC52" s="140"/>
      <c r="BD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138"/>
      <c r="K53" s="28"/>
      <c r="L53" s="28"/>
      <c r="M53" s="139"/>
      <c r="N53" s="140"/>
      <c r="O53" s="28"/>
      <c r="P53" s="28"/>
      <c r="Q53" s="28"/>
      <c r="R53" s="28"/>
      <c r="S53" s="28"/>
      <c r="T53" s="28"/>
      <c r="U53" s="28"/>
      <c r="V53" s="28"/>
      <c r="W53" s="28"/>
      <c r="X53" s="139"/>
      <c r="Y53" s="140"/>
      <c r="Z53" s="28"/>
      <c r="AA53" s="28"/>
      <c r="AB53" s="28"/>
      <c r="AC53" s="28"/>
      <c r="AD53" s="28"/>
      <c r="AE53" s="28"/>
      <c r="AF53" s="28"/>
      <c r="AG53" s="28"/>
      <c r="AH53" s="28"/>
      <c r="AI53" s="139"/>
      <c r="AJ53" s="140"/>
      <c r="AK53" s="28"/>
      <c r="AL53" s="28"/>
      <c r="AM53" s="28"/>
      <c r="AN53" s="28"/>
      <c r="AO53" s="28"/>
      <c r="AP53" s="28"/>
      <c r="AQ53" s="28"/>
      <c r="AR53" s="28"/>
      <c r="AS53" s="28"/>
      <c r="AT53" s="139"/>
      <c r="AU53" s="140"/>
      <c r="AV53" s="28"/>
      <c r="AW53" s="28"/>
      <c r="AX53" s="28"/>
      <c r="AY53" s="139"/>
      <c r="AZ53" s="140"/>
      <c r="BA53" s="28"/>
      <c r="BB53" s="139"/>
      <c r="BC53" s="140"/>
      <c r="BD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138"/>
      <c r="K54" s="28"/>
      <c r="L54" s="28"/>
      <c r="M54" s="139"/>
      <c r="N54" s="140"/>
      <c r="O54" s="28"/>
      <c r="P54" s="28"/>
      <c r="Q54" s="28"/>
      <c r="R54" s="28"/>
      <c r="S54" s="28"/>
      <c r="T54" s="28"/>
      <c r="U54" s="28"/>
      <c r="V54" s="28"/>
      <c r="W54" s="28"/>
      <c r="X54" s="139"/>
      <c r="Y54" s="140"/>
      <c r="Z54" s="28"/>
      <c r="AA54" s="28"/>
      <c r="AB54" s="28"/>
      <c r="AC54" s="28"/>
      <c r="AD54" s="28"/>
      <c r="AE54" s="28"/>
      <c r="AF54" s="28"/>
      <c r="AG54" s="28"/>
      <c r="AH54" s="28"/>
      <c r="AI54" s="139"/>
      <c r="AJ54" s="140"/>
      <c r="AK54" s="28"/>
      <c r="AL54" s="28"/>
      <c r="AM54" s="28"/>
      <c r="AN54" s="28"/>
      <c r="AO54" s="28"/>
      <c r="AP54" s="28"/>
      <c r="AQ54" s="28"/>
      <c r="AR54" s="28"/>
      <c r="AS54" s="28"/>
      <c r="AT54" s="139"/>
      <c r="AU54" s="140"/>
      <c r="AV54" s="28"/>
      <c r="AW54" s="28"/>
      <c r="AX54" s="28"/>
      <c r="AY54" s="139"/>
      <c r="AZ54" s="140"/>
      <c r="BA54" s="28"/>
      <c r="BB54" s="139"/>
      <c r="BC54" s="140"/>
      <c r="BD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138"/>
      <c r="K55" s="28"/>
      <c r="L55" s="28"/>
      <c r="M55" s="139"/>
      <c r="N55" s="140"/>
      <c r="O55" s="28"/>
      <c r="P55" s="28"/>
      <c r="Q55" s="28"/>
      <c r="R55" s="28"/>
      <c r="S55" s="28"/>
      <c r="T55" s="28"/>
      <c r="U55" s="28"/>
      <c r="V55" s="28"/>
      <c r="W55" s="28"/>
      <c r="X55" s="139"/>
      <c r="Y55" s="140"/>
      <c r="Z55" s="28"/>
      <c r="AA55" s="28"/>
      <c r="AB55" s="28"/>
      <c r="AC55" s="28"/>
      <c r="AD55" s="28"/>
      <c r="AE55" s="28"/>
      <c r="AF55" s="28"/>
      <c r="AG55" s="28"/>
      <c r="AH55" s="28"/>
      <c r="AI55" s="139"/>
      <c r="AJ55" s="140"/>
      <c r="AK55" s="28"/>
      <c r="AL55" s="28"/>
      <c r="AM55" s="28"/>
      <c r="AN55" s="28"/>
      <c r="AO55" s="28"/>
      <c r="AP55" s="28"/>
      <c r="AQ55" s="28"/>
      <c r="AR55" s="28"/>
      <c r="AS55" s="28"/>
      <c r="AT55" s="139"/>
      <c r="AU55" s="140"/>
      <c r="AV55" s="28"/>
      <c r="AW55" s="28"/>
      <c r="AX55" s="28"/>
      <c r="AY55" s="139"/>
      <c r="AZ55" s="140"/>
      <c r="BA55" s="28"/>
      <c r="BB55" s="139"/>
      <c r="BC55" s="140"/>
      <c r="BD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138"/>
      <c r="K56" s="28"/>
      <c r="L56" s="28"/>
      <c r="M56" s="139"/>
      <c r="N56" s="140"/>
      <c r="O56" s="28"/>
      <c r="P56" s="28"/>
      <c r="Q56" s="28"/>
      <c r="R56" s="28"/>
      <c r="S56" s="28"/>
      <c r="T56" s="28"/>
      <c r="U56" s="28"/>
      <c r="V56" s="28"/>
      <c r="W56" s="28"/>
      <c r="X56" s="139"/>
      <c r="Y56" s="140"/>
      <c r="Z56" s="28"/>
      <c r="AA56" s="28"/>
      <c r="AB56" s="28"/>
      <c r="AC56" s="28"/>
      <c r="AD56" s="28"/>
      <c r="AE56" s="28"/>
      <c r="AF56" s="28"/>
      <c r="AG56" s="28"/>
      <c r="AH56" s="28"/>
      <c r="AI56" s="139"/>
      <c r="AJ56" s="140"/>
      <c r="AK56" s="28"/>
      <c r="AL56" s="28"/>
      <c r="AM56" s="28"/>
      <c r="AN56" s="28"/>
      <c r="AO56" s="28"/>
      <c r="AP56" s="28"/>
      <c r="AQ56" s="28"/>
      <c r="AR56" s="28"/>
      <c r="AS56" s="28"/>
      <c r="AT56" s="139"/>
      <c r="AU56" s="140"/>
      <c r="AV56" s="28"/>
      <c r="AW56" s="28"/>
      <c r="AX56" s="28"/>
      <c r="AY56" s="139"/>
      <c r="AZ56" s="140"/>
      <c r="BA56" s="28"/>
      <c r="BB56" s="139"/>
      <c r="BC56" s="140"/>
      <c r="BD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138"/>
      <c r="K57" s="28"/>
      <c r="L57" s="28"/>
      <c r="M57" s="139"/>
      <c r="N57" s="140"/>
      <c r="O57" s="28"/>
      <c r="P57" s="28"/>
      <c r="Q57" s="28"/>
      <c r="R57" s="28"/>
      <c r="S57" s="28"/>
      <c r="T57" s="28"/>
      <c r="U57" s="28"/>
      <c r="V57" s="28"/>
      <c r="W57" s="28"/>
      <c r="X57" s="139"/>
      <c r="Y57" s="140"/>
      <c r="Z57" s="28"/>
      <c r="AA57" s="28"/>
      <c r="AB57" s="28"/>
      <c r="AC57" s="28"/>
      <c r="AD57" s="28"/>
      <c r="AE57" s="28"/>
      <c r="AF57" s="28"/>
      <c r="AG57" s="28"/>
      <c r="AH57" s="28"/>
      <c r="AI57" s="139"/>
      <c r="AJ57" s="140"/>
      <c r="AK57" s="28"/>
      <c r="AL57" s="28"/>
      <c r="AM57" s="28"/>
      <c r="AN57" s="28"/>
      <c r="AO57" s="28"/>
      <c r="AP57" s="28"/>
      <c r="AQ57" s="28"/>
      <c r="AR57" s="28"/>
      <c r="AS57" s="28"/>
      <c r="AT57" s="139"/>
      <c r="AU57" s="140"/>
      <c r="AV57" s="28"/>
      <c r="AW57" s="28"/>
      <c r="AX57" s="28"/>
      <c r="AY57" s="139"/>
      <c r="AZ57" s="140"/>
      <c r="BA57" s="28"/>
      <c r="BB57" s="139"/>
      <c r="BC57" s="140"/>
      <c r="BD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138"/>
      <c r="K58" s="28"/>
      <c r="L58" s="28"/>
      <c r="M58" s="139"/>
      <c r="N58" s="140"/>
      <c r="O58" s="28"/>
      <c r="P58" s="28"/>
      <c r="Q58" s="28"/>
      <c r="R58" s="28"/>
      <c r="S58" s="28"/>
      <c r="T58" s="28"/>
      <c r="U58" s="28"/>
      <c r="V58" s="28"/>
      <c r="W58" s="28"/>
      <c r="X58" s="139"/>
      <c r="Y58" s="140"/>
      <c r="Z58" s="28"/>
      <c r="AA58" s="28"/>
      <c r="AB58" s="28"/>
      <c r="AC58" s="28"/>
      <c r="AD58" s="28"/>
      <c r="AE58" s="28"/>
      <c r="AF58" s="28"/>
      <c r="AG58" s="28"/>
      <c r="AH58" s="28"/>
      <c r="AI58" s="139"/>
      <c r="AJ58" s="140"/>
      <c r="AK58" s="28"/>
      <c r="AL58" s="28"/>
      <c r="AM58" s="28"/>
      <c r="AN58" s="28"/>
      <c r="AO58" s="28"/>
      <c r="AP58" s="28"/>
      <c r="AQ58" s="28"/>
      <c r="AR58" s="28"/>
      <c r="AS58" s="28"/>
      <c r="AT58" s="139"/>
      <c r="AU58" s="140"/>
      <c r="AV58" s="28"/>
      <c r="AW58" s="28"/>
      <c r="AX58" s="28"/>
      <c r="AY58" s="139"/>
      <c r="AZ58" s="140"/>
      <c r="BA58" s="28"/>
      <c r="BB58" s="139"/>
      <c r="BC58" s="140"/>
      <c r="BD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138"/>
      <c r="K59" s="28"/>
      <c r="L59" s="28"/>
      <c r="M59" s="139"/>
      <c r="N59" s="140"/>
      <c r="O59" s="28"/>
      <c r="P59" s="28"/>
      <c r="Q59" s="28"/>
      <c r="R59" s="28"/>
      <c r="S59" s="28"/>
      <c r="T59" s="28"/>
      <c r="U59" s="28"/>
      <c r="V59" s="28"/>
      <c r="W59" s="28"/>
      <c r="X59" s="139"/>
      <c r="Y59" s="140"/>
      <c r="Z59" s="28"/>
      <c r="AA59" s="28"/>
      <c r="AB59" s="28"/>
      <c r="AC59" s="28"/>
      <c r="AD59" s="28"/>
      <c r="AE59" s="28"/>
      <c r="AF59" s="28"/>
      <c r="AG59" s="28"/>
      <c r="AH59" s="28"/>
      <c r="AI59" s="139"/>
      <c r="AJ59" s="140"/>
      <c r="AK59" s="28"/>
      <c r="AL59" s="28"/>
      <c r="AM59" s="28"/>
      <c r="AN59" s="28"/>
      <c r="AO59" s="28"/>
      <c r="AP59" s="28"/>
      <c r="AQ59" s="28"/>
      <c r="AR59" s="28"/>
      <c r="AS59" s="28"/>
      <c r="AT59" s="139"/>
      <c r="AU59" s="140"/>
      <c r="AV59" s="28"/>
      <c r="AW59" s="28"/>
      <c r="AX59" s="28"/>
      <c r="AY59" s="139"/>
      <c r="AZ59" s="140"/>
      <c r="BA59" s="28"/>
      <c r="BB59" s="139"/>
      <c r="BC59" s="140"/>
      <c r="BD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138"/>
      <c r="K60" s="28"/>
      <c r="L60" s="28"/>
      <c r="M60" s="139"/>
      <c r="N60" s="140"/>
      <c r="O60" s="28"/>
      <c r="P60" s="28"/>
      <c r="Q60" s="28"/>
      <c r="R60" s="28"/>
      <c r="S60" s="28"/>
      <c r="T60" s="28"/>
      <c r="U60" s="28"/>
      <c r="V60" s="28"/>
      <c r="W60" s="28"/>
      <c r="X60" s="139"/>
      <c r="Y60" s="140"/>
      <c r="Z60" s="28"/>
      <c r="AA60" s="28"/>
      <c r="AB60" s="28"/>
      <c r="AC60" s="28"/>
      <c r="AD60" s="28"/>
      <c r="AE60" s="28"/>
      <c r="AF60" s="28"/>
      <c r="AG60" s="28"/>
      <c r="AH60" s="28"/>
      <c r="AI60" s="139"/>
      <c r="AJ60" s="140"/>
      <c r="AK60" s="28"/>
      <c r="AL60" s="28"/>
      <c r="AM60" s="28"/>
      <c r="AN60" s="28"/>
      <c r="AO60" s="28"/>
      <c r="AP60" s="28"/>
      <c r="AQ60" s="28"/>
      <c r="AR60" s="28"/>
      <c r="AS60" s="28"/>
      <c r="AT60" s="139"/>
      <c r="AU60" s="140"/>
      <c r="AV60" s="28"/>
      <c r="AW60" s="28"/>
      <c r="AX60" s="28"/>
      <c r="AY60" s="139"/>
      <c r="AZ60" s="140"/>
      <c r="BA60" s="28"/>
      <c r="BB60" s="139"/>
      <c r="BC60" s="140"/>
      <c r="BD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138"/>
      <c r="K61" s="28"/>
      <c r="L61" s="28"/>
      <c r="M61" s="139"/>
      <c r="N61" s="140"/>
      <c r="O61" s="28"/>
      <c r="P61" s="28"/>
      <c r="Q61" s="28"/>
      <c r="R61" s="28"/>
      <c r="S61" s="28"/>
      <c r="T61" s="28"/>
      <c r="U61" s="28"/>
      <c r="V61" s="28"/>
      <c r="W61" s="28"/>
      <c r="X61" s="139"/>
      <c r="Y61" s="140"/>
      <c r="Z61" s="28"/>
      <c r="AA61" s="28"/>
      <c r="AB61" s="28"/>
      <c r="AC61" s="28"/>
      <c r="AD61" s="28"/>
      <c r="AE61" s="28"/>
      <c r="AF61" s="28"/>
      <c r="AG61" s="28"/>
      <c r="AH61" s="28"/>
      <c r="AI61" s="139"/>
      <c r="AJ61" s="140"/>
      <c r="AK61" s="28"/>
      <c r="AL61" s="28"/>
      <c r="AM61" s="28"/>
      <c r="AN61" s="28"/>
      <c r="AO61" s="28"/>
      <c r="AP61" s="28"/>
      <c r="AQ61" s="28"/>
      <c r="AR61" s="28"/>
      <c r="AS61" s="28"/>
      <c r="AT61" s="139"/>
      <c r="AU61" s="140"/>
      <c r="AV61" s="28"/>
      <c r="AW61" s="28"/>
      <c r="AX61" s="28"/>
      <c r="AY61" s="139"/>
      <c r="AZ61" s="140"/>
      <c r="BA61" s="28"/>
      <c r="BB61" s="139"/>
      <c r="BC61" s="140"/>
      <c r="BD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138"/>
      <c r="K62" s="28"/>
      <c r="L62" s="28"/>
      <c r="M62" s="139"/>
      <c r="N62" s="140"/>
      <c r="O62" s="28"/>
      <c r="P62" s="28"/>
      <c r="Q62" s="28"/>
      <c r="R62" s="28"/>
      <c r="S62" s="28"/>
      <c r="T62" s="28"/>
      <c r="U62" s="28"/>
      <c r="V62" s="28"/>
      <c r="W62" s="28"/>
      <c r="X62" s="139"/>
      <c r="Y62" s="140"/>
      <c r="Z62" s="28"/>
      <c r="AA62" s="28"/>
      <c r="AB62" s="28"/>
      <c r="AC62" s="28"/>
      <c r="AD62" s="28"/>
      <c r="AE62" s="28"/>
      <c r="AF62" s="28"/>
      <c r="AG62" s="28"/>
      <c r="AH62" s="28"/>
      <c r="AI62" s="139"/>
      <c r="AJ62" s="140"/>
      <c r="AK62" s="28"/>
      <c r="AL62" s="28"/>
      <c r="AM62" s="28"/>
      <c r="AN62" s="28"/>
      <c r="AO62" s="28"/>
      <c r="AP62" s="28"/>
      <c r="AQ62" s="28"/>
      <c r="AR62" s="28"/>
      <c r="AS62" s="28"/>
      <c r="AT62" s="139"/>
      <c r="AU62" s="140"/>
      <c r="AV62" s="28"/>
      <c r="AW62" s="28"/>
      <c r="AX62" s="28"/>
      <c r="AY62" s="139"/>
      <c r="AZ62" s="140"/>
      <c r="BA62" s="28"/>
      <c r="BB62" s="139"/>
      <c r="BC62" s="140"/>
      <c r="BD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138"/>
      <c r="K63" s="28"/>
      <c r="L63" s="28"/>
      <c r="M63" s="139"/>
      <c r="N63" s="140"/>
      <c r="O63" s="28"/>
      <c r="P63" s="28"/>
      <c r="Q63" s="28"/>
      <c r="R63" s="28"/>
      <c r="S63" s="28"/>
      <c r="T63" s="28"/>
      <c r="U63" s="28"/>
      <c r="V63" s="28"/>
      <c r="W63" s="28"/>
      <c r="X63" s="139"/>
      <c r="Y63" s="140"/>
      <c r="Z63" s="28"/>
      <c r="AA63" s="28"/>
      <c r="AB63" s="28"/>
      <c r="AC63" s="28"/>
      <c r="AD63" s="28"/>
      <c r="AE63" s="28"/>
      <c r="AF63" s="28"/>
      <c r="AG63" s="28"/>
      <c r="AH63" s="28"/>
      <c r="AI63" s="139"/>
      <c r="AJ63" s="140"/>
      <c r="AK63" s="28"/>
      <c r="AL63" s="28"/>
      <c r="AM63" s="28"/>
      <c r="AN63" s="28"/>
      <c r="AO63" s="28"/>
      <c r="AP63" s="28"/>
      <c r="AQ63" s="28"/>
      <c r="AR63" s="28"/>
      <c r="AS63" s="28"/>
      <c r="AT63" s="139"/>
      <c r="AU63" s="140"/>
      <c r="AV63" s="28"/>
      <c r="AW63" s="28"/>
      <c r="AX63" s="28"/>
      <c r="AY63" s="139"/>
      <c r="AZ63" s="140"/>
      <c r="BA63" s="28"/>
      <c r="BB63" s="139"/>
      <c r="BC63" s="140"/>
      <c r="BD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138"/>
      <c r="K64" s="28"/>
      <c r="L64" s="28"/>
      <c r="M64" s="139"/>
      <c r="N64" s="140"/>
      <c r="O64" s="28"/>
      <c r="P64" s="28"/>
      <c r="Q64" s="28"/>
      <c r="R64" s="28"/>
      <c r="S64" s="28"/>
      <c r="T64" s="28"/>
      <c r="U64" s="28"/>
      <c r="V64" s="28"/>
      <c r="W64" s="28"/>
      <c r="X64" s="139"/>
      <c r="Y64" s="140"/>
      <c r="Z64" s="28"/>
      <c r="AA64" s="28"/>
      <c r="AB64" s="28"/>
      <c r="AC64" s="28"/>
      <c r="AD64" s="28"/>
      <c r="AE64" s="28"/>
      <c r="AF64" s="28"/>
      <c r="AG64" s="28"/>
      <c r="AH64" s="28"/>
      <c r="AI64" s="139"/>
      <c r="AJ64" s="140"/>
      <c r="AK64" s="28"/>
      <c r="AL64" s="28"/>
      <c r="AM64" s="28"/>
      <c r="AN64" s="28"/>
      <c r="AO64" s="28"/>
      <c r="AP64" s="28"/>
      <c r="AQ64" s="28"/>
      <c r="AR64" s="28"/>
      <c r="AS64" s="28"/>
      <c r="AT64" s="139"/>
      <c r="AU64" s="140"/>
      <c r="AV64" s="28"/>
      <c r="AW64" s="28"/>
      <c r="AX64" s="28"/>
      <c r="AY64" s="139"/>
      <c r="AZ64" s="140"/>
      <c r="BA64" s="28"/>
      <c r="BB64" s="139"/>
      <c r="BC64" s="140"/>
      <c r="BD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138"/>
      <c r="K65" s="28"/>
      <c r="L65" s="28"/>
      <c r="M65" s="139"/>
      <c r="N65" s="140"/>
      <c r="O65" s="28"/>
      <c r="P65" s="28"/>
      <c r="Q65" s="28"/>
      <c r="R65" s="28"/>
      <c r="S65" s="28"/>
      <c r="T65" s="28"/>
      <c r="U65" s="28"/>
      <c r="V65" s="28"/>
      <c r="W65" s="28"/>
      <c r="X65" s="139"/>
      <c r="Y65" s="140"/>
      <c r="Z65" s="28"/>
      <c r="AA65" s="28"/>
      <c r="AB65" s="28"/>
      <c r="AC65" s="28"/>
      <c r="AD65" s="28"/>
      <c r="AE65" s="28"/>
      <c r="AF65" s="28"/>
      <c r="AG65" s="28"/>
      <c r="AH65" s="28"/>
      <c r="AI65" s="139"/>
      <c r="AJ65" s="140"/>
      <c r="AK65" s="28"/>
      <c r="AL65" s="28"/>
      <c r="AM65" s="28"/>
      <c r="AN65" s="28"/>
      <c r="AO65" s="28"/>
      <c r="AP65" s="28"/>
      <c r="AQ65" s="28"/>
      <c r="AR65" s="28"/>
      <c r="AS65" s="28"/>
      <c r="AT65" s="139"/>
      <c r="AU65" s="140"/>
      <c r="AV65" s="28"/>
      <c r="AW65" s="28"/>
      <c r="AX65" s="28"/>
      <c r="AY65" s="139"/>
      <c r="AZ65" s="140"/>
      <c r="BA65" s="28"/>
      <c r="BB65" s="139"/>
      <c r="BC65" s="140"/>
      <c r="BD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138"/>
      <c r="K66" s="28"/>
      <c r="L66" s="28"/>
      <c r="M66" s="139"/>
      <c r="N66" s="140"/>
      <c r="O66" s="28"/>
      <c r="P66" s="28"/>
      <c r="Q66" s="28"/>
      <c r="R66" s="28"/>
      <c r="S66" s="28"/>
      <c r="T66" s="28"/>
      <c r="U66" s="28"/>
      <c r="V66" s="28"/>
      <c r="W66" s="28"/>
      <c r="X66" s="139"/>
      <c r="Y66" s="140"/>
      <c r="Z66" s="28"/>
      <c r="AA66" s="28"/>
      <c r="AB66" s="28"/>
      <c r="AC66" s="28"/>
      <c r="AD66" s="28"/>
      <c r="AE66" s="28"/>
      <c r="AF66" s="28"/>
      <c r="AG66" s="28"/>
      <c r="AH66" s="28"/>
      <c r="AI66" s="139"/>
      <c r="AJ66" s="140"/>
      <c r="AK66" s="28"/>
      <c r="AL66" s="28"/>
      <c r="AM66" s="28"/>
      <c r="AN66" s="28"/>
      <c r="AO66" s="28"/>
      <c r="AP66" s="28"/>
      <c r="AQ66" s="28"/>
      <c r="AR66" s="28"/>
      <c r="AS66" s="28"/>
      <c r="AT66" s="139"/>
      <c r="AU66" s="140"/>
      <c r="AV66" s="28"/>
      <c r="AW66" s="28"/>
      <c r="AX66" s="28"/>
      <c r="AY66" s="139"/>
      <c r="AZ66" s="140"/>
      <c r="BA66" s="28"/>
      <c r="BB66" s="139"/>
      <c r="BC66" s="140"/>
      <c r="BD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138"/>
      <c r="K67" s="28"/>
      <c r="L67" s="28"/>
      <c r="M67" s="139"/>
      <c r="N67" s="140"/>
      <c r="O67" s="28"/>
      <c r="P67" s="28"/>
      <c r="Q67" s="28"/>
      <c r="R67" s="28"/>
      <c r="S67" s="28"/>
      <c r="T67" s="28"/>
      <c r="U67" s="28"/>
      <c r="V67" s="28"/>
      <c r="W67" s="28"/>
      <c r="X67" s="139"/>
      <c r="Y67" s="140"/>
      <c r="Z67" s="28"/>
      <c r="AA67" s="28"/>
      <c r="AB67" s="28"/>
      <c r="AC67" s="28"/>
      <c r="AD67" s="28"/>
      <c r="AE67" s="28"/>
      <c r="AF67" s="28"/>
      <c r="AG67" s="28"/>
      <c r="AH67" s="28"/>
      <c r="AI67" s="139"/>
      <c r="AJ67" s="140"/>
      <c r="AK67" s="28"/>
      <c r="AL67" s="28"/>
      <c r="AM67" s="28"/>
      <c r="AN67" s="28"/>
      <c r="AO67" s="28"/>
      <c r="AP67" s="28"/>
      <c r="AQ67" s="28"/>
      <c r="AR67" s="28"/>
      <c r="AS67" s="28"/>
      <c r="AT67" s="139"/>
      <c r="AU67" s="140"/>
      <c r="AV67" s="28"/>
      <c r="AW67" s="28"/>
      <c r="AX67" s="28"/>
      <c r="AY67" s="139"/>
      <c r="AZ67" s="140"/>
      <c r="BA67" s="28"/>
      <c r="BB67" s="139"/>
      <c r="BC67" s="140"/>
      <c r="BD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138"/>
      <c r="K68" s="28"/>
      <c r="L68" s="28"/>
      <c r="M68" s="139"/>
      <c r="N68" s="140"/>
      <c r="O68" s="28"/>
      <c r="P68" s="28"/>
      <c r="Q68" s="28"/>
      <c r="R68" s="28"/>
      <c r="S68" s="28"/>
      <c r="T68" s="28"/>
      <c r="U68" s="28"/>
      <c r="V68" s="28"/>
      <c r="W68" s="28"/>
      <c r="X68" s="139"/>
      <c r="Y68" s="140"/>
      <c r="Z68" s="28"/>
      <c r="AA68" s="28"/>
      <c r="AB68" s="28"/>
      <c r="AC68" s="28"/>
      <c r="AD68" s="28"/>
      <c r="AE68" s="28"/>
      <c r="AF68" s="28"/>
      <c r="AG68" s="28"/>
      <c r="AH68" s="28"/>
      <c r="AI68" s="139"/>
      <c r="AJ68" s="140"/>
      <c r="AK68" s="28"/>
      <c r="AL68" s="28"/>
      <c r="AM68" s="28"/>
      <c r="AN68" s="28"/>
      <c r="AO68" s="28"/>
      <c r="AP68" s="28"/>
      <c r="AQ68" s="28"/>
      <c r="AR68" s="28"/>
      <c r="AS68" s="28"/>
      <c r="AT68" s="139"/>
      <c r="AU68" s="140"/>
      <c r="AV68" s="28"/>
      <c r="AW68" s="28"/>
      <c r="AX68" s="28"/>
      <c r="AY68" s="139"/>
      <c r="AZ68" s="140"/>
      <c r="BA68" s="28"/>
      <c r="BB68" s="139"/>
      <c r="BC68" s="140"/>
      <c r="BD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138"/>
      <c r="K69" s="28"/>
      <c r="L69" s="28"/>
      <c r="M69" s="139"/>
      <c r="N69" s="140"/>
      <c r="O69" s="28"/>
      <c r="P69" s="28"/>
      <c r="Q69" s="28"/>
      <c r="R69" s="28"/>
      <c r="S69" s="28"/>
      <c r="T69" s="28"/>
      <c r="U69" s="28"/>
      <c r="V69" s="28"/>
      <c r="W69" s="28"/>
      <c r="X69" s="139"/>
      <c r="Y69" s="140"/>
      <c r="Z69" s="28"/>
      <c r="AA69" s="28"/>
      <c r="AB69" s="28"/>
      <c r="AC69" s="28"/>
      <c r="AD69" s="28"/>
      <c r="AE69" s="28"/>
      <c r="AF69" s="28"/>
      <c r="AG69" s="28"/>
      <c r="AH69" s="28"/>
      <c r="AI69" s="139"/>
      <c r="AJ69" s="140"/>
      <c r="AK69" s="28"/>
      <c r="AL69" s="28"/>
      <c r="AM69" s="28"/>
      <c r="AN69" s="28"/>
      <c r="AO69" s="28"/>
      <c r="AP69" s="28"/>
      <c r="AQ69" s="28"/>
      <c r="AR69" s="28"/>
      <c r="AS69" s="28"/>
      <c r="AT69" s="139"/>
      <c r="AU69" s="140"/>
      <c r="AV69" s="28"/>
      <c r="AW69" s="28"/>
      <c r="AX69" s="28"/>
      <c r="AY69" s="139"/>
      <c r="AZ69" s="140"/>
      <c r="BA69" s="28"/>
      <c r="BB69" s="139"/>
      <c r="BC69" s="140"/>
      <c r="BD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138"/>
      <c r="K70" s="28"/>
      <c r="L70" s="28"/>
      <c r="M70" s="139"/>
      <c r="N70" s="140"/>
      <c r="O70" s="28"/>
      <c r="P70" s="28"/>
      <c r="Q70" s="28"/>
      <c r="R70" s="28"/>
      <c r="S70" s="28"/>
      <c r="T70" s="28"/>
      <c r="U70" s="28"/>
      <c r="V70" s="28"/>
      <c r="W70" s="28"/>
      <c r="X70" s="139"/>
      <c r="Y70" s="140"/>
      <c r="Z70" s="28"/>
      <c r="AA70" s="28"/>
      <c r="AB70" s="28"/>
      <c r="AC70" s="28"/>
      <c r="AD70" s="28"/>
      <c r="AE70" s="28"/>
      <c r="AF70" s="28"/>
      <c r="AG70" s="28"/>
      <c r="AH70" s="28"/>
      <c r="AI70" s="139"/>
      <c r="AJ70" s="140"/>
      <c r="AK70" s="28"/>
      <c r="AL70" s="28"/>
      <c r="AM70" s="28"/>
      <c r="AN70" s="28"/>
      <c r="AO70" s="28"/>
      <c r="AP70" s="28"/>
      <c r="AQ70" s="28"/>
      <c r="AR70" s="28"/>
      <c r="AS70" s="28"/>
      <c r="AT70" s="139"/>
      <c r="AU70" s="140"/>
      <c r="AV70" s="28"/>
      <c r="AW70" s="28"/>
      <c r="AX70" s="28"/>
      <c r="AY70" s="139"/>
      <c r="AZ70" s="140"/>
      <c r="BA70" s="28"/>
      <c r="BB70" s="139"/>
      <c r="BC70" s="140"/>
      <c r="BD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138"/>
      <c r="K71" s="28"/>
      <c r="L71" s="28"/>
      <c r="M71" s="139"/>
      <c r="N71" s="140"/>
      <c r="O71" s="28"/>
      <c r="P71" s="28"/>
      <c r="Q71" s="28"/>
      <c r="R71" s="28"/>
      <c r="S71" s="28"/>
      <c r="T71" s="28"/>
      <c r="U71" s="28"/>
      <c r="V71" s="28"/>
      <c r="W71" s="28"/>
      <c r="X71" s="139"/>
      <c r="Y71" s="140"/>
      <c r="Z71" s="28"/>
      <c r="AA71" s="28"/>
      <c r="AB71" s="28"/>
      <c r="AC71" s="28"/>
      <c r="AD71" s="28"/>
      <c r="AE71" s="28"/>
      <c r="AF71" s="28"/>
      <c r="AG71" s="28"/>
      <c r="AH71" s="28"/>
      <c r="AI71" s="139"/>
      <c r="AJ71" s="140"/>
      <c r="AK71" s="28"/>
      <c r="AL71" s="28"/>
      <c r="AM71" s="28"/>
      <c r="AN71" s="28"/>
      <c r="AO71" s="28"/>
      <c r="AP71" s="28"/>
      <c r="AQ71" s="28"/>
      <c r="AR71" s="28"/>
      <c r="AS71" s="28"/>
      <c r="AT71" s="139"/>
      <c r="AU71" s="140"/>
      <c r="AV71" s="28"/>
      <c r="AW71" s="28"/>
      <c r="AX71" s="28"/>
      <c r="AY71" s="139"/>
      <c r="AZ71" s="140"/>
      <c r="BA71" s="28"/>
      <c r="BB71" s="139"/>
      <c r="BC71" s="140"/>
      <c r="BD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138"/>
      <c r="K72" s="28"/>
      <c r="L72" s="28"/>
      <c r="M72" s="139"/>
      <c r="N72" s="140"/>
      <c r="O72" s="28"/>
      <c r="P72" s="28"/>
      <c r="Q72" s="28"/>
      <c r="R72" s="28"/>
      <c r="S72" s="28"/>
      <c r="T72" s="28"/>
      <c r="U72" s="28"/>
      <c r="V72" s="28"/>
      <c r="W72" s="28"/>
      <c r="X72" s="139"/>
      <c r="Y72" s="140"/>
      <c r="Z72" s="28"/>
      <c r="AA72" s="28"/>
      <c r="AB72" s="28"/>
      <c r="AC72" s="28"/>
      <c r="AD72" s="28"/>
      <c r="AE72" s="28"/>
      <c r="AF72" s="28"/>
      <c r="AG72" s="28"/>
      <c r="AH72" s="28"/>
      <c r="AI72" s="139"/>
      <c r="AJ72" s="140"/>
      <c r="AK72" s="28"/>
      <c r="AL72" s="28"/>
      <c r="AM72" s="28"/>
      <c r="AN72" s="28"/>
      <c r="AO72" s="28"/>
      <c r="AP72" s="28"/>
      <c r="AQ72" s="28"/>
      <c r="AR72" s="28"/>
      <c r="AS72" s="28"/>
      <c r="AT72" s="139"/>
      <c r="AU72" s="140"/>
      <c r="AV72" s="28"/>
      <c r="AW72" s="28"/>
      <c r="AX72" s="28"/>
      <c r="AY72" s="139"/>
      <c r="AZ72" s="140"/>
      <c r="BA72" s="28"/>
      <c r="BB72" s="139"/>
      <c r="BC72" s="140"/>
      <c r="BD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138"/>
      <c r="K73" s="28"/>
      <c r="L73" s="28"/>
      <c r="M73" s="139"/>
      <c r="N73" s="140"/>
      <c r="O73" s="28"/>
      <c r="P73" s="28"/>
      <c r="Q73" s="28"/>
      <c r="R73" s="28"/>
      <c r="S73" s="28"/>
      <c r="T73" s="28"/>
      <c r="U73" s="28"/>
      <c r="V73" s="28"/>
      <c r="W73" s="28"/>
      <c r="X73" s="139"/>
      <c r="Y73" s="140"/>
      <c r="Z73" s="28"/>
      <c r="AA73" s="28"/>
      <c r="AB73" s="28"/>
      <c r="AC73" s="28"/>
      <c r="AD73" s="28"/>
      <c r="AE73" s="28"/>
      <c r="AF73" s="28"/>
      <c r="AG73" s="28"/>
      <c r="AH73" s="28"/>
      <c r="AI73" s="139"/>
      <c r="AJ73" s="140"/>
      <c r="AK73" s="28"/>
      <c r="AL73" s="28"/>
      <c r="AM73" s="28"/>
      <c r="AN73" s="28"/>
      <c r="AO73" s="28"/>
      <c r="AP73" s="28"/>
      <c r="AQ73" s="28"/>
      <c r="AR73" s="28"/>
      <c r="AS73" s="28"/>
      <c r="AT73" s="139"/>
      <c r="AU73" s="140"/>
      <c r="AV73" s="28"/>
      <c r="AW73" s="28"/>
      <c r="AX73" s="28"/>
      <c r="AY73" s="139"/>
      <c r="AZ73" s="140"/>
      <c r="BA73" s="28"/>
      <c r="BB73" s="139"/>
      <c r="BC73" s="140"/>
      <c r="BD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138"/>
      <c r="K74" s="28"/>
      <c r="L74" s="28"/>
      <c r="M74" s="139"/>
      <c r="N74" s="140"/>
      <c r="O74" s="28"/>
      <c r="P74" s="28"/>
      <c r="Q74" s="28"/>
      <c r="R74" s="28"/>
      <c r="S74" s="28"/>
      <c r="T74" s="28"/>
      <c r="U74" s="28"/>
      <c r="V74" s="28"/>
      <c r="W74" s="28"/>
      <c r="X74" s="139"/>
      <c r="Y74" s="140"/>
      <c r="Z74" s="28"/>
      <c r="AA74" s="28"/>
      <c r="AB74" s="28"/>
      <c r="AC74" s="28"/>
      <c r="AD74" s="28"/>
      <c r="AE74" s="28"/>
      <c r="AF74" s="28"/>
      <c r="AG74" s="28"/>
      <c r="AH74" s="28"/>
      <c r="AI74" s="139"/>
      <c r="AJ74" s="140"/>
      <c r="AK74" s="28"/>
      <c r="AL74" s="28"/>
      <c r="AM74" s="28"/>
      <c r="AN74" s="28"/>
      <c r="AO74" s="28"/>
      <c r="AP74" s="28"/>
      <c r="AQ74" s="28"/>
      <c r="AR74" s="28"/>
      <c r="AS74" s="28"/>
      <c r="AT74" s="139"/>
      <c r="AU74" s="140"/>
      <c r="AV74" s="28"/>
      <c r="AW74" s="28"/>
      <c r="AX74" s="28"/>
      <c r="AY74" s="139"/>
      <c r="AZ74" s="140"/>
      <c r="BA74" s="28"/>
      <c r="BB74" s="139"/>
      <c r="BC74" s="140"/>
      <c r="BD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138"/>
      <c r="K75" s="28"/>
      <c r="L75" s="28"/>
      <c r="M75" s="139"/>
      <c r="N75" s="140"/>
      <c r="O75" s="28"/>
      <c r="P75" s="28"/>
      <c r="Q75" s="28"/>
      <c r="R75" s="28"/>
      <c r="S75" s="28"/>
      <c r="T75" s="28"/>
      <c r="U75" s="28"/>
      <c r="V75" s="28"/>
      <c r="W75" s="28"/>
      <c r="X75" s="139"/>
      <c r="Y75" s="140"/>
      <c r="Z75" s="28"/>
      <c r="AA75" s="28"/>
      <c r="AB75" s="28"/>
      <c r="AC75" s="28"/>
      <c r="AD75" s="28"/>
      <c r="AE75" s="28"/>
      <c r="AF75" s="28"/>
      <c r="AG75" s="28"/>
      <c r="AH75" s="28"/>
      <c r="AI75" s="139"/>
      <c r="AJ75" s="140"/>
      <c r="AK75" s="28"/>
      <c r="AL75" s="28"/>
      <c r="AM75" s="28"/>
      <c r="AN75" s="28"/>
      <c r="AO75" s="28"/>
      <c r="AP75" s="28"/>
      <c r="AQ75" s="28"/>
      <c r="AR75" s="28"/>
      <c r="AS75" s="28"/>
      <c r="AT75" s="139"/>
      <c r="AU75" s="140"/>
      <c r="AV75" s="28"/>
      <c r="AW75" s="28"/>
      <c r="AX75" s="28"/>
      <c r="AY75" s="139"/>
      <c r="AZ75" s="140"/>
      <c r="BA75" s="28"/>
      <c r="BB75" s="139"/>
      <c r="BC75" s="140"/>
      <c r="BD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138"/>
      <c r="K76" s="28"/>
      <c r="L76" s="28"/>
      <c r="M76" s="139"/>
      <c r="N76" s="140"/>
      <c r="O76" s="28"/>
      <c r="P76" s="28"/>
      <c r="Q76" s="28"/>
      <c r="R76" s="28"/>
      <c r="S76" s="28"/>
      <c r="T76" s="28"/>
      <c r="U76" s="28"/>
      <c r="V76" s="28"/>
      <c r="W76" s="28"/>
      <c r="X76" s="139"/>
      <c r="Y76" s="140"/>
      <c r="Z76" s="28"/>
      <c r="AA76" s="28"/>
      <c r="AB76" s="28"/>
      <c r="AC76" s="28"/>
      <c r="AD76" s="28"/>
      <c r="AE76" s="28"/>
      <c r="AF76" s="28"/>
      <c r="AG76" s="28"/>
      <c r="AH76" s="28"/>
      <c r="AI76" s="139"/>
      <c r="AJ76" s="140"/>
      <c r="AK76" s="28"/>
      <c r="AL76" s="28"/>
      <c r="AM76" s="28"/>
      <c r="AN76" s="28"/>
      <c r="AO76" s="28"/>
      <c r="AP76" s="28"/>
      <c r="AQ76" s="28"/>
      <c r="AR76" s="28"/>
      <c r="AS76" s="28"/>
      <c r="AT76" s="139"/>
      <c r="AU76" s="140"/>
      <c r="AV76" s="28"/>
      <c r="AW76" s="28"/>
      <c r="AX76" s="28"/>
      <c r="AY76" s="139"/>
      <c r="AZ76" s="140"/>
      <c r="BA76" s="28"/>
      <c r="BB76" s="139"/>
      <c r="BC76" s="140"/>
      <c r="BD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138"/>
      <c r="K77" s="28"/>
      <c r="L77" s="28"/>
      <c r="M77" s="139"/>
      <c r="N77" s="140"/>
      <c r="O77" s="28"/>
      <c r="P77" s="28"/>
      <c r="Q77" s="28"/>
      <c r="R77" s="28"/>
      <c r="S77" s="28"/>
      <c r="T77" s="28"/>
      <c r="U77" s="28"/>
      <c r="V77" s="28"/>
      <c r="W77" s="28"/>
      <c r="X77" s="139"/>
      <c r="Y77" s="140"/>
      <c r="Z77" s="28"/>
      <c r="AA77" s="28"/>
      <c r="AB77" s="28"/>
      <c r="AC77" s="28"/>
      <c r="AD77" s="28"/>
      <c r="AE77" s="28"/>
      <c r="AF77" s="28"/>
      <c r="AG77" s="28"/>
      <c r="AH77" s="28"/>
      <c r="AI77" s="139"/>
      <c r="AJ77" s="140"/>
      <c r="AK77" s="28"/>
      <c r="AL77" s="28"/>
      <c r="AM77" s="28"/>
      <c r="AN77" s="28"/>
      <c r="AO77" s="28"/>
      <c r="AP77" s="28"/>
      <c r="AQ77" s="28"/>
      <c r="AR77" s="28"/>
      <c r="AS77" s="28"/>
      <c r="AT77" s="139"/>
      <c r="AU77" s="140"/>
      <c r="AV77" s="28"/>
      <c r="AW77" s="28"/>
      <c r="AX77" s="28"/>
      <c r="AY77" s="139"/>
      <c r="AZ77" s="140"/>
      <c r="BA77" s="28"/>
      <c r="BB77" s="139"/>
      <c r="BC77" s="140"/>
      <c r="BD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138"/>
      <c r="K78" s="28"/>
      <c r="L78" s="28"/>
      <c r="M78" s="139"/>
      <c r="N78" s="140"/>
      <c r="O78" s="28"/>
      <c r="P78" s="28"/>
      <c r="Q78" s="28"/>
      <c r="R78" s="28"/>
      <c r="S78" s="28"/>
      <c r="T78" s="28"/>
      <c r="U78" s="28"/>
      <c r="V78" s="28"/>
      <c r="W78" s="28"/>
      <c r="X78" s="139"/>
      <c r="Y78" s="140"/>
      <c r="Z78" s="28"/>
      <c r="AA78" s="28"/>
      <c r="AB78" s="28"/>
      <c r="AC78" s="28"/>
      <c r="AD78" s="28"/>
      <c r="AE78" s="28"/>
      <c r="AF78" s="28"/>
      <c r="AG78" s="28"/>
      <c r="AH78" s="28"/>
      <c r="AI78" s="139"/>
      <c r="AJ78" s="140"/>
      <c r="AK78" s="28"/>
      <c r="AL78" s="28"/>
      <c r="AM78" s="28"/>
      <c r="AN78" s="28"/>
      <c r="AO78" s="28"/>
      <c r="AP78" s="28"/>
      <c r="AQ78" s="28"/>
      <c r="AR78" s="28"/>
      <c r="AS78" s="28"/>
      <c r="AT78" s="139"/>
      <c r="AU78" s="140"/>
      <c r="AV78" s="28"/>
      <c r="AW78" s="28"/>
      <c r="AX78" s="28"/>
      <c r="AY78" s="139"/>
      <c r="AZ78" s="140"/>
      <c r="BA78" s="28"/>
      <c r="BB78" s="139"/>
      <c r="BC78" s="140"/>
      <c r="BD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138"/>
      <c r="K79" s="28"/>
      <c r="L79" s="28"/>
      <c r="M79" s="139"/>
      <c r="N79" s="140"/>
      <c r="O79" s="28"/>
      <c r="P79" s="28"/>
      <c r="Q79" s="28"/>
      <c r="R79" s="28"/>
      <c r="S79" s="28"/>
      <c r="T79" s="28"/>
      <c r="U79" s="28"/>
      <c r="V79" s="28"/>
      <c r="W79" s="28"/>
      <c r="X79" s="139"/>
      <c r="Y79" s="140"/>
      <c r="Z79" s="28"/>
      <c r="AA79" s="28"/>
      <c r="AB79" s="28"/>
      <c r="AC79" s="28"/>
      <c r="AD79" s="28"/>
      <c r="AE79" s="28"/>
      <c r="AF79" s="28"/>
      <c r="AG79" s="28"/>
      <c r="AH79" s="28"/>
      <c r="AI79" s="139"/>
      <c r="AJ79" s="140"/>
      <c r="AK79" s="28"/>
      <c r="AL79" s="28"/>
      <c r="AM79" s="28"/>
      <c r="AN79" s="28"/>
      <c r="AO79" s="28"/>
      <c r="AP79" s="28"/>
      <c r="AQ79" s="28"/>
      <c r="AR79" s="28"/>
      <c r="AS79" s="28"/>
      <c r="AT79" s="139"/>
      <c r="AU79" s="140"/>
      <c r="AV79" s="28"/>
      <c r="AW79" s="28"/>
      <c r="AX79" s="28"/>
      <c r="AY79" s="139"/>
      <c r="AZ79" s="140"/>
      <c r="BA79" s="28"/>
      <c r="BB79" s="139"/>
      <c r="BC79" s="140"/>
      <c r="BD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138"/>
      <c r="K80" s="28"/>
      <c r="L80" s="28"/>
      <c r="M80" s="139"/>
      <c r="N80" s="140"/>
      <c r="O80" s="28"/>
      <c r="P80" s="28"/>
      <c r="Q80" s="28"/>
      <c r="R80" s="28"/>
      <c r="S80" s="28"/>
      <c r="T80" s="28"/>
      <c r="U80" s="28"/>
      <c r="V80" s="28"/>
      <c r="W80" s="28"/>
      <c r="X80" s="139"/>
      <c r="Y80" s="140"/>
      <c r="Z80" s="28"/>
      <c r="AA80" s="28"/>
      <c r="AB80" s="28"/>
      <c r="AC80" s="28"/>
      <c r="AD80" s="28"/>
      <c r="AE80" s="28"/>
      <c r="AF80" s="28"/>
      <c r="AG80" s="28"/>
      <c r="AH80" s="28"/>
      <c r="AI80" s="139"/>
      <c r="AJ80" s="140"/>
      <c r="AK80" s="28"/>
      <c r="AL80" s="28"/>
      <c r="AM80" s="28"/>
      <c r="AN80" s="28"/>
      <c r="AO80" s="28"/>
      <c r="AP80" s="28"/>
      <c r="AQ80" s="28"/>
      <c r="AR80" s="28"/>
      <c r="AS80" s="28"/>
      <c r="AT80" s="139"/>
      <c r="AU80" s="140"/>
      <c r="AV80" s="28"/>
      <c r="AW80" s="28"/>
      <c r="AX80" s="28"/>
      <c r="AY80" s="139"/>
      <c r="AZ80" s="140"/>
      <c r="BA80" s="28"/>
      <c r="BB80" s="139"/>
      <c r="BC80" s="140"/>
      <c r="BD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138"/>
      <c r="K81" s="28"/>
      <c r="L81" s="28"/>
      <c r="M81" s="139"/>
      <c r="N81" s="140"/>
      <c r="O81" s="28"/>
      <c r="P81" s="28"/>
      <c r="Q81" s="28"/>
      <c r="R81" s="28"/>
      <c r="S81" s="28"/>
      <c r="T81" s="28"/>
      <c r="U81" s="28"/>
      <c r="V81" s="28"/>
      <c r="W81" s="28"/>
      <c r="X81" s="139"/>
      <c r="Y81" s="140"/>
      <c r="Z81" s="28"/>
      <c r="AA81" s="28"/>
      <c r="AB81" s="28"/>
      <c r="AC81" s="28"/>
      <c r="AD81" s="28"/>
      <c r="AE81" s="28"/>
      <c r="AF81" s="28"/>
      <c r="AG81" s="28"/>
      <c r="AH81" s="28"/>
      <c r="AI81" s="139"/>
      <c r="AJ81" s="140"/>
      <c r="AK81" s="28"/>
      <c r="AL81" s="28"/>
      <c r="AM81" s="28"/>
      <c r="AN81" s="28"/>
      <c r="AO81" s="28"/>
      <c r="AP81" s="28"/>
      <c r="AQ81" s="28"/>
      <c r="AR81" s="28"/>
      <c r="AS81" s="28"/>
      <c r="AT81" s="139"/>
      <c r="AU81" s="140"/>
      <c r="AV81" s="28"/>
      <c r="AW81" s="28"/>
      <c r="AX81" s="28"/>
      <c r="AY81" s="139"/>
      <c r="AZ81" s="140"/>
      <c r="BA81" s="28"/>
      <c r="BB81" s="139"/>
      <c r="BC81" s="140"/>
      <c r="BD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138"/>
      <c r="K82" s="28"/>
      <c r="L82" s="28"/>
      <c r="M82" s="139"/>
      <c r="N82" s="140"/>
      <c r="O82" s="28"/>
      <c r="P82" s="28"/>
      <c r="Q82" s="28"/>
      <c r="R82" s="28"/>
      <c r="S82" s="28"/>
      <c r="T82" s="28"/>
      <c r="U82" s="28"/>
      <c r="V82" s="28"/>
      <c r="W82" s="28"/>
      <c r="X82" s="139"/>
      <c r="Y82" s="140"/>
      <c r="Z82" s="28"/>
      <c r="AA82" s="28"/>
      <c r="AB82" s="28"/>
      <c r="AC82" s="28"/>
      <c r="AD82" s="28"/>
      <c r="AE82" s="28"/>
      <c r="AF82" s="28"/>
      <c r="AG82" s="28"/>
      <c r="AH82" s="28"/>
      <c r="AI82" s="139"/>
      <c r="AJ82" s="140"/>
      <c r="AK82" s="28"/>
      <c r="AL82" s="28"/>
      <c r="AM82" s="28"/>
      <c r="AN82" s="28"/>
      <c r="AO82" s="28"/>
      <c r="AP82" s="28"/>
      <c r="AQ82" s="28"/>
      <c r="AR82" s="28"/>
      <c r="AS82" s="28"/>
      <c r="AT82" s="139"/>
      <c r="AU82" s="140"/>
      <c r="AV82" s="28"/>
      <c r="AW82" s="28"/>
      <c r="AX82" s="28"/>
      <c r="AY82" s="139"/>
      <c r="AZ82" s="140"/>
      <c r="BA82" s="28"/>
      <c r="BB82" s="139"/>
      <c r="BC82" s="140"/>
      <c r="BD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138"/>
      <c r="K83" s="28"/>
      <c r="L83" s="28"/>
      <c r="M83" s="139"/>
      <c r="N83" s="140"/>
      <c r="O83" s="28"/>
      <c r="P83" s="28"/>
      <c r="Q83" s="28"/>
      <c r="R83" s="28"/>
      <c r="S83" s="28"/>
      <c r="T83" s="28"/>
      <c r="U83" s="28"/>
      <c r="V83" s="28"/>
      <c r="W83" s="28"/>
      <c r="X83" s="139"/>
      <c r="Y83" s="140"/>
      <c r="Z83" s="28"/>
      <c r="AA83" s="28"/>
      <c r="AB83" s="28"/>
      <c r="AC83" s="28"/>
      <c r="AD83" s="28"/>
      <c r="AE83" s="28"/>
      <c r="AF83" s="28"/>
      <c r="AG83" s="28"/>
      <c r="AH83" s="28"/>
      <c r="AI83" s="139"/>
      <c r="AJ83" s="140"/>
      <c r="AK83" s="28"/>
      <c r="AL83" s="28"/>
      <c r="AM83" s="28"/>
      <c r="AN83" s="28"/>
      <c r="AO83" s="28"/>
      <c r="AP83" s="28"/>
      <c r="AQ83" s="28"/>
      <c r="AR83" s="28"/>
      <c r="AS83" s="28"/>
      <c r="AT83" s="139"/>
      <c r="AU83" s="140"/>
      <c r="AV83" s="28"/>
      <c r="AW83" s="28"/>
      <c r="AX83" s="28"/>
      <c r="AY83" s="139"/>
      <c r="AZ83" s="140"/>
      <c r="BA83" s="28"/>
      <c r="BB83" s="139"/>
      <c r="BC83" s="140"/>
      <c r="BD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138"/>
      <c r="K84" s="28"/>
      <c r="L84" s="28"/>
      <c r="M84" s="139"/>
      <c r="N84" s="140"/>
      <c r="O84" s="28"/>
      <c r="P84" s="28"/>
      <c r="Q84" s="28"/>
      <c r="R84" s="28"/>
      <c r="S84" s="28"/>
      <c r="T84" s="28"/>
      <c r="U84" s="28"/>
      <c r="V84" s="28"/>
      <c r="W84" s="28"/>
      <c r="X84" s="139"/>
      <c r="Y84" s="140"/>
      <c r="Z84" s="28"/>
      <c r="AA84" s="28"/>
      <c r="AB84" s="28"/>
      <c r="AC84" s="28"/>
      <c r="AD84" s="28"/>
      <c r="AE84" s="28"/>
      <c r="AF84" s="28"/>
      <c r="AG84" s="28"/>
      <c r="AH84" s="28"/>
      <c r="AI84" s="139"/>
      <c r="AJ84" s="140"/>
      <c r="AK84" s="28"/>
      <c r="AL84" s="28"/>
      <c r="AM84" s="28"/>
      <c r="AN84" s="28"/>
      <c r="AO84" s="28"/>
      <c r="AP84" s="28"/>
      <c r="AQ84" s="28"/>
      <c r="AR84" s="28"/>
      <c r="AS84" s="28"/>
      <c r="AT84" s="139"/>
      <c r="AU84" s="140"/>
      <c r="AV84" s="28"/>
      <c r="AW84" s="28"/>
      <c r="AX84" s="28"/>
      <c r="AY84" s="139"/>
      <c r="AZ84" s="140"/>
      <c r="BA84" s="28"/>
      <c r="BB84" s="139"/>
      <c r="BC84" s="140"/>
      <c r="BD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138"/>
      <c r="K85" s="28"/>
      <c r="L85" s="28"/>
      <c r="M85" s="139"/>
      <c r="N85" s="140"/>
      <c r="O85" s="28"/>
      <c r="P85" s="28"/>
      <c r="Q85" s="28"/>
      <c r="R85" s="28"/>
      <c r="S85" s="28"/>
      <c r="T85" s="28"/>
      <c r="U85" s="28"/>
      <c r="V85" s="28"/>
      <c r="W85" s="28"/>
      <c r="X85" s="139"/>
      <c r="Y85" s="140"/>
      <c r="Z85" s="28"/>
      <c r="AA85" s="28"/>
      <c r="AB85" s="28"/>
      <c r="AC85" s="28"/>
      <c r="AD85" s="28"/>
      <c r="AE85" s="28"/>
      <c r="AF85" s="28"/>
      <c r="AG85" s="28"/>
      <c r="AH85" s="28"/>
      <c r="AI85" s="139"/>
      <c r="AJ85" s="140"/>
      <c r="AK85" s="28"/>
      <c r="AL85" s="28"/>
      <c r="AM85" s="28"/>
      <c r="AN85" s="28"/>
      <c r="AO85" s="28"/>
      <c r="AP85" s="28"/>
      <c r="AQ85" s="28"/>
      <c r="AR85" s="28"/>
      <c r="AS85" s="28"/>
      <c r="AT85" s="139"/>
      <c r="AU85" s="140"/>
      <c r="AV85" s="28"/>
      <c r="AW85" s="28"/>
      <c r="AX85" s="28"/>
      <c r="AY85" s="139"/>
      <c r="AZ85" s="140"/>
      <c r="BA85" s="28"/>
      <c r="BB85" s="139"/>
      <c r="BC85" s="140"/>
      <c r="BD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138"/>
      <c r="K86" s="28"/>
      <c r="L86" s="28"/>
      <c r="M86" s="139"/>
      <c r="N86" s="140"/>
      <c r="O86" s="28"/>
      <c r="P86" s="28"/>
      <c r="Q86" s="28"/>
      <c r="R86" s="28"/>
      <c r="S86" s="28"/>
      <c r="T86" s="28"/>
      <c r="U86" s="28"/>
      <c r="V86" s="28"/>
      <c r="W86" s="28"/>
      <c r="X86" s="139"/>
      <c r="Y86" s="140"/>
      <c r="Z86" s="28"/>
      <c r="AA86" s="28"/>
      <c r="AB86" s="28"/>
      <c r="AC86" s="28"/>
      <c r="AD86" s="28"/>
      <c r="AE86" s="28"/>
      <c r="AF86" s="28"/>
      <c r="AG86" s="28"/>
      <c r="AH86" s="28"/>
      <c r="AI86" s="139"/>
      <c r="AJ86" s="140"/>
      <c r="AK86" s="28"/>
      <c r="AL86" s="28"/>
      <c r="AM86" s="28"/>
      <c r="AN86" s="28"/>
      <c r="AO86" s="28"/>
      <c r="AP86" s="28"/>
      <c r="AQ86" s="28"/>
      <c r="AR86" s="28"/>
      <c r="AS86" s="28"/>
      <c r="AT86" s="139"/>
      <c r="AU86" s="140"/>
      <c r="AV86" s="28"/>
      <c r="AW86" s="28"/>
      <c r="AX86" s="28"/>
      <c r="AY86" s="139"/>
      <c r="AZ86" s="140"/>
      <c r="BA86" s="28"/>
      <c r="BB86" s="139"/>
      <c r="BC86" s="140"/>
      <c r="BD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138"/>
      <c r="K87" s="28"/>
      <c r="L87" s="28"/>
      <c r="M87" s="139"/>
      <c r="N87" s="140"/>
      <c r="O87" s="28"/>
      <c r="P87" s="28"/>
      <c r="Q87" s="28"/>
      <c r="R87" s="28"/>
      <c r="S87" s="28"/>
      <c r="T87" s="28"/>
      <c r="U87" s="28"/>
      <c r="V87" s="28"/>
      <c r="W87" s="28"/>
      <c r="X87" s="139"/>
      <c r="Y87" s="140"/>
      <c r="Z87" s="28"/>
      <c r="AA87" s="28"/>
      <c r="AB87" s="28"/>
      <c r="AC87" s="28"/>
      <c r="AD87" s="28"/>
      <c r="AE87" s="28"/>
      <c r="AF87" s="28"/>
      <c r="AG87" s="28"/>
      <c r="AH87" s="28"/>
      <c r="AI87" s="139"/>
      <c r="AJ87" s="140"/>
      <c r="AK87" s="28"/>
      <c r="AL87" s="28"/>
      <c r="AM87" s="28"/>
      <c r="AN87" s="28"/>
      <c r="AO87" s="28"/>
      <c r="AP87" s="28"/>
      <c r="AQ87" s="28"/>
      <c r="AR87" s="28"/>
      <c r="AS87" s="28"/>
      <c r="AT87" s="139"/>
      <c r="AU87" s="140"/>
      <c r="AV87" s="28"/>
      <c r="AW87" s="28"/>
      <c r="AX87" s="28"/>
      <c r="AY87" s="139"/>
      <c r="AZ87" s="140"/>
      <c r="BA87" s="28"/>
      <c r="BB87" s="139"/>
      <c r="BC87" s="140"/>
      <c r="BD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138"/>
      <c r="K88" s="28"/>
      <c r="L88" s="28"/>
      <c r="M88" s="139"/>
      <c r="N88" s="140"/>
      <c r="O88" s="28"/>
      <c r="P88" s="28"/>
      <c r="Q88" s="28"/>
      <c r="R88" s="28"/>
      <c r="S88" s="28"/>
      <c r="T88" s="28"/>
      <c r="U88" s="28"/>
      <c r="V88" s="28"/>
      <c r="W88" s="28"/>
      <c r="X88" s="139"/>
      <c r="Y88" s="140"/>
      <c r="Z88" s="28"/>
      <c r="AA88" s="28"/>
      <c r="AB88" s="28"/>
      <c r="AC88" s="28"/>
      <c r="AD88" s="28"/>
      <c r="AE88" s="28"/>
      <c r="AF88" s="28"/>
      <c r="AG88" s="28"/>
      <c r="AH88" s="28"/>
      <c r="AI88" s="139"/>
      <c r="AJ88" s="140"/>
      <c r="AK88" s="28"/>
      <c r="AL88" s="28"/>
      <c r="AM88" s="28"/>
      <c r="AN88" s="28"/>
      <c r="AO88" s="28"/>
      <c r="AP88" s="28"/>
      <c r="AQ88" s="28"/>
      <c r="AR88" s="28"/>
      <c r="AS88" s="28"/>
      <c r="AT88" s="139"/>
      <c r="AU88" s="140"/>
      <c r="AV88" s="28"/>
      <c r="AW88" s="28"/>
      <c r="AX88" s="28"/>
      <c r="AY88" s="139"/>
      <c r="AZ88" s="140"/>
      <c r="BA88" s="28"/>
      <c r="BB88" s="139"/>
      <c r="BC88" s="140"/>
      <c r="BD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138"/>
      <c r="K89" s="28"/>
      <c r="L89" s="28"/>
      <c r="M89" s="139"/>
      <c r="N89" s="140"/>
      <c r="O89" s="28"/>
      <c r="P89" s="28"/>
      <c r="Q89" s="28"/>
      <c r="R89" s="28"/>
      <c r="S89" s="28"/>
      <c r="T89" s="28"/>
      <c r="U89" s="28"/>
      <c r="V89" s="28"/>
      <c r="W89" s="28"/>
      <c r="X89" s="139"/>
      <c r="Y89" s="140"/>
      <c r="Z89" s="28"/>
      <c r="AA89" s="28"/>
      <c r="AB89" s="28"/>
      <c r="AC89" s="28"/>
      <c r="AD89" s="28"/>
      <c r="AE89" s="28"/>
      <c r="AF89" s="28"/>
      <c r="AG89" s="28"/>
      <c r="AH89" s="28"/>
      <c r="AI89" s="139"/>
      <c r="AJ89" s="140"/>
      <c r="AK89" s="28"/>
      <c r="AL89" s="28"/>
      <c r="AM89" s="28"/>
      <c r="AN89" s="28"/>
      <c r="AO89" s="28"/>
      <c r="AP89" s="28"/>
      <c r="AQ89" s="28"/>
      <c r="AR89" s="28"/>
      <c r="AS89" s="28"/>
      <c r="AT89" s="139"/>
      <c r="AU89" s="140"/>
      <c r="AV89" s="28"/>
      <c r="AW89" s="28"/>
      <c r="AX89" s="28"/>
      <c r="AY89" s="139"/>
      <c r="AZ89" s="140"/>
      <c r="BA89" s="28"/>
      <c r="BB89" s="139"/>
      <c r="BC89" s="140"/>
      <c r="BD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138"/>
      <c r="K90" s="28"/>
      <c r="L90" s="28"/>
      <c r="M90" s="139"/>
      <c r="N90" s="140"/>
      <c r="O90" s="28"/>
      <c r="P90" s="28"/>
      <c r="Q90" s="28"/>
      <c r="R90" s="28"/>
      <c r="S90" s="28"/>
      <c r="T90" s="28"/>
      <c r="U90" s="28"/>
      <c r="V90" s="28"/>
      <c r="W90" s="28"/>
      <c r="X90" s="139"/>
      <c r="Y90" s="140"/>
      <c r="Z90" s="28"/>
      <c r="AA90" s="28"/>
      <c r="AB90" s="28"/>
      <c r="AC90" s="28"/>
      <c r="AD90" s="28"/>
      <c r="AE90" s="28"/>
      <c r="AF90" s="28"/>
      <c r="AG90" s="28"/>
      <c r="AH90" s="28"/>
      <c r="AI90" s="139"/>
      <c r="AJ90" s="140"/>
      <c r="AK90" s="28"/>
      <c r="AL90" s="28"/>
      <c r="AM90" s="28"/>
      <c r="AN90" s="28"/>
      <c r="AO90" s="28"/>
      <c r="AP90" s="28"/>
      <c r="AQ90" s="28"/>
      <c r="AR90" s="28"/>
      <c r="AS90" s="28"/>
      <c r="AT90" s="139"/>
      <c r="AU90" s="140"/>
      <c r="AV90" s="28"/>
      <c r="AW90" s="28"/>
      <c r="AX90" s="28"/>
      <c r="AY90" s="139"/>
      <c r="AZ90" s="140"/>
      <c r="BA90" s="28"/>
      <c r="BB90" s="139"/>
      <c r="BC90" s="140"/>
      <c r="BD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138"/>
      <c r="K91" s="28"/>
      <c r="L91" s="28"/>
      <c r="M91" s="139"/>
      <c r="N91" s="140"/>
      <c r="O91" s="28"/>
      <c r="P91" s="28"/>
      <c r="Q91" s="28"/>
      <c r="R91" s="28"/>
      <c r="S91" s="28"/>
      <c r="T91" s="28"/>
      <c r="U91" s="28"/>
      <c r="V91" s="28"/>
      <c r="W91" s="28"/>
      <c r="X91" s="139"/>
      <c r="Y91" s="140"/>
      <c r="Z91" s="28"/>
      <c r="AA91" s="28"/>
      <c r="AB91" s="28"/>
      <c r="AC91" s="28"/>
      <c r="AD91" s="28"/>
      <c r="AE91" s="28"/>
      <c r="AF91" s="28"/>
      <c r="AG91" s="28"/>
      <c r="AH91" s="28"/>
      <c r="AI91" s="139"/>
      <c r="AJ91" s="140"/>
      <c r="AK91" s="28"/>
      <c r="AL91" s="28"/>
      <c r="AM91" s="28"/>
      <c r="AN91" s="28"/>
      <c r="AO91" s="28"/>
      <c r="AP91" s="28"/>
      <c r="AQ91" s="28"/>
      <c r="AR91" s="28"/>
      <c r="AS91" s="28"/>
      <c r="AT91" s="139"/>
      <c r="AU91" s="140"/>
      <c r="AV91" s="28"/>
      <c r="AW91" s="28"/>
      <c r="AX91" s="28"/>
      <c r="AY91" s="139"/>
      <c r="AZ91" s="140"/>
      <c r="BA91" s="28"/>
      <c r="BB91" s="139"/>
      <c r="BC91" s="140"/>
      <c r="BD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138"/>
      <c r="K92" s="28"/>
      <c r="L92" s="28"/>
      <c r="M92" s="139"/>
      <c r="N92" s="140"/>
      <c r="O92" s="28"/>
      <c r="P92" s="28"/>
      <c r="Q92" s="28"/>
      <c r="R92" s="28"/>
      <c r="S92" s="28"/>
      <c r="T92" s="28"/>
      <c r="U92" s="28"/>
      <c r="V92" s="28"/>
      <c r="W92" s="28"/>
      <c r="X92" s="139"/>
      <c r="Y92" s="140"/>
      <c r="Z92" s="28"/>
      <c r="AA92" s="28"/>
      <c r="AB92" s="28"/>
      <c r="AC92" s="28"/>
      <c r="AD92" s="28"/>
      <c r="AE92" s="28"/>
      <c r="AF92" s="28"/>
      <c r="AG92" s="28"/>
      <c r="AH92" s="28"/>
      <c r="AI92" s="139"/>
      <c r="AJ92" s="140"/>
      <c r="AK92" s="28"/>
      <c r="AL92" s="28"/>
      <c r="AM92" s="28"/>
      <c r="AN92" s="28"/>
      <c r="AO92" s="28"/>
      <c r="AP92" s="28"/>
      <c r="AQ92" s="28"/>
      <c r="AR92" s="28"/>
      <c r="AS92" s="28"/>
      <c r="AT92" s="139"/>
      <c r="AU92" s="140"/>
      <c r="AV92" s="28"/>
      <c r="AW92" s="28"/>
      <c r="AX92" s="28"/>
      <c r="AY92" s="139"/>
      <c r="AZ92" s="140"/>
      <c r="BA92" s="28"/>
      <c r="BB92" s="139"/>
      <c r="BC92" s="140"/>
      <c r="BD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138"/>
      <c r="K93" s="28"/>
      <c r="L93" s="28"/>
      <c r="M93" s="139"/>
      <c r="N93" s="140"/>
      <c r="O93" s="28"/>
      <c r="P93" s="28"/>
      <c r="Q93" s="28"/>
      <c r="R93" s="28"/>
      <c r="S93" s="28"/>
      <c r="T93" s="28"/>
      <c r="U93" s="28"/>
      <c r="V93" s="28"/>
      <c r="W93" s="28"/>
      <c r="X93" s="139"/>
      <c r="Y93" s="140"/>
      <c r="Z93" s="28"/>
      <c r="AA93" s="28"/>
      <c r="AB93" s="28"/>
      <c r="AC93" s="28"/>
      <c r="AD93" s="28"/>
      <c r="AE93" s="28"/>
      <c r="AF93" s="28"/>
      <c r="AG93" s="28"/>
      <c r="AH93" s="28"/>
      <c r="AI93" s="139"/>
      <c r="AJ93" s="140"/>
      <c r="AK93" s="28"/>
      <c r="AL93" s="28"/>
      <c r="AM93" s="28"/>
      <c r="AN93" s="28"/>
      <c r="AO93" s="28"/>
      <c r="AP93" s="28"/>
      <c r="AQ93" s="28"/>
      <c r="AR93" s="28"/>
      <c r="AS93" s="28"/>
      <c r="AT93" s="139"/>
      <c r="AU93" s="140"/>
      <c r="AV93" s="28"/>
      <c r="AW93" s="28"/>
      <c r="AX93" s="28"/>
      <c r="AY93" s="139"/>
      <c r="AZ93" s="140"/>
      <c r="BA93" s="28"/>
      <c r="BB93" s="139"/>
      <c r="BC93" s="140"/>
      <c r="BD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138"/>
      <c r="K94" s="28"/>
      <c r="L94" s="28"/>
      <c r="M94" s="139"/>
      <c r="N94" s="140"/>
      <c r="O94" s="28"/>
      <c r="P94" s="28"/>
      <c r="Q94" s="28"/>
      <c r="R94" s="28"/>
      <c r="S94" s="28"/>
      <c r="T94" s="28"/>
      <c r="U94" s="28"/>
      <c r="V94" s="28"/>
      <c r="W94" s="28"/>
      <c r="X94" s="139"/>
      <c r="Y94" s="140"/>
      <c r="Z94" s="28"/>
      <c r="AA94" s="28"/>
      <c r="AB94" s="28"/>
      <c r="AC94" s="28"/>
      <c r="AD94" s="28"/>
      <c r="AE94" s="28"/>
      <c r="AF94" s="28"/>
      <c r="AG94" s="28"/>
      <c r="AH94" s="28"/>
      <c r="AI94" s="139"/>
      <c r="AJ94" s="140"/>
      <c r="AK94" s="28"/>
      <c r="AL94" s="28"/>
      <c r="AM94" s="28"/>
      <c r="AN94" s="28"/>
      <c r="AO94" s="28"/>
      <c r="AP94" s="28"/>
      <c r="AQ94" s="28"/>
      <c r="AR94" s="28"/>
      <c r="AS94" s="28"/>
      <c r="AT94" s="139"/>
      <c r="AU94" s="140"/>
      <c r="AV94" s="28"/>
      <c r="AW94" s="28"/>
      <c r="AX94" s="28"/>
      <c r="AY94" s="139"/>
      <c r="AZ94" s="140"/>
      <c r="BA94" s="28"/>
      <c r="BB94" s="139"/>
      <c r="BC94" s="140"/>
      <c r="BD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138"/>
      <c r="K95" s="28"/>
      <c r="L95" s="28"/>
      <c r="M95" s="139"/>
      <c r="N95" s="140"/>
      <c r="O95" s="28"/>
      <c r="P95" s="28"/>
      <c r="Q95" s="28"/>
      <c r="R95" s="28"/>
      <c r="S95" s="28"/>
      <c r="T95" s="28"/>
      <c r="U95" s="28"/>
      <c r="V95" s="28"/>
      <c r="W95" s="28"/>
      <c r="X95" s="139"/>
      <c r="Y95" s="140"/>
      <c r="Z95" s="28"/>
      <c r="AA95" s="28"/>
      <c r="AB95" s="28"/>
      <c r="AC95" s="28"/>
      <c r="AD95" s="28"/>
      <c r="AE95" s="28"/>
      <c r="AF95" s="28"/>
      <c r="AG95" s="28"/>
      <c r="AH95" s="28"/>
      <c r="AI95" s="139"/>
      <c r="AJ95" s="140"/>
      <c r="AK95" s="28"/>
      <c r="AL95" s="28"/>
      <c r="AM95" s="28"/>
      <c r="AN95" s="28"/>
      <c r="AO95" s="28"/>
      <c r="AP95" s="28"/>
      <c r="AQ95" s="28"/>
      <c r="AR95" s="28"/>
      <c r="AS95" s="28"/>
      <c r="AT95" s="139"/>
      <c r="AU95" s="140"/>
      <c r="AV95" s="28"/>
      <c r="AW95" s="28"/>
      <c r="AX95" s="28"/>
      <c r="AY95" s="139"/>
      <c r="AZ95" s="140"/>
      <c r="BA95" s="28"/>
      <c r="BB95" s="139"/>
      <c r="BC95" s="140"/>
      <c r="BD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138"/>
      <c r="K96" s="28"/>
      <c r="L96" s="28"/>
      <c r="M96" s="139"/>
      <c r="N96" s="140"/>
      <c r="O96" s="28"/>
      <c r="P96" s="28"/>
      <c r="Q96" s="28"/>
      <c r="R96" s="28"/>
      <c r="S96" s="28"/>
      <c r="T96" s="28"/>
      <c r="U96" s="28"/>
      <c r="V96" s="28"/>
      <c r="W96" s="28"/>
      <c r="X96" s="139"/>
      <c r="Y96" s="140"/>
      <c r="Z96" s="28"/>
      <c r="AA96" s="28"/>
      <c r="AB96" s="28"/>
      <c r="AC96" s="28"/>
      <c r="AD96" s="28"/>
      <c r="AE96" s="28"/>
      <c r="AF96" s="28"/>
      <c r="AG96" s="28"/>
      <c r="AH96" s="28"/>
      <c r="AI96" s="139"/>
      <c r="AJ96" s="140"/>
      <c r="AK96" s="28"/>
      <c r="AL96" s="28"/>
      <c r="AM96" s="28"/>
      <c r="AN96" s="28"/>
      <c r="AO96" s="28"/>
      <c r="AP96" s="28"/>
      <c r="AQ96" s="28"/>
      <c r="AR96" s="28"/>
      <c r="AS96" s="28"/>
      <c r="AT96" s="139"/>
      <c r="AU96" s="140"/>
      <c r="AV96" s="28"/>
      <c r="AW96" s="28"/>
      <c r="AX96" s="28"/>
      <c r="AY96" s="139"/>
      <c r="AZ96" s="140"/>
      <c r="BA96" s="28"/>
      <c r="BB96" s="139"/>
      <c r="BC96" s="140"/>
      <c r="BD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138"/>
      <c r="K97" s="28"/>
      <c r="L97" s="28"/>
      <c r="M97" s="139"/>
      <c r="N97" s="140"/>
      <c r="O97" s="28"/>
      <c r="P97" s="28"/>
      <c r="Q97" s="28"/>
      <c r="R97" s="28"/>
      <c r="S97" s="28"/>
      <c r="T97" s="28"/>
      <c r="U97" s="28"/>
      <c r="V97" s="28"/>
      <c r="W97" s="28"/>
      <c r="X97" s="139"/>
      <c r="Y97" s="140"/>
      <c r="Z97" s="28"/>
      <c r="AA97" s="28"/>
      <c r="AB97" s="28"/>
      <c r="AC97" s="28"/>
      <c r="AD97" s="28"/>
      <c r="AE97" s="28"/>
      <c r="AF97" s="28"/>
      <c r="AG97" s="28"/>
      <c r="AH97" s="28"/>
      <c r="AI97" s="139"/>
      <c r="AJ97" s="140"/>
      <c r="AK97" s="28"/>
      <c r="AL97" s="28"/>
      <c r="AM97" s="28"/>
      <c r="AN97" s="28"/>
      <c r="AO97" s="28"/>
      <c r="AP97" s="28"/>
      <c r="AQ97" s="28"/>
      <c r="AR97" s="28"/>
      <c r="AS97" s="28"/>
      <c r="AT97" s="139"/>
      <c r="AU97" s="140"/>
      <c r="AV97" s="28"/>
      <c r="AW97" s="28"/>
      <c r="AX97" s="28"/>
      <c r="AY97" s="139"/>
      <c r="AZ97" s="140"/>
      <c r="BA97" s="28"/>
      <c r="BB97" s="139"/>
      <c r="BC97" s="140"/>
      <c r="BD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138"/>
      <c r="K98" s="28"/>
      <c r="L98" s="28"/>
      <c r="M98" s="139"/>
      <c r="N98" s="140"/>
      <c r="O98" s="28"/>
      <c r="P98" s="28"/>
      <c r="Q98" s="28"/>
      <c r="R98" s="28"/>
      <c r="S98" s="28"/>
      <c r="T98" s="28"/>
      <c r="U98" s="28"/>
      <c r="V98" s="28"/>
      <c r="W98" s="28"/>
      <c r="X98" s="139"/>
      <c r="Y98" s="140"/>
      <c r="Z98" s="28"/>
      <c r="AA98" s="28"/>
      <c r="AB98" s="28"/>
      <c r="AC98" s="28"/>
      <c r="AD98" s="28"/>
      <c r="AE98" s="28"/>
      <c r="AF98" s="28"/>
      <c r="AG98" s="28"/>
      <c r="AH98" s="28"/>
      <c r="AI98" s="139"/>
      <c r="AJ98" s="140"/>
      <c r="AK98" s="28"/>
      <c r="AL98" s="28"/>
      <c r="AM98" s="28"/>
      <c r="AN98" s="28"/>
      <c r="AO98" s="28"/>
      <c r="AP98" s="28"/>
      <c r="AQ98" s="28"/>
      <c r="AR98" s="28"/>
      <c r="AS98" s="28"/>
      <c r="AT98" s="139"/>
      <c r="AU98" s="140"/>
      <c r="AV98" s="28"/>
      <c r="AW98" s="28"/>
      <c r="AX98" s="28"/>
      <c r="AY98" s="139"/>
      <c r="AZ98" s="140"/>
      <c r="BA98" s="28"/>
      <c r="BB98" s="139"/>
      <c r="BC98" s="140"/>
      <c r="BD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138"/>
      <c r="K99" s="28"/>
      <c r="L99" s="28"/>
      <c r="M99" s="139"/>
      <c r="N99" s="140"/>
      <c r="O99" s="28"/>
      <c r="P99" s="28"/>
      <c r="Q99" s="28"/>
      <c r="R99" s="28"/>
      <c r="S99" s="28"/>
      <c r="T99" s="28"/>
      <c r="U99" s="28"/>
      <c r="V99" s="28"/>
      <c r="W99" s="28"/>
      <c r="X99" s="139"/>
      <c r="Y99" s="140"/>
      <c r="Z99" s="28"/>
      <c r="AA99" s="28"/>
      <c r="AB99" s="28"/>
      <c r="AC99" s="28"/>
      <c r="AD99" s="28"/>
      <c r="AE99" s="28"/>
      <c r="AF99" s="28"/>
      <c r="AG99" s="28"/>
      <c r="AH99" s="28"/>
      <c r="AI99" s="139"/>
      <c r="AJ99" s="140"/>
      <c r="AK99" s="28"/>
      <c r="AL99" s="28"/>
      <c r="AM99" s="28"/>
      <c r="AN99" s="28"/>
      <c r="AO99" s="28"/>
      <c r="AP99" s="28"/>
      <c r="AQ99" s="28"/>
      <c r="AR99" s="28"/>
      <c r="AS99" s="28"/>
      <c r="AT99" s="139"/>
      <c r="AU99" s="140"/>
      <c r="AV99" s="28"/>
      <c r="AW99" s="28"/>
      <c r="AX99" s="28"/>
      <c r="AY99" s="139"/>
      <c r="AZ99" s="140"/>
      <c r="BA99" s="28"/>
      <c r="BB99" s="139"/>
      <c r="BC99" s="140"/>
      <c r="BD99" s="28"/>
    </row>
    <row r="100">
      <c r="J100" s="146"/>
      <c r="N100" s="147"/>
      <c r="Y100" s="147"/>
      <c r="AJ100" s="147"/>
      <c r="AU100" s="147"/>
      <c r="AZ100" s="147"/>
      <c r="BC100" s="147"/>
    </row>
    <row r="101">
      <c r="J101" s="146"/>
      <c r="N101" s="147"/>
      <c r="Y101" s="147"/>
      <c r="AJ101" s="147"/>
      <c r="AU101" s="147"/>
      <c r="AZ101" s="147"/>
      <c r="BC101" s="147"/>
    </row>
    <row r="102">
      <c r="J102" s="146"/>
      <c r="N102" s="147"/>
      <c r="Y102" s="147"/>
      <c r="AJ102" s="147"/>
      <c r="AU102" s="147"/>
      <c r="AZ102" s="147"/>
      <c r="BC102" s="147"/>
    </row>
    <row r="103">
      <c r="J103" s="146"/>
      <c r="N103" s="147"/>
      <c r="Y103" s="147"/>
      <c r="AJ103" s="147"/>
      <c r="AU103" s="147"/>
      <c r="AZ103" s="147"/>
      <c r="BC103" s="147"/>
    </row>
    <row r="104">
      <c r="J104" s="146"/>
      <c r="N104" s="147"/>
      <c r="Y104" s="147"/>
      <c r="AJ104" s="147"/>
      <c r="AU104" s="147"/>
      <c r="AZ104" s="147"/>
      <c r="BC104" s="147"/>
    </row>
    <row r="105">
      <c r="J105" s="146"/>
      <c r="N105" s="147"/>
      <c r="Y105" s="147"/>
      <c r="AJ105" s="147"/>
      <c r="AU105" s="147"/>
      <c r="AZ105" s="147"/>
      <c r="BC105" s="147"/>
    </row>
    <row r="106">
      <c r="J106" s="146"/>
      <c r="N106" s="147"/>
      <c r="Y106" s="147"/>
      <c r="AJ106" s="147"/>
      <c r="AU106" s="147"/>
      <c r="AZ106" s="147"/>
      <c r="BC106" s="147"/>
    </row>
    <row r="107">
      <c r="J107" s="146"/>
      <c r="N107" s="147"/>
      <c r="Y107" s="147"/>
      <c r="AJ107" s="147"/>
      <c r="AU107" s="147"/>
      <c r="AZ107" s="147"/>
      <c r="BC107" s="147"/>
    </row>
    <row r="108">
      <c r="J108" s="146"/>
      <c r="N108" s="147"/>
      <c r="Y108" s="147"/>
      <c r="AJ108" s="147"/>
      <c r="AU108" s="147"/>
      <c r="AZ108" s="147"/>
      <c r="BC108" s="147"/>
    </row>
    <row r="109">
      <c r="J109" s="146"/>
      <c r="N109" s="147"/>
      <c r="Y109" s="147"/>
      <c r="AJ109" s="147"/>
      <c r="AU109" s="147"/>
      <c r="AZ109" s="147"/>
      <c r="BC109" s="147"/>
    </row>
    <row r="110">
      <c r="J110" s="146"/>
      <c r="N110" s="147"/>
      <c r="Y110" s="147"/>
      <c r="AJ110" s="147"/>
      <c r="AU110" s="147"/>
      <c r="AZ110" s="147"/>
      <c r="BC110" s="147"/>
    </row>
    <row r="111">
      <c r="J111" s="146"/>
      <c r="N111" s="147"/>
      <c r="Y111" s="147"/>
      <c r="AJ111" s="147"/>
      <c r="AU111" s="147"/>
      <c r="AZ111" s="147"/>
      <c r="BC111" s="147"/>
    </row>
    <row r="112">
      <c r="J112" s="146"/>
      <c r="N112" s="147"/>
      <c r="Y112" s="147"/>
      <c r="AJ112" s="147"/>
      <c r="AU112" s="147"/>
      <c r="AZ112" s="147"/>
      <c r="BC112" s="147"/>
    </row>
    <row r="113">
      <c r="J113" s="146"/>
      <c r="N113" s="147"/>
      <c r="Y113" s="147"/>
      <c r="AJ113" s="147"/>
      <c r="AU113" s="147"/>
      <c r="AZ113" s="147"/>
      <c r="BC113" s="147"/>
    </row>
    <row r="114">
      <c r="J114" s="146"/>
      <c r="N114" s="147"/>
      <c r="Y114" s="147"/>
      <c r="AJ114" s="147"/>
      <c r="AU114" s="147"/>
      <c r="AZ114" s="147"/>
      <c r="BC114" s="147"/>
    </row>
    <row r="115">
      <c r="J115" s="146"/>
      <c r="N115" s="147"/>
      <c r="Y115" s="147"/>
      <c r="AJ115" s="147"/>
      <c r="AU115" s="147"/>
      <c r="AZ115" s="147"/>
      <c r="BC115" s="147"/>
    </row>
    <row r="116">
      <c r="J116" s="146"/>
      <c r="N116" s="147"/>
      <c r="Y116" s="147"/>
      <c r="AJ116" s="147"/>
      <c r="AU116" s="147"/>
      <c r="AZ116" s="147"/>
      <c r="BC116" s="147"/>
    </row>
    <row r="117">
      <c r="J117" s="146"/>
      <c r="N117" s="147"/>
      <c r="Y117" s="147"/>
      <c r="AJ117" s="147"/>
      <c r="AU117" s="147"/>
      <c r="AZ117" s="147"/>
      <c r="BC117" s="147"/>
    </row>
    <row r="118">
      <c r="J118" s="146"/>
      <c r="N118" s="147"/>
      <c r="Y118" s="147"/>
      <c r="AJ118" s="147"/>
      <c r="AU118" s="147"/>
      <c r="AZ118" s="147"/>
      <c r="BC118" s="147"/>
    </row>
    <row r="119">
      <c r="J119" s="146"/>
      <c r="N119" s="147"/>
      <c r="Y119" s="147"/>
      <c r="AJ119" s="147"/>
      <c r="AU119" s="147"/>
      <c r="AZ119" s="147"/>
      <c r="BC119" s="147"/>
    </row>
    <row r="120">
      <c r="J120" s="146"/>
      <c r="N120" s="147"/>
      <c r="Y120" s="147"/>
      <c r="AJ120" s="147"/>
      <c r="AU120" s="147"/>
      <c r="AZ120" s="147"/>
      <c r="BC120" s="147"/>
    </row>
    <row r="121">
      <c r="J121" s="146"/>
      <c r="N121" s="147"/>
      <c r="Y121" s="147"/>
      <c r="AJ121" s="147"/>
      <c r="AU121" s="147"/>
      <c r="AZ121" s="147"/>
      <c r="BC121" s="147"/>
    </row>
    <row r="122">
      <c r="J122" s="146"/>
      <c r="N122" s="147"/>
      <c r="Y122" s="147"/>
      <c r="AJ122" s="147"/>
      <c r="AU122" s="147"/>
      <c r="AZ122" s="147"/>
      <c r="BC122" s="147"/>
    </row>
    <row r="123">
      <c r="J123" s="146"/>
      <c r="N123" s="147"/>
      <c r="Y123" s="147"/>
      <c r="AJ123" s="147"/>
      <c r="AU123" s="147"/>
      <c r="AZ123" s="147"/>
      <c r="BC123" s="147"/>
    </row>
    <row r="124">
      <c r="J124" s="146"/>
      <c r="N124" s="147"/>
      <c r="Y124" s="147"/>
      <c r="AJ124" s="147"/>
      <c r="AU124" s="147"/>
      <c r="AZ124" s="147"/>
      <c r="BC124" s="147"/>
    </row>
    <row r="125">
      <c r="J125" s="146"/>
      <c r="N125" s="147"/>
      <c r="Y125" s="147"/>
      <c r="AJ125" s="147"/>
      <c r="AU125" s="147"/>
      <c r="AZ125" s="147"/>
      <c r="BC125" s="147"/>
    </row>
    <row r="126">
      <c r="J126" s="146"/>
      <c r="N126" s="147"/>
      <c r="Y126" s="147"/>
      <c r="AJ126" s="147"/>
      <c r="AU126" s="147"/>
      <c r="AZ126" s="147"/>
      <c r="BC126" s="147"/>
    </row>
    <row r="127">
      <c r="J127" s="146"/>
      <c r="N127" s="147"/>
      <c r="Y127" s="147"/>
      <c r="AJ127" s="147"/>
      <c r="AU127" s="147"/>
      <c r="AZ127" s="147"/>
      <c r="BC127" s="147"/>
    </row>
    <row r="128">
      <c r="J128" s="146"/>
      <c r="N128" s="147"/>
      <c r="Y128" s="147"/>
      <c r="AJ128" s="147"/>
      <c r="AU128" s="147"/>
      <c r="AZ128" s="147"/>
      <c r="BC128" s="147"/>
    </row>
    <row r="129">
      <c r="J129" s="146"/>
      <c r="N129" s="147"/>
      <c r="Y129" s="147"/>
      <c r="AJ129" s="147"/>
      <c r="AU129" s="147"/>
      <c r="AZ129" s="147"/>
      <c r="BC129" s="147"/>
    </row>
    <row r="130">
      <c r="J130" s="146"/>
      <c r="N130" s="147"/>
      <c r="Y130" s="147"/>
      <c r="AJ130" s="147"/>
      <c r="AU130" s="147"/>
      <c r="AZ130" s="147"/>
      <c r="BC130" s="147"/>
    </row>
    <row r="131">
      <c r="J131" s="146"/>
      <c r="N131" s="147"/>
      <c r="Y131" s="147"/>
      <c r="AJ131" s="147"/>
      <c r="AU131" s="147"/>
      <c r="AZ131" s="147"/>
      <c r="BC131" s="147"/>
    </row>
    <row r="132">
      <c r="J132" s="146"/>
      <c r="N132" s="147"/>
      <c r="Y132" s="147"/>
      <c r="AJ132" s="147"/>
      <c r="AU132" s="147"/>
      <c r="AZ132" s="147"/>
      <c r="BC132" s="147"/>
    </row>
    <row r="133">
      <c r="J133" s="146"/>
      <c r="N133" s="147"/>
      <c r="Y133" s="147"/>
      <c r="AJ133" s="147"/>
      <c r="AU133" s="147"/>
      <c r="AZ133" s="147"/>
      <c r="BC133" s="147"/>
    </row>
    <row r="134">
      <c r="J134" s="146"/>
      <c r="N134" s="147"/>
      <c r="Y134" s="147"/>
      <c r="AJ134" s="147"/>
      <c r="AU134" s="147"/>
      <c r="AZ134" s="147"/>
      <c r="BC134" s="147"/>
    </row>
    <row r="135">
      <c r="J135" s="146"/>
      <c r="N135" s="147"/>
      <c r="Y135" s="147"/>
      <c r="AJ135" s="147"/>
      <c r="AU135" s="147"/>
      <c r="AZ135" s="147"/>
      <c r="BC135" s="147"/>
    </row>
    <row r="136">
      <c r="J136" s="146"/>
      <c r="N136" s="147"/>
      <c r="Y136" s="147"/>
      <c r="AJ136" s="147"/>
      <c r="AU136" s="147"/>
      <c r="AZ136" s="147"/>
      <c r="BC136" s="147"/>
    </row>
    <row r="137">
      <c r="J137" s="146"/>
      <c r="N137" s="147"/>
      <c r="Y137" s="147"/>
      <c r="AJ137" s="147"/>
      <c r="AU137" s="147"/>
      <c r="AZ137" s="147"/>
      <c r="BC137" s="147"/>
    </row>
    <row r="138">
      <c r="J138" s="146"/>
      <c r="N138" s="147"/>
      <c r="Y138" s="147"/>
      <c r="AJ138" s="147"/>
      <c r="AU138" s="147"/>
      <c r="AZ138" s="147"/>
      <c r="BC138" s="147"/>
    </row>
    <row r="139">
      <c r="J139" s="146"/>
      <c r="N139" s="147"/>
      <c r="Y139" s="147"/>
      <c r="AJ139" s="147"/>
      <c r="AU139" s="147"/>
      <c r="AZ139" s="147"/>
      <c r="BC139" s="147"/>
    </row>
    <row r="140">
      <c r="J140" s="146"/>
      <c r="N140" s="147"/>
      <c r="Y140" s="147"/>
      <c r="AJ140" s="147"/>
      <c r="AU140" s="147"/>
      <c r="AZ140" s="147"/>
      <c r="BC140" s="147"/>
    </row>
    <row r="141">
      <c r="J141" s="146"/>
      <c r="N141" s="147"/>
      <c r="Y141" s="147"/>
      <c r="AJ141" s="147"/>
      <c r="AU141" s="147"/>
      <c r="AZ141" s="147"/>
      <c r="BC141" s="147"/>
    </row>
    <row r="142">
      <c r="J142" s="146"/>
      <c r="N142" s="147"/>
      <c r="Y142" s="147"/>
      <c r="AJ142" s="147"/>
      <c r="AU142" s="147"/>
      <c r="AZ142" s="147"/>
      <c r="BC142" s="147"/>
    </row>
    <row r="143">
      <c r="J143" s="146"/>
      <c r="N143" s="147"/>
      <c r="Y143" s="147"/>
      <c r="AJ143" s="147"/>
      <c r="AU143" s="147"/>
      <c r="AZ143" s="147"/>
      <c r="BC143" s="147"/>
    </row>
    <row r="144">
      <c r="J144" s="146"/>
      <c r="N144" s="147"/>
      <c r="Y144" s="147"/>
      <c r="AJ144" s="147"/>
      <c r="AU144" s="147"/>
      <c r="AZ144" s="147"/>
      <c r="BC144" s="147"/>
    </row>
    <row r="145">
      <c r="J145" s="146"/>
      <c r="N145" s="147"/>
      <c r="Y145" s="147"/>
      <c r="AJ145" s="147"/>
      <c r="AU145" s="147"/>
      <c r="AZ145" s="147"/>
      <c r="BC145" s="147"/>
    </row>
    <row r="146">
      <c r="J146" s="146"/>
      <c r="N146" s="147"/>
      <c r="Y146" s="147"/>
      <c r="AJ146" s="147"/>
      <c r="AU146" s="147"/>
      <c r="AZ146" s="147"/>
      <c r="BC146" s="147"/>
    </row>
    <row r="147">
      <c r="J147" s="146"/>
      <c r="N147" s="147"/>
      <c r="Y147" s="147"/>
      <c r="AJ147" s="147"/>
      <c r="AU147" s="147"/>
      <c r="AZ147" s="147"/>
      <c r="BC147" s="147"/>
    </row>
    <row r="148">
      <c r="J148" s="146"/>
      <c r="N148" s="147"/>
      <c r="Y148" s="147"/>
      <c r="AJ148" s="147"/>
      <c r="AU148" s="147"/>
      <c r="AZ148" s="147"/>
      <c r="BC148" s="147"/>
    </row>
    <row r="149">
      <c r="J149" s="146"/>
      <c r="N149" s="147"/>
      <c r="Y149" s="147"/>
      <c r="AJ149" s="147"/>
      <c r="AU149" s="147"/>
      <c r="AZ149" s="147"/>
      <c r="BC149" s="147"/>
    </row>
    <row r="150">
      <c r="J150" s="146"/>
      <c r="N150" s="147"/>
      <c r="Y150" s="147"/>
      <c r="AJ150" s="147"/>
      <c r="AU150" s="147"/>
      <c r="AZ150" s="147"/>
      <c r="BC150" s="147"/>
    </row>
    <row r="151">
      <c r="J151" s="146"/>
      <c r="N151" s="147"/>
      <c r="Y151" s="147"/>
      <c r="AJ151" s="147"/>
      <c r="AU151" s="147"/>
      <c r="AZ151" s="147"/>
      <c r="BC151" s="147"/>
    </row>
    <row r="152">
      <c r="J152" s="146"/>
      <c r="N152" s="147"/>
      <c r="Y152" s="147"/>
      <c r="AJ152" s="147"/>
      <c r="AU152" s="147"/>
      <c r="AZ152" s="147"/>
      <c r="BC152" s="147"/>
    </row>
    <row r="153">
      <c r="J153" s="146"/>
      <c r="N153" s="147"/>
      <c r="Y153" s="147"/>
      <c r="AJ153" s="147"/>
      <c r="AU153" s="147"/>
      <c r="AZ153" s="147"/>
      <c r="BC153" s="147"/>
    </row>
    <row r="154">
      <c r="J154" s="146"/>
      <c r="N154" s="147"/>
      <c r="Y154" s="147"/>
      <c r="AJ154" s="147"/>
      <c r="AU154" s="147"/>
      <c r="AZ154" s="147"/>
      <c r="BC154" s="147"/>
    </row>
    <row r="155">
      <c r="J155" s="146"/>
      <c r="N155" s="147"/>
      <c r="Y155" s="147"/>
      <c r="AJ155" s="147"/>
      <c r="AU155" s="147"/>
      <c r="AZ155" s="147"/>
      <c r="BC155" s="147"/>
    </row>
    <row r="156">
      <c r="J156" s="146"/>
      <c r="N156" s="147"/>
      <c r="Y156" s="147"/>
      <c r="AJ156" s="147"/>
      <c r="AU156" s="147"/>
      <c r="AZ156" s="147"/>
      <c r="BC156" s="147"/>
    </row>
    <row r="157">
      <c r="J157" s="146"/>
      <c r="N157" s="147"/>
      <c r="Y157" s="147"/>
      <c r="AJ157" s="147"/>
      <c r="AU157" s="147"/>
      <c r="AZ157" s="147"/>
      <c r="BC157" s="147"/>
    </row>
    <row r="158">
      <c r="J158" s="146"/>
      <c r="N158" s="147"/>
      <c r="Y158" s="147"/>
      <c r="AJ158" s="147"/>
      <c r="AU158" s="147"/>
      <c r="AZ158" s="147"/>
      <c r="BC158" s="147"/>
    </row>
    <row r="159">
      <c r="J159" s="146"/>
      <c r="N159" s="147"/>
      <c r="Y159" s="147"/>
      <c r="AJ159" s="147"/>
      <c r="AU159" s="147"/>
      <c r="AZ159" s="147"/>
      <c r="BC159" s="147"/>
    </row>
    <row r="160">
      <c r="J160" s="146"/>
      <c r="N160" s="147"/>
      <c r="Y160" s="147"/>
      <c r="AJ160" s="147"/>
      <c r="AU160" s="147"/>
      <c r="AZ160" s="147"/>
      <c r="BC160" s="147"/>
    </row>
    <row r="161">
      <c r="J161" s="146"/>
      <c r="N161" s="147"/>
      <c r="Y161" s="147"/>
      <c r="AJ161" s="147"/>
      <c r="AU161" s="147"/>
      <c r="AZ161" s="147"/>
      <c r="BC161" s="147"/>
    </row>
    <row r="162">
      <c r="J162" s="146"/>
      <c r="N162" s="147"/>
      <c r="Y162" s="147"/>
      <c r="AJ162" s="147"/>
      <c r="AU162" s="147"/>
      <c r="AZ162" s="147"/>
      <c r="BC162" s="147"/>
    </row>
    <row r="163">
      <c r="J163" s="146"/>
      <c r="N163" s="147"/>
      <c r="Y163" s="147"/>
      <c r="AJ163" s="147"/>
      <c r="AU163" s="147"/>
      <c r="AZ163" s="147"/>
      <c r="BC163" s="147"/>
    </row>
    <row r="164">
      <c r="J164" s="146"/>
      <c r="N164" s="147"/>
      <c r="Y164" s="147"/>
      <c r="AJ164" s="147"/>
      <c r="AU164" s="147"/>
      <c r="AZ164" s="147"/>
      <c r="BC164" s="147"/>
    </row>
    <row r="165">
      <c r="J165" s="146"/>
      <c r="N165" s="147"/>
      <c r="Y165" s="147"/>
      <c r="AJ165" s="147"/>
      <c r="AU165" s="147"/>
      <c r="AZ165" s="147"/>
      <c r="BC165" s="147"/>
    </row>
    <row r="166">
      <c r="J166" s="146"/>
      <c r="N166" s="147"/>
      <c r="Y166" s="147"/>
      <c r="AJ166" s="147"/>
      <c r="AU166" s="147"/>
      <c r="AZ166" s="147"/>
      <c r="BC166" s="147"/>
    </row>
    <row r="167">
      <c r="J167" s="146"/>
      <c r="N167" s="147"/>
      <c r="Y167" s="147"/>
      <c r="AJ167" s="147"/>
      <c r="AU167" s="147"/>
      <c r="AZ167" s="147"/>
      <c r="BC167" s="147"/>
    </row>
    <row r="168">
      <c r="J168" s="146"/>
      <c r="N168" s="147"/>
      <c r="Y168" s="147"/>
      <c r="AJ168" s="147"/>
      <c r="AU168" s="147"/>
      <c r="AZ168" s="147"/>
      <c r="BC168" s="147"/>
    </row>
    <row r="169">
      <c r="J169" s="146"/>
      <c r="N169" s="147"/>
      <c r="Y169" s="147"/>
      <c r="AJ169" s="147"/>
      <c r="AU169" s="147"/>
      <c r="AZ169" s="147"/>
      <c r="BC169" s="147"/>
    </row>
    <row r="170">
      <c r="J170" s="146"/>
      <c r="N170" s="147"/>
      <c r="Y170" s="147"/>
      <c r="AJ170" s="147"/>
      <c r="AU170" s="147"/>
      <c r="AZ170" s="147"/>
      <c r="BC170" s="147"/>
    </row>
    <row r="171">
      <c r="J171" s="146"/>
      <c r="N171" s="147"/>
      <c r="Y171" s="147"/>
      <c r="AJ171" s="147"/>
      <c r="AU171" s="147"/>
      <c r="AZ171" s="147"/>
      <c r="BC171" s="147"/>
    </row>
    <row r="172">
      <c r="J172" s="146"/>
      <c r="N172" s="147"/>
      <c r="Y172" s="147"/>
      <c r="AJ172" s="147"/>
      <c r="AU172" s="147"/>
      <c r="AZ172" s="147"/>
      <c r="BC172" s="147"/>
    </row>
    <row r="173">
      <c r="J173" s="146"/>
      <c r="N173" s="147"/>
      <c r="Y173" s="147"/>
      <c r="AJ173" s="147"/>
      <c r="AU173" s="147"/>
      <c r="AZ173" s="147"/>
      <c r="BC173" s="147"/>
    </row>
    <row r="174">
      <c r="J174" s="146"/>
      <c r="N174" s="147"/>
      <c r="Y174" s="147"/>
      <c r="AJ174" s="147"/>
      <c r="AU174" s="147"/>
      <c r="AZ174" s="147"/>
      <c r="BC174" s="147"/>
    </row>
    <row r="175">
      <c r="J175" s="146"/>
      <c r="N175" s="147"/>
      <c r="Y175" s="147"/>
      <c r="AJ175" s="147"/>
      <c r="AU175" s="147"/>
      <c r="AZ175" s="147"/>
      <c r="BC175" s="147"/>
    </row>
    <row r="176">
      <c r="J176" s="146"/>
      <c r="N176" s="147"/>
      <c r="Y176" s="147"/>
      <c r="AJ176" s="147"/>
      <c r="AU176" s="147"/>
      <c r="AZ176" s="147"/>
      <c r="BC176" s="147"/>
    </row>
    <row r="177">
      <c r="J177" s="146"/>
      <c r="N177" s="147"/>
      <c r="Y177" s="147"/>
      <c r="AJ177" s="147"/>
      <c r="AU177" s="147"/>
      <c r="AZ177" s="147"/>
      <c r="BC177" s="147"/>
    </row>
    <row r="178">
      <c r="J178" s="146"/>
      <c r="N178" s="147"/>
      <c r="Y178" s="147"/>
      <c r="AJ178" s="147"/>
      <c r="AU178" s="147"/>
      <c r="AZ178" s="147"/>
      <c r="BC178" s="147"/>
    </row>
    <row r="179">
      <c r="J179" s="146"/>
      <c r="N179" s="147"/>
      <c r="Y179" s="147"/>
      <c r="AJ179" s="147"/>
      <c r="AU179" s="147"/>
      <c r="AZ179" s="147"/>
      <c r="BC179" s="147"/>
    </row>
    <row r="180">
      <c r="J180" s="146"/>
      <c r="N180" s="147"/>
      <c r="Y180" s="147"/>
      <c r="AJ180" s="147"/>
      <c r="AU180" s="147"/>
      <c r="AZ180" s="147"/>
      <c r="BC180" s="147"/>
    </row>
    <row r="181">
      <c r="J181" s="146"/>
      <c r="N181" s="147"/>
      <c r="Y181" s="147"/>
      <c r="AJ181" s="147"/>
      <c r="AU181" s="147"/>
      <c r="AZ181" s="147"/>
      <c r="BC181" s="147"/>
    </row>
    <row r="182">
      <c r="J182" s="146"/>
      <c r="N182" s="147"/>
      <c r="Y182" s="147"/>
      <c r="AJ182" s="147"/>
      <c r="AU182" s="147"/>
      <c r="AZ182" s="147"/>
      <c r="BC182" s="147"/>
    </row>
    <row r="183">
      <c r="J183" s="146"/>
      <c r="N183" s="147"/>
      <c r="Y183" s="147"/>
      <c r="AJ183" s="147"/>
      <c r="AU183" s="147"/>
      <c r="AZ183" s="147"/>
      <c r="BC183" s="147"/>
    </row>
    <row r="184">
      <c r="J184" s="146"/>
      <c r="N184" s="147"/>
      <c r="Y184" s="147"/>
      <c r="AJ184" s="147"/>
      <c r="AU184" s="147"/>
      <c r="AZ184" s="147"/>
      <c r="BC184" s="147"/>
    </row>
    <row r="185">
      <c r="J185" s="146"/>
      <c r="N185" s="147"/>
      <c r="Y185" s="147"/>
      <c r="AJ185" s="147"/>
      <c r="AU185" s="147"/>
      <c r="AZ185" s="147"/>
      <c r="BC185" s="147"/>
    </row>
    <row r="186">
      <c r="J186" s="146"/>
      <c r="N186" s="147"/>
      <c r="Y186" s="147"/>
      <c r="AJ186" s="147"/>
      <c r="AU186" s="147"/>
      <c r="AZ186" s="147"/>
      <c r="BC186" s="147"/>
    </row>
    <row r="187">
      <c r="J187" s="146"/>
      <c r="N187" s="147"/>
      <c r="Y187" s="147"/>
      <c r="AJ187" s="147"/>
      <c r="AU187" s="147"/>
      <c r="AZ187" s="147"/>
      <c r="BC187" s="147"/>
    </row>
    <row r="188">
      <c r="J188" s="146"/>
      <c r="N188" s="147"/>
      <c r="Y188" s="147"/>
      <c r="AJ188" s="147"/>
      <c r="AU188" s="147"/>
      <c r="AZ188" s="147"/>
      <c r="BC188" s="147"/>
    </row>
    <row r="189">
      <c r="J189" s="146"/>
      <c r="N189" s="147"/>
      <c r="Y189" s="147"/>
      <c r="AJ189" s="147"/>
      <c r="AU189" s="147"/>
      <c r="AZ189" s="147"/>
      <c r="BC189" s="147"/>
    </row>
    <row r="190">
      <c r="J190" s="146"/>
      <c r="N190" s="147"/>
      <c r="Y190" s="147"/>
      <c r="AJ190" s="147"/>
      <c r="AU190" s="147"/>
      <c r="AZ190" s="147"/>
      <c r="BC190" s="147"/>
    </row>
    <row r="191">
      <c r="J191" s="146"/>
      <c r="N191" s="147"/>
      <c r="Y191" s="147"/>
      <c r="AJ191" s="147"/>
      <c r="AU191" s="147"/>
      <c r="AZ191" s="147"/>
      <c r="BC191" s="147"/>
    </row>
    <row r="192">
      <c r="J192" s="146"/>
      <c r="N192" s="147"/>
      <c r="Y192" s="147"/>
      <c r="AJ192" s="147"/>
      <c r="AU192" s="147"/>
      <c r="AZ192" s="147"/>
      <c r="BC192" s="147"/>
    </row>
    <row r="193">
      <c r="J193" s="146"/>
      <c r="N193" s="147"/>
      <c r="Y193" s="147"/>
      <c r="AJ193" s="147"/>
      <c r="AU193" s="147"/>
      <c r="AZ193" s="147"/>
      <c r="BC193" s="147"/>
    </row>
    <row r="194">
      <c r="J194" s="146"/>
      <c r="N194" s="147"/>
      <c r="Y194" s="147"/>
      <c r="AJ194" s="147"/>
      <c r="AU194" s="147"/>
      <c r="AZ194" s="147"/>
      <c r="BC194" s="147"/>
    </row>
    <row r="195">
      <c r="J195" s="146"/>
      <c r="N195" s="147"/>
      <c r="Y195" s="147"/>
      <c r="AJ195" s="147"/>
      <c r="AU195" s="147"/>
      <c r="AZ195" s="147"/>
      <c r="BC195" s="147"/>
    </row>
    <row r="196">
      <c r="J196" s="146"/>
      <c r="N196" s="147"/>
      <c r="Y196" s="147"/>
      <c r="AJ196" s="147"/>
      <c r="AU196" s="147"/>
      <c r="AZ196" s="147"/>
      <c r="BC196" s="147"/>
    </row>
    <row r="197">
      <c r="J197" s="146"/>
      <c r="N197" s="147"/>
      <c r="Y197" s="147"/>
      <c r="AJ197" s="147"/>
      <c r="AU197" s="147"/>
      <c r="AZ197" s="147"/>
      <c r="BC197" s="147"/>
    </row>
    <row r="198">
      <c r="J198" s="146"/>
      <c r="N198" s="147"/>
      <c r="Y198" s="147"/>
      <c r="AJ198" s="147"/>
      <c r="AU198" s="147"/>
      <c r="AZ198" s="147"/>
      <c r="BC198" s="147"/>
    </row>
    <row r="199">
      <c r="J199" s="146"/>
      <c r="N199" s="147"/>
      <c r="Y199" s="147"/>
      <c r="AJ199" s="147"/>
      <c r="AU199" s="147"/>
      <c r="AZ199" s="147"/>
      <c r="BC199" s="147"/>
    </row>
    <row r="200">
      <c r="J200" s="146"/>
      <c r="N200" s="147"/>
      <c r="Y200" s="147"/>
      <c r="AJ200" s="147"/>
      <c r="AU200" s="147"/>
      <c r="AZ200" s="147"/>
      <c r="BC200" s="147"/>
    </row>
    <row r="201">
      <c r="J201" s="146"/>
      <c r="N201" s="147"/>
      <c r="Y201" s="147"/>
      <c r="AJ201" s="147"/>
      <c r="AU201" s="147"/>
      <c r="AZ201" s="147"/>
      <c r="BC201" s="147"/>
    </row>
    <row r="202">
      <c r="J202" s="146"/>
      <c r="N202" s="147"/>
      <c r="Y202" s="147"/>
      <c r="AJ202" s="147"/>
      <c r="AU202" s="147"/>
      <c r="AZ202" s="147"/>
      <c r="BC202" s="147"/>
    </row>
    <row r="203">
      <c r="J203" s="146"/>
      <c r="N203" s="147"/>
      <c r="Y203" s="147"/>
      <c r="AJ203" s="147"/>
      <c r="AU203" s="147"/>
      <c r="AZ203" s="147"/>
      <c r="BC203" s="147"/>
    </row>
    <row r="204">
      <c r="J204" s="146"/>
      <c r="N204" s="147"/>
      <c r="Y204" s="147"/>
      <c r="AJ204" s="147"/>
      <c r="AU204" s="147"/>
      <c r="AZ204" s="147"/>
      <c r="BC204" s="147"/>
    </row>
    <row r="205">
      <c r="J205" s="146"/>
      <c r="N205" s="147"/>
      <c r="Y205" s="147"/>
      <c r="AJ205" s="147"/>
      <c r="AU205" s="147"/>
      <c r="AZ205" s="147"/>
      <c r="BC205" s="147"/>
    </row>
    <row r="206">
      <c r="J206" s="146"/>
      <c r="N206" s="147"/>
      <c r="Y206" s="147"/>
      <c r="AJ206" s="147"/>
      <c r="AU206" s="147"/>
      <c r="AZ206" s="147"/>
      <c r="BC206" s="147"/>
    </row>
    <row r="207">
      <c r="J207" s="146"/>
      <c r="N207" s="147"/>
      <c r="Y207" s="147"/>
      <c r="AJ207" s="147"/>
      <c r="AU207" s="147"/>
      <c r="AZ207" s="147"/>
      <c r="BC207" s="147"/>
    </row>
    <row r="208">
      <c r="J208" s="146"/>
      <c r="N208" s="147"/>
      <c r="Y208" s="147"/>
      <c r="AJ208" s="147"/>
      <c r="AU208" s="147"/>
      <c r="AZ208" s="147"/>
      <c r="BC208" s="147"/>
    </row>
    <row r="209">
      <c r="J209" s="146"/>
      <c r="N209" s="147"/>
      <c r="Y209" s="147"/>
      <c r="AJ209" s="147"/>
      <c r="AU209" s="147"/>
      <c r="AZ209" s="147"/>
      <c r="BC209" s="147"/>
    </row>
    <row r="210">
      <c r="J210" s="146"/>
      <c r="N210" s="147"/>
      <c r="Y210" s="147"/>
      <c r="AJ210" s="147"/>
      <c r="AU210" s="147"/>
      <c r="AZ210" s="147"/>
      <c r="BC210" s="147"/>
    </row>
    <row r="211">
      <c r="J211" s="146"/>
      <c r="N211" s="147"/>
      <c r="Y211" s="147"/>
      <c r="AJ211" s="147"/>
      <c r="AU211" s="147"/>
      <c r="AZ211" s="147"/>
      <c r="BC211" s="147"/>
    </row>
    <row r="212">
      <c r="J212" s="146"/>
      <c r="N212" s="147"/>
      <c r="Y212" s="147"/>
      <c r="AJ212" s="147"/>
      <c r="AU212" s="147"/>
      <c r="AZ212" s="147"/>
      <c r="BC212" s="147"/>
    </row>
    <row r="213">
      <c r="J213" s="146"/>
      <c r="N213" s="147"/>
      <c r="Y213" s="147"/>
      <c r="AJ213" s="147"/>
      <c r="AU213" s="147"/>
      <c r="AZ213" s="147"/>
      <c r="BC213" s="147"/>
    </row>
    <row r="214">
      <c r="J214" s="146"/>
      <c r="N214" s="147"/>
      <c r="Y214" s="147"/>
      <c r="AJ214" s="147"/>
      <c r="AU214" s="147"/>
      <c r="AZ214" s="147"/>
      <c r="BC214" s="147"/>
    </row>
    <row r="215">
      <c r="J215" s="146"/>
      <c r="N215" s="147"/>
      <c r="Y215" s="147"/>
      <c r="AJ215" s="147"/>
      <c r="AU215" s="147"/>
      <c r="AZ215" s="147"/>
      <c r="BC215" s="147"/>
    </row>
    <row r="216">
      <c r="J216" s="146"/>
      <c r="N216" s="147"/>
      <c r="Y216" s="147"/>
      <c r="AJ216" s="147"/>
      <c r="AU216" s="147"/>
      <c r="AZ216" s="147"/>
      <c r="BC216" s="147"/>
    </row>
    <row r="217">
      <c r="J217" s="146"/>
      <c r="N217" s="147"/>
      <c r="Y217" s="147"/>
      <c r="AJ217" s="147"/>
      <c r="AU217" s="147"/>
      <c r="AZ217" s="147"/>
      <c r="BC217" s="147"/>
    </row>
    <row r="218">
      <c r="J218" s="146"/>
      <c r="N218" s="147"/>
      <c r="Y218" s="147"/>
      <c r="AJ218" s="147"/>
      <c r="AU218" s="147"/>
      <c r="AZ218" s="147"/>
      <c r="BC218" s="147"/>
    </row>
    <row r="219">
      <c r="J219" s="146"/>
      <c r="N219" s="147"/>
      <c r="Y219" s="147"/>
      <c r="AJ219" s="147"/>
      <c r="AU219" s="147"/>
      <c r="AZ219" s="147"/>
      <c r="BC219" s="147"/>
    </row>
    <row r="220">
      <c r="J220" s="146"/>
      <c r="N220" s="147"/>
      <c r="Y220" s="147"/>
      <c r="AJ220" s="147"/>
      <c r="AU220" s="147"/>
      <c r="AZ220" s="147"/>
      <c r="BC220" s="147"/>
    </row>
    <row r="221">
      <c r="J221" s="146"/>
      <c r="N221" s="147"/>
      <c r="Y221" s="147"/>
      <c r="AJ221" s="147"/>
      <c r="AU221" s="147"/>
      <c r="AZ221" s="147"/>
      <c r="BC221" s="147"/>
    </row>
    <row r="222">
      <c r="J222" s="146"/>
      <c r="N222" s="147"/>
      <c r="Y222" s="147"/>
      <c r="AJ222" s="147"/>
      <c r="AU222" s="147"/>
      <c r="AZ222" s="147"/>
      <c r="BC222" s="147"/>
    </row>
    <row r="223">
      <c r="J223" s="146"/>
      <c r="N223" s="147"/>
      <c r="Y223" s="147"/>
      <c r="AJ223" s="147"/>
      <c r="AU223" s="147"/>
      <c r="AZ223" s="147"/>
      <c r="BC223" s="147"/>
    </row>
    <row r="224">
      <c r="J224" s="146"/>
      <c r="N224" s="147"/>
      <c r="Y224" s="147"/>
      <c r="AJ224" s="147"/>
      <c r="AU224" s="147"/>
      <c r="AZ224" s="147"/>
      <c r="BC224" s="147"/>
    </row>
    <row r="225">
      <c r="J225" s="146"/>
      <c r="N225" s="147"/>
      <c r="Y225" s="147"/>
      <c r="AJ225" s="147"/>
      <c r="AU225" s="147"/>
      <c r="AZ225" s="147"/>
      <c r="BC225" s="147"/>
    </row>
    <row r="226">
      <c r="J226" s="146"/>
      <c r="N226" s="147"/>
      <c r="Y226" s="147"/>
      <c r="AJ226" s="147"/>
      <c r="AU226" s="147"/>
      <c r="AZ226" s="147"/>
      <c r="BC226" s="147"/>
    </row>
    <row r="227">
      <c r="J227" s="146"/>
      <c r="N227" s="147"/>
      <c r="Y227" s="147"/>
      <c r="AJ227" s="147"/>
      <c r="AU227" s="147"/>
      <c r="AZ227" s="147"/>
      <c r="BC227" s="147"/>
    </row>
    <row r="228">
      <c r="J228" s="146"/>
      <c r="N228" s="147"/>
      <c r="Y228" s="147"/>
      <c r="AJ228" s="147"/>
      <c r="AU228" s="147"/>
      <c r="AZ228" s="147"/>
      <c r="BC228" s="147"/>
    </row>
    <row r="229">
      <c r="J229" s="146"/>
      <c r="N229" s="147"/>
      <c r="Y229" s="147"/>
      <c r="AJ229" s="147"/>
      <c r="AU229" s="147"/>
      <c r="AZ229" s="147"/>
      <c r="BC229" s="147"/>
    </row>
    <row r="230">
      <c r="J230" s="146"/>
      <c r="N230" s="147"/>
      <c r="Y230" s="147"/>
      <c r="AJ230" s="147"/>
      <c r="AU230" s="147"/>
      <c r="AZ230" s="147"/>
      <c r="BC230" s="147"/>
    </row>
    <row r="231">
      <c r="J231" s="146"/>
      <c r="N231" s="147"/>
      <c r="Y231" s="147"/>
      <c r="AJ231" s="147"/>
      <c r="AU231" s="147"/>
      <c r="AZ231" s="147"/>
      <c r="BC231" s="147"/>
    </row>
    <row r="232">
      <c r="J232" s="146"/>
      <c r="N232" s="147"/>
      <c r="Y232" s="147"/>
      <c r="AJ232" s="147"/>
      <c r="AU232" s="147"/>
      <c r="AZ232" s="147"/>
      <c r="BC232" s="147"/>
    </row>
    <row r="233">
      <c r="J233" s="146"/>
      <c r="N233" s="147"/>
      <c r="Y233" s="147"/>
      <c r="AJ233" s="147"/>
      <c r="AU233" s="147"/>
      <c r="AZ233" s="147"/>
      <c r="BC233" s="147"/>
    </row>
    <row r="234">
      <c r="J234" s="146"/>
      <c r="N234" s="147"/>
      <c r="Y234" s="147"/>
      <c r="AJ234" s="147"/>
      <c r="AU234" s="147"/>
      <c r="AZ234" s="147"/>
      <c r="BC234" s="147"/>
    </row>
    <row r="235">
      <c r="J235" s="146"/>
      <c r="N235" s="147"/>
      <c r="Y235" s="147"/>
      <c r="AJ235" s="147"/>
      <c r="AU235" s="147"/>
      <c r="AZ235" s="147"/>
      <c r="BC235" s="147"/>
    </row>
    <row r="236">
      <c r="J236" s="146"/>
      <c r="N236" s="147"/>
      <c r="Y236" s="147"/>
      <c r="AJ236" s="147"/>
      <c r="AU236" s="147"/>
      <c r="AZ236" s="147"/>
      <c r="BC236" s="147"/>
    </row>
    <row r="237">
      <c r="J237" s="146"/>
      <c r="N237" s="147"/>
      <c r="Y237" s="147"/>
      <c r="AJ237" s="147"/>
      <c r="AU237" s="147"/>
      <c r="AZ237" s="147"/>
      <c r="BC237" s="147"/>
    </row>
    <row r="238">
      <c r="J238" s="146"/>
      <c r="N238" s="147"/>
      <c r="Y238" s="147"/>
      <c r="AJ238" s="147"/>
      <c r="AU238" s="147"/>
      <c r="AZ238" s="147"/>
      <c r="BC238" s="147"/>
    </row>
    <row r="239">
      <c r="J239" s="146"/>
      <c r="N239" s="147"/>
      <c r="Y239" s="147"/>
      <c r="AJ239" s="147"/>
      <c r="AU239" s="147"/>
      <c r="AZ239" s="147"/>
      <c r="BC239" s="147"/>
    </row>
    <row r="240">
      <c r="J240" s="146"/>
      <c r="N240" s="147"/>
      <c r="Y240" s="147"/>
      <c r="AJ240" s="147"/>
      <c r="AU240" s="147"/>
      <c r="AZ240" s="147"/>
      <c r="BC240" s="147"/>
    </row>
    <row r="241">
      <c r="J241" s="146"/>
      <c r="N241" s="147"/>
      <c r="Y241" s="147"/>
      <c r="AJ241" s="147"/>
      <c r="AU241" s="147"/>
      <c r="AZ241" s="147"/>
      <c r="BC241" s="147"/>
    </row>
    <row r="242">
      <c r="J242" s="146"/>
      <c r="N242" s="147"/>
      <c r="Y242" s="147"/>
      <c r="AJ242" s="147"/>
      <c r="AU242" s="147"/>
      <c r="AZ242" s="147"/>
      <c r="BC242" s="147"/>
    </row>
    <row r="243">
      <c r="J243" s="146"/>
      <c r="N243" s="147"/>
      <c r="Y243" s="147"/>
      <c r="AJ243" s="147"/>
      <c r="AU243" s="147"/>
      <c r="AZ243" s="147"/>
      <c r="BC243" s="147"/>
    </row>
    <row r="244">
      <c r="J244" s="146"/>
      <c r="N244" s="147"/>
      <c r="Y244" s="147"/>
      <c r="AJ244" s="147"/>
      <c r="AU244" s="147"/>
      <c r="AZ244" s="147"/>
      <c r="BC244" s="147"/>
    </row>
    <row r="245">
      <c r="J245" s="146"/>
      <c r="N245" s="147"/>
      <c r="Y245" s="147"/>
      <c r="AJ245" s="147"/>
      <c r="AU245" s="147"/>
      <c r="AZ245" s="147"/>
      <c r="BC245" s="147"/>
    </row>
    <row r="246">
      <c r="J246" s="146"/>
      <c r="N246" s="147"/>
      <c r="Y246" s="147"/>
      <c r="AJ246" s="147"/>
      <c r="AU246" s="147"/>
      <c r="AZ246" s="147"/>
      <c r="BC246" s="147"/>
    </row>
    <row r="247">
      <c r="J247" s="146"/>
      <c r="N247" s="147"/>
      <c r="Y247" s="147"/>
      <c r="AJ247" s="147"/>
      <c r="AU247" s="147"/>
      <c r="AZ247" s="147"/>
      <c r="BC247" s="147"/>
    </row>
    <row r="248">
      <c r="J248" s="146"/>
      <c r="N248" s="147"/>
      <c r="Y248" s="147"/>
      <c r="AJ248" s="147"/>
      <c r="AU248" s="147"/>
      <c r="AZ248" s="147"/>
      <c r="BC248" s="147"/>
    </row>
    <row r="249">
      <c r="J249" s="146"/>
      <c r="N249" s="147"/>
      <c r="Y249" s="147"/>
      <c r="AJ249" s="147"/>
      <c r="AU249" s="147"/>
      <c r="AZ249" s="147"/>
      <c r="BC249" s="147"/>
    </row>
    <row r="250">
      <c r="J250" s="146"/>
      <c r="N250" s="147"/>
      <c r="Y250" s="147"/>
      <c r="AJ250" s="147"/>
      <c r="AU250" s="147"/>
      <c r="AZ250" s="147"/>
      <c r="BC250" s="147"/>
    </row>
    <row r="251">
      <c r="J251" s="146"/>
      <c r="N251" s="147"/>
      <c r="Y251" s="147"/>
      <c r="AJ251" s="147"/>
      <c r="AU251" s="147"/>
      <c r="AZ251" s="147"/>
      <c r="BC251" s="147"/>
    </row>
    <row r="252">
      <c r="J252" s="146"/>
      <c r="N252" s="147"/>
      <c r="Y252" s="147"/>
      <c r="AJ252" s="147"/>
      <c r="AU252" s="147"/>
      <c r="AZ252" s="147"/>
      <c r="BC252" s="147"/>
    </row>
    <row r="253">
      <c r="J253" s="146"/>
      <c r="N253" s="147"/>
      <c r="Y253" s="147"/>
      <c r="AJ253" s="147"/>
      <c r="AU253" s="147"/>
      <c r="AZ253" s="147"/>
      <c r="BC253" s="147"/>
    </row>
    <row r="254">
      <c r="J254" s="146"/>
      <c r="N254" s="147"/>
      <c r="Y254" s="147"/>
      <c r="AJ254" s="147"/>
      <c r="AU254" s="147"/>
      <c r="AZ254" s="147"/>
      <c r="BC254" s="147"/>
    </row>
    <row r="255">
      <c r="J255" s="146"/>
      <c r="N255" s="147"/>
      <c r="Y255" s="147"/>
      <c r="AJ255" s="147"/>
      <c r="AU255" s="147"/>
      <c r="AZ255" s="147"/>
      <c r="BC255" s="147"/>
    </row>
    <row r="256">
      <c r="J256" s="146"/>
      <c r="N256" s="147"/>
      <c r="Y256" s="147"/>
      <c r="AJ256" s="147"/>
      <c r="AU256" s="147"/>
      <c r="AZ256" s="147"/>
      <c r="BC256" s="147"/>
    </row>
    <row r="257">
      <c r="J257" s="146"/>
      <c r="N257" s="147"/>
      <c r="Y257" s="147"/>
      <c r="AJ257" s="147"/>
      <c r="AU257" s="147"/>
      <c r="AZ257" s="147"/>
      <c r="BC257" s="147"/>
    </row>
    <row r="258">
      <c r="J258" s="146"/>
      <c r="N258" s="147"/>
      <c r="Y258" s="147"/>
      <c r="AJ258" s="147"/>
      <c r="AU258" s="147"/>
      <c r="AZ258" s="147"/>
      <c r="BC258" s="147"/>
    </row>
    <row r="259">
      <c r="J259" s="146"/>
      <c r="N259" s="147"/>
      <c r="Y259" s="147"/>
      <c r="AJ259" s="147"/>
      <c r="AU259" s="147"/>
      <c r="AZ259" s="147"/>
      <c r="BC259" s="147"/>
    </row>
    <row r="260">
      <c r="J260" s="146"/>
      <c r="N260" s="147"/>
      <c r="Y260" s="147"/>
      <c r="AJ260" s="147"/>
      <c r="AU260" s="147"/>
      <c r="AZ260" s="147"/>
      <c r="BC260" s="147"/>
    </row>
    <row r="261">
      <c r="J261" s="146"/>
      <c r="N261" s="147"/>
      <c r="Y261" s="147"/>
      <c r="AJ261" s="147"/>
      <c r="AU261" s="147"/>
      <c r="AZ261" s="147"/>
      <c r="BC261" s="147"/>
    </row>
    <row r="262">
      <c r="J262" s="146"/>
      <c r="N262" s="147"/>
      <c r="Y262" s="147"/>
      <c r="AJ262" s="147"/>
      <c r="AU262" s="147"/>
      <c r="AZ262" s="147"/>
      <c r="BC262" s="147"/>
    </row>
    <row r="263">
      <c r="J263" s="146"/>
      <c r="N263" s="147"/>
      <c r="Y263" s="147"/>
      <c r="AJ263" s="147"/>
      <c r="AU263" s="147"/>
      <c r="AZ263" s="147"/>
      <c r="BC263" s="147"/>
    </row>
    <row r="264">
      <c r="J264" s="146"/>
      <c r="N264" s="147"/>
      <c r="Y264" s="147"/>
      <c r="AJ264" s="147"/>
      <c r="AU264" s="147"/>
      <c r="AZ264" s="147"/>
      <c r="BC264" s="147"/>
    </row>
    <row r="265">
      <c r="J265" s="146"/>
      <c r="N265" s="147"/>
      <c r="Y265" s="147"/>
      <c r="AJ265" s="147"/>
      <c r="AU265" s="147"/>
      <c r="AZ265" s="147"/>
      <c r="BC265" s="147"/>
    </row>
    <row r="266">
      <c r="J266" s="146"/>
      <c r="N266" s="147"/>
      <c r="Y266" s="147"/>
      <c r="AJ266" s="147"/>
      <c r="AU266" s="147"/>
      <c r="AZ266" s="147"/>
      <c r="BC266" s="147"/>
    </row>
    <row r="267">
      <c r="J267" s="146"/>
      <c r="N267" s="147"/>
      <c r="Y267" s="147"/>
      <c r="AJ267" s="147"/>
      <c r="AU267" s="147"/>
      <c r="AZ267" s="147"/>
      <c r="BC267" s="147"/>
    </row>
    <row r="268">
      <c r="J268" s="146"/>
      <c r="N268" s="147"/>
      <c r="Y268" s="147"/>
      <c r="AJ268" s="147"/>
      <c r="AU268" s="147"/>
      <c r="AZ268" s="147"/>
      <c r="BC268" s="147"/>
    </row>
    <row r="269">
      <c r="J269" s="146"/>
      <c r="N269" s="147"/>
      <c r="Y269" s="147"/>
      <c r="AJ269" s="147"/>
      <c r="AU269" s="147"/>
      <c r="AZ269" s="147"/>
      <c r="BC269" s="147"/>
    </row>
    <row r="270">
      <c r="J270" s="146"/>
      <c r="N270" s="147"/>
      <c r="Y270" s="147"/>
      <c r="AJ270" s="147"/>
      <c r="AU270" s="147"/>
      <c r="AZ270" s="147"/>
      <c r="BC270" s="147"/>
    </row>
    <row r="271">
      <c r="J271" s="146"/>
      <c r="N271" s="147"/>
      <c r="Y271" s="147"/>
      <c r="AJ271" s="147"/>
      <c r="AU271" s="147"/>
      <c r="AZ271" s="147"/>
      <c r="BC271" s="147"/>
    </row>
    <row r="272">
      <c r="J272" s="146"/>
      <c r="N272" s="147"/>
      <c r="Y272" s="147"/>
      <c r="AJ272" s="147"/>
      <c r="AU272" s="147"/>
      <c r="AZ272" s="147"/>
      <c r="BC272" s="147"/>
    </row>
    <row r="273">
      <c r="J273" s="146"/>
      <c r="N273" s="147"/>
      <c r="Y273" s="147"/>
      <c r="AJ273" s="147"/>
      <c r="AU273" s="147"/>
      <c r="AZ273" s="147"/>
      <c r="BC273" s="147"/>
    </row>
    <row r="274">
      <c r="J274" s="146"/>
      <c r="N274" s="147"/>
      <c r="Y274" s="147"/>
      <c r="AJ274" s="147"/>
      <c r="AU274" s="147"/>
      <c r="AZ274" s="147"/>
      <c r="BC274" s="147"/>
    </row>
    <row r="275">
      <c r="J275" s="146"/>
      <c r="N275" s="147"/>
      <c r="Y275" s="147"/>
      <c r="AJ275" s="147"/>
      <c r="AU275" s="147"/>
      <c r="AZ275" s="147"/>
      <c r="BC275" s="147"/>
    </row>
    <row r="276">
      <c r="J276" s="146"/>
      <c r="N276" s="147"/>
      <c r="Y276" s="147"/>
      <c r="AJ276" s="147"/>
      <c r="AU276" s="147"/>
      <c r="AZ276" s="147"/>
      <c r="BC276" s="147"/>
    </row>
    <row r="277">
      <c r="J277" s="146"/>
      <c r="N277" s="147"/>
      <c r="Y277" s="147"/>
      <c r="AJ277" s="147"/>
      <c r="AU277" s="147"/>
      <c r="AZ277" s="147"/>
      <c r="BC277" s="147"/>
    </row>
    <row r="278">
      <c r="J278" s="146"/>
      <c r="N278" s="147"/>
      <c r="Y278" s="147"/>
      <c r="AJ278" s="147"/>
      <c r="AU278" s="147"/>
      <c r="AZ278" s="147"/>
      <c r="BC278" s="147"/>
    </row>
    <row r="279">
      <c r="J279" s="146"/>
      <c r="N279" s="147"/>
      <c r="Y279" s="147"/>
      <c r="AJ279" s="147"/>
      <c r="AU279" s="147"/>
      <c r="AZ279" s="147"/>
      <c r="BC279" s="147"/>
    </row>
    <row r="280">
      <c r="J280" s="146"/>
      <c r="N280" s="147"/>
      <c r="Y280" s="147"/>
      <c r="AJ280" s="147"/>
      <c r="AU280" s="147"/>
      <c r="AZ280" s="147"/>
      <c r="BC280" s="147"/>
    </row>
    <row r="281">
      <c r="J281" s="146"/>
      <c r="N281" s="147"/>
      <c r="Y281" s="147"/>
      <c r="AJ281" s="147"/>
      <c r="AU281" s="147"/>
      <c r="AZ281" s="147"/>
      <c r="BC281" s="147"/>
    </row>
    <row r="282">
      <c r="J282" s="146"/>
      <c r="N282" s="147"/>
      <c r="Y282" s="147"/>
      <c r="AJ282" s="147"/>
      <c r="AU282" s="147"/>
      <c r="AZ282" s="147"/>
      <c r="BC282" s="147"/>
    </row>
    <row r="283">
      <c r="J283" s="146"/>
      <c r="N283" s="147"/>
      <c r="Y283" s="147"/>
      <c r="AJ283" s="147"/>
      <c r="AU283" s="147"/>
      <c r="AZ283" s="147"/>
      <c r="BC283" s="147"/>
    </row>
    <row r="284">
      <c r="J284" s="146"/>
      <c r="N284" s="147"/>
      <c r="Y284" s="147"/>
      <c r="AJ284" s="147"/>
      <c r="AU284" s="147"/>
      <c r="AZ284" s="147"/>
      <c r="BC284" s="147"/>
    </row>
    <row r="285">
      <c r="J285" s="146"/>
      <c r="N285" s="147"/>
      <c r="Y285" s="147"/>
      <c r="AJ285" s="147"/>
      <c r="AU285" s="147"/>
      <c r="AZ285" s="147"/>
      <c r="BC285" s="147"/>
    </row>
    <row r="286">
      <c r="J286" s="146"/>
      <c r="N286" s="147"/>
      <c r="Y286" s="147"/>
      <c r="AJ286" s="147"/>
      <c r="AU286" s="147"/>
      <c r="AZ286" s="147"/>
      <c r="BC286" s="147"/>
    </row>
    <row r="287">
      <c r="J287" s="146"/>
      <c r="N287" s="147"/>
      <c r="Y287" s="147"/>
      <c r="AJ287" s="147"/>
      <c r="AU287" s="147"/>
      <c r="AZ287" s="147"/>
      <c r="BC287" s="147"/>
    </row>
    <row r="288">
      <c r="J288" s="146"/>
      <c r="N288" s="147"/>
      <c r="Y288" s="147"/>
      <c r="AJ288" s="147"/>
      <c r="AU288" s="147"/>
      <c r="AZ288" s="147"/>
      <c r="BC288" s="147"/>
    </row>
    <row r="289">
      <c r="J289" s="146"/>
      <c r="N289" s="147"/>
      <c r="Y289" s="147"/>
      <c r="AJ289" s="147"/>
      <c r="AU289" s="147"/>
      <c r="AZ289" s="147"/>
      <c r="BC289" s="147"/>
    </row>
    <row r="290">
      <c r="J290" s="146"/>
      <c r="N290" s="147"/>
      <c r="Y290" s="147"/>
      <c r="AJ290" s="147"/>
      <c r="AU290" s="147"/>
      <c r="AZ290" s="147"/>
      <c r="BC290" s="147"/>
    </row>
    <row r="291">
      <c r="J291" s="146"/>
      <c r="N291" s="147"/>
      <c r="Y291" s="147"/>
      <c r="AJ291" s="147"/>
      <c r="AU291" s="147"/>
      <c r="AZ291" s="147"/>
      <c r="BC291" s="147"/>
    </row>
    <row r="292">
      <c r="J292" s="146"/>
      <c r="N292" s="147"/>
      <c r="Y292" s="147"/>
      <c r="AJ292" s="147"/>
      <c r="AU292" s="147"/>
      <c r="AZ292" s="147"/>
      <c r="BC292" s="147"/>
    </row>
    <row r="293">
      <c r="J293" s="146"/>
      <c r="N293" s="147"/>
      <c r="Y293" s="147"/>
      <c r="AJ293" s="147"/>
      <c r="AU293" s="147"/>
      <c r="AZ293" s="147"/>
      <c r="BC293" s="147"/>
    </row>
    <row r="294">
      <c r="J294" s="146"/>
      <c r="N294" s="147"/>
      <c r="Y294" s="147"/>
      <c r="AJ294" s="147"/>
      <c r="AU294" s="147"/>
      <c r="AZ294" s="147"/>
      <c r="BC294" s="147"/>
    </row>
    <row r="295">
      <c r="J295" s="146"/>
      <c r="N295" s="147"/>
      <c r="Y295" s="147"/>
      <c r="AJ295" s="147"/>
      <c r="AU295" s="147"/>
      <c r="AZ295" s="147"/>
      <c r="BC295" s="147"/>
    </row>
    <row r="296">
      <c r="J296" s="146"/>
      <c r="N296" s="147"/>
      <c r="Y296" s="147"/>
      <c r="AJ296" s="147"/>
      <c r="AU296" s="147"/>
      <c r="AZ296" s="147"/>
      <c r="BC296" s="147"/>
    </row>
    <row r="297">
      <c r="J297" s="146"/>
      <c r="N297" s="147"/>
      <c r="Y297" s="147"/>
      <c r="AJ297" s="147"/>
      <c r="AU297" s="147"/>
      <c r="AZ297" s="147"/>
      <c r="BC297" s="147"/>
    </row>
    <row r="298">
      <c r="J298" s="146"/>
      <c r="N298" s="147"/>
      <c r="Y298" s="147"/>
      <c r="AJ298" s="147"/>
      <c r="AU298" s="147"/>
      <c r="AZ298" s="147"/>
      <c r="BC298" s="147"/>
    </row>
    <row r="299">
      <c r="J299" s="146"/>
      <c r="N299" s="147"/>
      <c r="Y299" s="147"/>
      <c r="AJ299" s="147"/>
      <c r="AU299" s="147"/>
      <c r="AZ299" s="147"/>
      <c r="BC299" s="147"/>
    </row>
    <row r="300">
      <c r="J300" s="146"/>
      <c r="N300" s="147"/>
      <c r="Y300" s="147"/>
      <c r="AJ300" s="147"/>
      <c r="AU300" s="147"/>
      <c r="AZ300" s="147"/>
      <c r="BC300" s="147"/>
    </row>
    <row r="301">
      <c r="J301" s="146"/>
      <c r="N301" s="147"/>
      <c r="Y301" s="147"/>
      <c r="AJ301" s="147"/>
      <c r="AU301" s="147"/>
      <c r="AZ301" s="147"/>
      <c r="BC301" s="147"/>
    </row>
    <row r="302">
      <c r="J302" s="146"/>
      <c r="N302" s="147"/>
      <c r="Y302" s="147"/>
      <c r="AJ302" s="147"/>
      <c r="AU302" s="147"/>
      <c r="AZ302" s="147"/>
      <c r="BC302" s="147"/>
    </row>
    <row r="303">
      <c r="J303" s="146"/>
      <c r="N303" s="147"/>
      <c r="Y303" s="147"/>
      <c r="AJ303" s="147"/>
      <c r="AU303" s="147"/>
      <c r="AZ303" s="147"/>
      <c r="BC303" s="147"/>
    </row>
    <row r="304">
      <c r="J304" s="146"/>
      <c r="N304" s="147"/>
      <c r="Y304" s="147"/>
      <c r="AJ304" s="147"/>
      <c r="AU304" s="147"/>
      <c r="AZ304" s="147"/>
      <c r="BC304" s="147"/>
    </row>
    <row r="305">
      <c r="J305" s="146"/>
      <c r="N305" s="147"/>
      <c r="Y305" s="147"/>
      <c r="AJ305" s="147"/>
      <c r="AU305" s="147"/>
      <c r="AZ305" s="147"/>
      <c r="BC305" s="147"/>
    </row>
    <row r="306">
      <c r="J306" s="146"/>
      <c r="N306" s="147"/>
      <c r="Y306" s="147"/>
      <c r="AJ306" s="147"/>
      <c r="AU306" s="147"/>
      <c r="AZ306" s="147"/>
      <c r="BC306" s="147"/>
    </row>
    <row r="307">
      <c r="J307" s="146"/>
      <c r="N307" s="147"/>
      <c r="Y307" s="147"/>
      <c r="AJ307" s="147"/>
      <c r="AU307" s="147"/>
      <c r="AZ307" s="147"/>
      <c r="BC307" s="147"/>
    </row>
    <row r="308">
      <c r="J308" s="146"/>
      <c r="N308" s="147"/>
      <c r="Y308" s="147"/>
      <c r="AJ308" s="147"/>
      <c r="AU308" s="147"/>
      <c r="AZ308" s="147"/>
      <c r="BC308" s="147"/>
    </row>
    <row r="309">
      <c r="J309" s="146"/>
      <c r="N309" s="147"/>
      <c r="Y309" s="147"/>
      <c r="AJ309" s="147"/>
      <c r="AU309" s="147"/>
      <c r="AZ309" s="147"/>
      <c r="BC309" s="147"/>
    </row>
    <row r="310">
      <c r="J310" s="146"/>
      <c r="N310" s="147"/>
      <c r="Y310" s="147"/>
      <c r="AJ310" s="147"/>
      <c r="AU310" s="147"/>
      <c r="AZ310" s="147"/>
      <c r="BC310" s="147"/>
    </row>
    <row r="311">
      <c r="J311" s="146"/>
      <c r="N311" s="147"/>
      <c r="Y311" s="147"/>
      <c r="AJ311" s="147"/>
      <c r="AU311" s="147"/>
      <c r="AZ311" s="147"/>
      <c r="BC311" s="147"/>
    </row>
    <row r="312">
      <c r="J312" s="146"/>
      <c r="N312" s="147"/>
      <c r="Y312" s="147"/>
      <c r="AJ312" s="147"/>
      <c r="AU312" s="147"/>
      <c r="AZ312" s="147"/>
      <c r="BC312" s="147"/>
    </row>
    <row r="313">
      <c r="J313" s="146"/>
      <c r="N313" s="147"/>
      <c r="Y313" s="147"/>
      <c r="AJ313" s="147"/>
      <c r="AU313" s="147"/>
      <c r="AZ313" s="147"/>
      <c r="BC313" s="147"/>
    </row>
    <row r="314">
      <c r="J314" s="146"/>
      <c r="N314" s="147"/>
      <c r="Y314" s="147"/>
      <c r="AJ314" s="147"/>
      <c r="AU314" s="147"/>
      <c r="AZ314" s="147"/>
      <c r="BC314" s="147"/>
    </row>
    <row r="315">
      <c r="J315" s="146"/>
      <c r="N315" s="147"/>
      <c r="Y315" s="147"/>
      <c r="AJ315" s="147"/>
      <c r="AU315" s="147"/>
      <c r="AZ315" s="147"/>
      <c r="BC315" s="147"/>
    </row>
    <row r="316">
      <c r="J316" s="146"/>
      <c r="N316" s="147"/>
      <c r="Y316" s="147"/>
      <c r="AJ316" s="147"/>
      <c r="AU316" s="147"/>
      <c r="AZ316" s="147"/>
      <c r="BC316" s="147"/>
    </row>
    <row r="317">
      <c r="J317" s="146"/>
      <c r="N317" s="147"/>
      <c r="Y317" s="147"/>
      <c r="AJ317" s="147"/>
      <c r="AU317" s="147"/>
      <c r="AZ317" s="147"/>
      <c r="BC317" s="147"/>
    </row>
    <row r="318">
      <c r="J318" s="146"/>
      <c r="N318" s="147"/>
      <c r="Y318" s="147"/>
      <c r="AJ318" s="147"/>
      <c r="AU318" s="147"/>
      <c r="AZ318" s="147"/>
      <c r="BC318" s="147"/>
    </row>
    <row r="319">
      <c r="J319" s="146"/>
      <c r="N319" s="147"/>
      <c r="Y319" s="147"/>
      <c r="AJ319" s="147"/>
      <c r="AU319" s="147"/>
      <c r="AZ319" s="147"/>
      <c r="BC319" s="147"/>
    </row>
    <row r="320">
      <c r="J320" s="146"/>
      <c r="N320" s="147"/>
      <c r="Y320" s="147"/>
      <c r="AJ320" s="147"/>
      <c r="AU320" s="147"/>
      <c r="AZ320" s="147"/>
      <c r="BC320" s="147"/>
    </row>
    <row r="321">
      <c r="J321" s="146"/>
      <c r="N321" s="147"/>
      <c r="Y321" s="147"/>
      <c r="AJ321" s="147"/>
      <c r="AU321" s="147"/>
      <c r="AZ321" s="147"/>
      <c r="BC321" s="147"/>
    </row>
    <row r="322">
      <c r="J322" s="146"/>
      <c r="N322" s="147"/>
      <c r="Y322" s="147"/>
      <c r="AJ322" s="147"/>
      <c r="AU322" s="147"/>
      <c r="AZ322" s="147"/>
      <c r="BC322" s="147"/>
    </row>
    <row r="323">
      <c r="J323" s="146"/>
      <c r="N323" s="147"/>
      <c r="Y323" s="147"/>
      <c r="AJ323" s="147"/>
      <c r="AU323" s="147"/>
      <c r="AZ323" s="147"/>
      <c r="BC323" s="147"/>
    </row>
    <row r="324">
      <c r="J324" s="146"/>
      <c r="N324" s="147"/>
      <c r="Y324" s="147"/>
      <c r="AJ324" s="147"/>
      <c r="AU324" s="147"/>
      <c r="AZ324" s="147"/>
      <c r="BC324" s="147"/>
    </row>
    <row r="325">
      <c r="J325" s="146"/>
      <c r="N325" s="147"/>
      <c r="Y325" s="147"/>
      <c r="AJ325" s="147"/>
      <c r="AU325" s="147"/>
      <c r="AZ325" s="147"/>
      <c r="BC325" s="147"/>
    </row>
    <row r="326">
      <c r="J326" s="146"/>
      <c r="N326" s="147"/>
      <c r="Y326" s="147"/>
      <c r="AJ326" s="147"/>
      <c r="AU326" s="147"/>
      <c r="AZ326" s="147"/>
      <c r="BC326" s="147"/>
    </row>
    <row r="327">
      <c r="J327" s="146"/>
      <c r="N327" s="147"/>
      <c r="Y327" s="147"/>
      <c r="AJ327" s="147"/>
      <c r="AU327" s="147"/>
      <c r="AZ327" s="147"/>
      <c r="BC327" s="147"/>
    </row>
    <row r="328">
      <c r="J328" s="146"/>
      <c r="N328" s="147"/>
      <c r="Y328" s="147"/>
      <c r="AJ328" s="147"/>
      <c r="AU328" s="147"/>
      <c r="AZ328" s="147"/>
      <c r="BC328" s="147"/>
    </row>
    <row r="329">
      <c r="J329" s="146"/>
      <c r="N329" s="147"/>
      <c r="Y329" s="147"/>
      <c r="AJ329" s="147"/>
      <c r="AU329" s="147"/>
      <c r="AZ329" s="147"/>
      <c r="BC329" s="147"/>
    </row>
    <row r="330">
      <c r="J330" s="146"/>
      <c r="N330" s="147"/>
      <c r="Y330" s="147"/>
      <c r="AJ330" s="147"/>
      <c r="AU330" s="147"/>
      <c r="AZ330" s="147"/>
      <c r="BC330" s="147"/>
    </row>
    <row r="331">
      <c r="J331" s="146"/>
      <c r="N331" s="147"/>
      <c r="Y331" s="147"/>
      <c r="AJ331" s="147"/>
      <c r="AU331" s="147"/>
      <c r="AZ331" s="147"/>
      <c r="BC331" s="147"/>
    </row>
    <row r="332">
      <c r="J332" s="146"/>
      <c r="N332" s="147"/>
      <c r="Y332" s="147"/>
      <c r="AJ332" s="147"/>
      <c r="AU332" s="147"/>
      <c r="AZ332" s="147"/>
      <c r="BC332" s="147"/>
    </row>
    <row r="333">
      <c r="J333" s="146"/>
      <c r="N333" s="147"/>
      <c r="Y333" s="147"/>
      <c r="AJ333" s="147"/>
      <c r="AU333" s="147"/>
      <c r="AZ333" s="147"/>
      <c r="BC333" s="147"/>
    </row>
    <row r="334">
      <c r="J334" s="146"/>
      <c r="N334" s="147"/>
      <c r="Y334" s="147"/>
      <c r="AJ334" s="147"/>
      <c r="AU334" s="147"/>
      <c r="AZ334" s="147"/>
      <c r="BC334" s="147"/>
    </row>
    <row r="335">
      <c r="J335" s="146"/>
      <c r="N335" s="147"/>
      <c r="Y335" s="147"/>
      <c r="AJ335" s="147"/>
      <c r="AU335" s="147"/>
      <c r="AZ335" s="147"/>
      <c r="BC335" s="147"/>
    </row>
    <row r="336">
      <c r="J336" s="146"/>
      <c r="N336" s="147"/>
      <c r="Y336" s="147"/>
      <c r="AJ336" s="147"/>
      <c r="AU336" s="147"/>
      <c r="AZ336" s="147"/>
      <c r="BC336" s="147"/>
    </row>
    <row r="337">
      <c r="J337" s="146"/>
      <c r="N337" s="147"/>
      <c r="Y337" s="147"/>
      <c r="AJ337" s="147"/>
      <c r="AU337" s="147"/>
      <c r="AZ337" s="147"/>
      <c r="BC337" s="147"/>
    </row>
    <row r="338">
      <c r="J338" s="146"/>
      <c r="N338" s="147"/>
      <c r="Y338" s="147"/>
      <c r="AJ338" s="147"/>
      <c r="AU338" s="147"/>
      <c r="AZ338" s="147"/>
      <c r="BC338" s="147"/>
    </row>
    <row r="339">
      <c r="J339" s="146"/>
      <c r="N339" s="147"/>
      <c r="Y339" s="147"/>
      <c r="AJ339" s="147"/>
      <c r="AU339" s="147"/>
      <c r="AZ339" s="147"/>
      <c r="BC339" s="147"/>
    </row>
    <row r="340">
      <c r="J340" s="146"/>
      <c r="N340" s="147"/>
      <c r="Y340" s="147"/>
      <c r="AJ340" s="147"/>
      <c r="AU340" s="147"/>
      <c r="AZ340" s="147"/>
      <c r="BC340" s="147"/>
    </row>
    <row r="341">
      <c r="J341" s="146"/>
      <c r="N341" s="147"/>
      <c r="Y341" s="147"/>
      <c r="AJ341" s="147"/>
      <c r="AU341" s="147"/>
      <c r="AZ341" s="147"/>
      <c r="BC341" s="147"/>
    </row>
    <row r="342">
      <c r="J342" s="146"/>
      <c r="N342" s="147"/>
      <c r="Y342" s="147"/>
      <c r="AJ342" s="147"/>
      <c r="AU342" s="147"/>
      <c r="AZ342" s="147"/>
      <c r="BC342" s="147"/>
    </row>
    <row r="343">
      <c r="J343" s="146"/>
      <c r="N343" s="147"/>
      <c r="Y343" s="147"/>
      <c r="AJ343" s="147"/>
      <c r="AU343" s="147"/>
      <c r="AZ343" s="147"/>
      <c r="BC343" s="147"/>
    </row>
    <row r="344">
      <c r="J344" s="146"/>
      <c r="N344" s="147"/>
      <c r="Y344" s="147"/>
      <c r="AJ344" s="147"/>
      <c r="AU344" s="147"/>
      <c r="AZ344" s="147"/>
      <c r="BC344" s="147"/>
    </row>
    <row r="345">
      <c r="J345" s="146"/>
      <c r="N345" s="147"/>
      <c r="Y345" s="147"/>
      <c r="AJ345" s="147"/>
      <c r="AU345" s="147"/>
      <c r="AZ345" s="147"/>
      <c r="BC345" s="147"/>
    </row>
    <row r="346">
      <c r="J346" s="146"/>
      <c r="N346" s="147"/>
      <c r="Y346" s="147"/>
      <c r="AJ346" s="147"/>
      <c r="AU346" s="147"/>
      <c r="AZ346" s="147"/>
      <c r="BC346" s="147"/>
    </row>
    <row r="347">
      <c r="J347" s="146"/>
      <c r="N347" s="147"/>
      <c r="Y347" s="147"/>
      <c r="AJ347" s="147"/>
      <c r="AU347" s="147"/>
      <c r="AZ347" s="147"/>
      <c r="BC347" s="147"/>
    </row>
    <row r="348">
      <c r="J348" s="146"/>
      <c r="N348" s="147"/>
      <c r="Y348" s="147"/>
      <c r="AJ348" s="147"/>
      <c r="AU348" s="147"/>
      <c r="AZ348" s="147"/>
      <c r="BC348" s="147"/>
    </row>
    <row r="349">
      <c r="J349" s="146"/>
      <c r="N349" s="147"/>
      <c r="Y349" s="147"/>
      <c r="AJ349" s="147"/>
      <c r="AU349" s="147"/>
      <c r="AZ349" s="147"/>
      <c r="BC349" s="147"/>
    </row>
    <row r="350">
      <c r="J350" s="146"/>
      <c r="N350" s="147"/>
      <c r="Y350" s="147"/>
      <c r="AJ350" s="147"/>
      <c r="AU350" s="147"/>
      <c r="AZ350" s="147"/>
      <c r="BC350" s="147"/>
    </row>
    <row r="351">
      <c r="J351" s="146"/>
      <c r="N351" s="147"/>
      <c r="Y351" s="147"/>
      <c r="AJ351" s="147"/>
      <c r="AU351" s="147"/>
      <c r="AZ351" s="147"/>
      <c r="BC351" s="147"/>
    </row>
    <row r="352">
      <c r="J352" s="146"/>
      <c r="N352" s="147"/>
      <c r="Y352" s="147"/>
      <c r="AJ352" s="147"/>
      <c r="AU352" s="147"/>
      <c r="AZ352" s="147"/>
      <c r="BC352" s="147"/>
    </row>
    <row r="353">
      <c r="J353" s="146"/>
      <c r="N353" s="147"/>
      <c r="Y353" s="147"/>
      <c r="AJ353" s="147"/>
      <c r="AU353" s="147"/>
      <c r="AZ353" s="147"/>
      <c r="BC353" s="147"/>
    </row>
    <row r="354">
      <c r="J354" s="146"/>
      <c r="N354" s="147"/>
      <c r="Y354" s="147"/>
      <c r="AJ354" s="147"/>
      <c r="AU354" s="147"/>
      <c r="AZ354" s="147"/>
      <c r="BC354" s="147"/>
    </row>
    <row r="355">
      <c r="J355" s="146"/>
      <c r="N355" s="147"/>
      <c r="Y355" s="147"/>
      <c r="AJ355" s="147"/>
      <c r="AU355" s="147"/>
      <c r="AZ355" s="147"/>
      <c r="BC355" s="147"/>
    </row>
    <row r="356">
      <c r="J356" s="146"/>
      <c r="N356" s="147"/>
      <c r="Y356" s="147"/>
      <c r="AJ356" s="147"/>
      <c r="AU356" s="147"/>
      <c r="AZ356" s="147"/>
      <c r="BC356" s="147"/>
    </row>
    <row r="357">
      <c r="J357" s="146"/>
      <c r="N357" s="147"/>
      <c r="Y357" s="147"/>
      <c r="AJ357" s="147"/>
      <c r="AU357" s="147"/>
      <c r="AZ357" s="147"/>
      <c r="BC357" s="147"/>
    </row>
    <row r="358">
      <c r="J358" s="146"/>
      <c r="N358" s="147"/>
      <c r="Y358" s="147"/>
      <c r="AJ358" s="147"/>
      <c r="AU358" s="147"/>
      <c r="AZ358" s="147"/>
      <c r="BC358" s="147"/>
    </row>
    <row r="359">
      <c r="J359" s="146"/>
      <c r="N359" s="147"/>
      <c r="Y359" s="147"/>
      <c r="AJ359" s="147"/>
      <c r="AU359" s="147"/>
      <c r="AZ359" s="147"/>
      <c r="BC359" s="147"/>
    </row>
    <row r="360">
      <c r="J360" s="146"/>
      <c r="N360" s="147"/>
      <c r="Y360" s="147"/>
      <c r="AJ360" s="147"/>
      <c r="AU360" s="147"/>
      <c r="AZ360" s="147"/>
      <c r="BC360" s="147"/>
    </row>
    <row r="361">
      <c r="J361" s="146"/>
      <c r="N361" s="147"/>
      <c r="Y361" s="147"/>
      <c r="AJ361" s="147"/>
      <c r="AU361" s="147"/>
      <c r="AZ361" s="147"/>
      <c r="BC361" s="147"/>
    </row>
    <row r="362">
      <c r="J362" s="146"/>
      <c r="N362" s="147"/>
      <c r="Y362" s="147"/>
      <c r="AJ362" s="147"/>
      <c r="AU362" s="147"/>
      <c r="AZ362" s="147"/>
      <c r="BC362" s="147"/>
    </row>
    <row r="363">
      <c r="J363" s="146"/>
      <c r="N363" s="147"/>
      <c r="Y363" s="147"/>
      <c r="AJ363" s="147"/>
      <c r="AU363" s="147"/>
      <c r="AZ363" s="147"/>
      <c r="BC363" s="147"/>
    </row>
    <row r="364">
      <c r="J364" s="146"/>
      <c r="N364" s="147"/>
      <c r="Y364" s="147"/>
      <c r="AJ364" s="147"/>
      <c r="AU364" s="147"/>
      <c r="AZ364" s="147"/>
      <c r="BC364" s="147"/>
    </row>
    <row r="365">
      <c r="J365" s="146"/>
      <c r="N365" s="147"/>
      <c r="Y365" s="147"/>
      <c r="AJ365" s="147"/>
      <c r="AU365" s="147"/>
      <c r="AZ365" s="147"/>
      <c r="BC365" s="147"/>
    </row>
    <row r="366">
      <c r="J366" s="146"/>
      <c r="N366" s="147"/>
      <c r="Y366" s="147"/>
      <c r="AJ366" s="147"/>
      <c r="AU366" s="147"/>
      <c r="AZ366" s="147"/>
      <c r="BC366" s="147"/>
    </row>
    <row r="367">
      <c r="J367" s="146"/>
      <c r="N367" s="147"/>
      <c r="Y367" s="147"/>
      <c r="AJ367" s="147"/>
      <c r="AU367" s="147"/>
      <c r="AZ367" s="147"/>
      <c r="BC367" s="147"/>
    </row>
    <row r="368">
      <c r="J368" s="146"/>
      <c r="N368" s="147"/>
      <c r="Y368" s="147"/>
      <c r="AJ368" s="147"/>
      <c r="AU368" s="147"/>
      <c r="AZ368" s="147"/>
      <c r="BC368" s="147"/>
    </row>
    <row r="369">
      <c r="J369" s="146"/>
      <c r="N369" s="147"/>
      <c r="Y369" s="147"/>
      <c r="AJ369" s="147"/>
      <c r="AU369" s="147"/>
      <c r="AZ369" s="147"/>
      <c r="BC369" s="147"/>
    </row>
    <row r="370">
      <c r="J370" s="146"/>
      <c r="N370" s="147"/>
      <c r="Y370" s="147"/>
      <c r="AJ370" s="147"/>
      <c r="AU370" s="147"/>
      <c r="AZ370" s="147"/>
      <c r="BC370" s="147"/>
    </row>
    <row r="371">
      <c r="J371" s="146"/>
      <c r="N371" s="147"/>
      <c r="Y371" s="147"/>
      <c r="AJ371" s="147"/>
      <c r="AU371" s="147"/>
      <c r="AZ371" s="147"/>
      <c r="BC371" s="147"/>
    </row>
    <row r="372">
      <c r="J372" s="146"/>
      <c r="N372" s="147"/>
      <c r="Y372" s="147"/>
      <c r="AJ372" s="147"/>
      <c r="AU372" s="147"/>
      <c r="AZ372" s="147"/>
      <c r="BC372" s="147"/>
    </row>
    <row r="373">
      <c r="J373" s="146"/>
      <c r="N373" s="147"/>
      <c r="Y373" s="147"/>
      <c r="AJ373" s="147"/>
      <c r="AU373" s="147"/>
      <c r="AZ373" s="147"/>
      <c r="BC373" s="147"/>
    </row>
    <row r="374">
      <c r="J374" s="146"/>
      <c r="N374" s="147"/>
      <c r="Y374" s="147"/>
      <c r="AJ374" s="147"/>
      <c r="AU374" s="147"/>
      <c r="AZ374" s="147"/>
      <c r="BC374" s="147"/>
    </row>
    <row r="375">
      <c r="J375" s="146"/>
      <c r="N375" s="147"/>
      <c r="Y375" s="147"/>
      <c r="AJ375" s="147"/>
      <c r="AU375" s="147"/>
      <c r="AZ375" s="147"/>
      <c r="BC375" s="147"/>
    </row>
    <row r="376">
      <c r="J376" s="146"/>
      <c r="N376" s="147"/>
      <c r="Y376" s="147"/>
      <c r="AJ376" s="147"/>
      <c r="AU376" s="147"/>
      <c r="AZ376" s="147"/>
      <c r="BC376" s="147"/>
    </row>
    <row r="377">
      <c r="J377" s="146"/>
      <c r="N377" s="147"/>
      <c r="Y377" s="147"/>
      <c r="AJ377" s="147"/>
      <c r="AU377" s="147"/>
      <c r="AZ377" s="147"/>
      <c r="BC377" s="147"/>
    </row>
    <row r="378">
      <c r="J378" s="146"/>
      <c r="N378" s="147"/>
      <c r="Y378" s="147"/>
      <c r="AJ378" s="147"/>
      <c r="AU378" s="147"/>
      <c r="AZ378" s="147"/>
      <c r="BC378" s="147"/>
    </row>
    <row r="379">
      <c r="J379" s="146"/>
      <c r="N379" s="147"/>
      <c r="Y379" s="147"/>
      <c r="AJ379" s="147"/>
      <c r="AU379" s="147"/>
      <c r="AZ379" s="147"/>
      <c r="BC379" s="147"/>
    </row>
    <row r="380">
      <c r="J380" s="146"/>
      <c r="N380" s="147"/>
      <c r="Y380" s="147"/>
      <c r="AJ380" s="147"/>
      <c r="AU380" s="147"/>
      <c r="AZ380" s="147"/>
      <c r="BC380" s="147"/>
    </row>
    <row r="381">
      <c r="J381" s="146"/>
      <c r="N381" s="147"/>
      <c r="Y381" s="147"/>
      <c r="AJ381" s="147"/>
      <c r="AU381" s="147"/>
      <c r="AZ381" s="147"/>
      <c r="BC381" s="147"/>
    </row>
    <row r="382">
      <c r="J382" s="146"/>
      <c r="N382" s="147"/>
      <c r="Y382" s="147"/>
      <c r="AJ382" s="147"/>
      <c r="AU382" s="147"/>
      <c r="AZ382" s="147"/>
      <c r="BC382" s="147"/>
    </row>
    <row r="383">
      <c r="J383" s="146"/>
      <c r="N383" s="147"/>
      <c r="Y383" s="147"/>
      <c r="AJ383" s="147"/>
      <c r="AU383" s="147"/>
      <c r="AZ383" s="147"/>
      <c r="BC383" s="147"/>
    </row>
    <row r="384">
      <c r="J384" s="146"/>
      <c r="N384" s="147"/>
      <c r="Y384" s="147"/>
      <c r="AJ384" s="147"/>
      <c r="AU384" s="147"/>
      <c r="AZ384" s="147"/>
      <c r="BC384" s="147"/>
    </row>
    <row r="385">
      <c r="J385" s="146"/>
      <c r="N385" s="147"/>
      <c r="Y385" s="147"/>
      <c r="AJ385" s="147"/>
      <c r="AU385" s="147"/>
      <c r="AZ385" s="147"/>
      <c r="BC385" s="147"/>
    </row>
    <row r="386">
      <c r="J386" s="146"/>
      <c r="N386" s="147"/>
      <c r="Y386" s="147"/>
      <c r="AJ386" s="147"/>
      <c r="AU386" s="147"/>
      <c r="AZ386" s="147"/>
      <c r="BC386" s="147"/>
    </row>
    <row r="387">
      <c r="J387" s="146"/>
      <c r="N387" s="147"/>
      <c r="Y387" s="147"/>
      <c r="AJ387" s="147"/>
      <c r="AU387" s="147"/>
      <c r="AZ387" s="147"/>
      <c r="BC387" s="147"/>
    </row>
    <row r="388">
      <c r="J388" s="146"/>
      <c r="N388" s="147"/>
      <c r="Y388" s="147"/>
      <c r="AJ388" s="147"/>
      <c r="AU388" s="147"/>
      <c r="AZ388" s="147"/>
      <c r="BC388" s="147"/>
    </row>
    <row r="389">
      <c r="J389" s="146"/>
      <c r="N389" s="147"/>
      <c r="Y389" s="147"/>
      <c r="AJ389" s="147"/>
      <c r="AU389" s="147"/>
      <c r="AZ389" s="147"/>
      <c r="BC389" s="147"/>
    </row>
    <row r="390">
      <c r="J390" s="146"/>
      <c r="N390" s="147"/>
      <c r="Y390" s="147"/>
      <c r="AJ390" s="147"/>
      <c r="AU390" s="147"/>
      <c r="AZ390" s="147"/>
      <c r="BC390" s="147"/>
    </row>
    <row r="391">
      <c r="J391" s="146"/>
      <c r="N391" s="147"/>
      <c r="Y391" s="147"/>
      <c r="AJ391" s="147"/>
      <c r="AU391" s="147"/>
      <c r="AZ391" s="147"/>
      <c r="BC391" s="147"/>
    </row>
    <row r="392">
      <c r="J392" s="146"/>
      <c r="N392" s="147"/>
      <c r="Y392" s="147"/>
      <c r="AJ392" s="147"/>
      <c r="AU392" s="147"/>
      <c r="AZ392" s="147"/>
      <c r="BC392" s="147"/>
    </row>
    <row r="393">
      <c r="J393" s="146"/>
      <c r="N393" s="147"/>
      <c r="Y393" s="147"/>
      <c r="AJ393" s="147"/>
      <c r="AU393" s="147"/>
      <c r="AZ393" s="147"/>
      <c r="BC393" s="147"/>
    </row>
    <row r="394">
      <c r="J394" s="146"/>
      <c r="N394" s="147"/>
      <c r="Y394" s="147"/>
      <c r="AJ394" s="147"/>
      <c r="AU394" s="147"/>
      <c r="AZ394" s="147"/>
      <c r="BC394" s="147"/>
    </row>
    <row r="395">
      <c r="J395" s="146"/>
      <c r="N395" s="147"/>
      <c r="Y395" s="147"/>
      <c r="AJ395" s="147"/>
      <c r="AU395" s="147"/>
      <c r="AZ395" s="147"/>
      <c r="BC395" s="147"/>
    </row>
    <row r="396">
      <c r="J396" s="146"/>
      <c r="N396" s="147"/>
      <c r="Y396" s="147"/>
      <c r="AJ396" s="147"/>
      <c r="AU396" s="147"/>
      <c r="AZ396" s="147"/>
      <c r="BC396" s="147"/>
    </row>
    <row r="397">
      <c r="J397" s="146"/>
      <c r="N397" s="147"/>
      <c r="Y397" s="147"/>
      <c r="AJ397" s="147"/>
      <c r="AU397" s="147"/>
      <c r="AZ397" s="147"/>
      <c r="BC397" s="147"/>
    </row>
    <row r="398">
      <c r="J398" s="146"/>
      <c r="N398" s="147"/>
      <c r="Y398" s="147"/>
      <c r="AJ398" s="147"/>
      <c r="AU398" s="147"/>
      <c r="AZ398" s="147"/>
      <c r="BC398" s="147"/>
    </row>
    <row r="399">
      <c r="J399" s="146"/>
      <c r="N399" s="147"/>
      <c r="Y399" s="147"/>
      <c r="AJ399" s="147"/>
      <c r="AU399" s="147"/>
      <c r="AZ399" s="147"/>
      <c r="BC399" s="147"/>
    </row>
    <row r="400">
      <c r="J400" s="146"/>
      <c r="N400" s="147"/>
      <c r="Y400" s="147"/>
      <c r="AJ400" s="147"/>
      <c r="AU400" s="147"/>
      <c r="AZ400" s="147"/>
      <c r="BC400" s="147"/>
    </row>
    <row r="401">
      <c r="J401" s="146"/>
      <c r="N401" s="147"/>
      <c r="Y401" s="147"/>
      <c r="AJ401" s="147"/>
      <c r="AU401" s="147"/>
      <c r="AZ401" s="147"/>
      <c r="BC401" s="147"/>
    </row>
    <row r="402">
      <c r="J402" s="146"/>
      <c r="N402" s="147"/>
      <c r="Y402" s="147"/>
      <c r="AJ402" s="147"/>
      <c r="AU402" s="147"/>
      <c r="AZ402" s="147"/>
      <c r="BC402" s="147"/>
    </row>
    <row r="403">
      <c r="J403" s="146"/>
      <c r="N403" s="147"/>
      <c r="Y403" s="147"/>
      <c r="AJ403" s="147"/>
      <c r="AU403" s="147"/>
      <c r="AZ403" s="147"/>
      <c r="BC403" s="147"/>
    </row>
    <row r="404">
      <c r="J404" s="146"/>
      <c r="N404" s="147"/>
      <c r="Y404" s="147"/>
      <c r="AJ404" s="147"/>
      <c r="AU404" s="147"/>
      <c r="AZ404" s="147"/>
      <c r="BC404" s="147"/>
    </row>
    <row r="405">
      <c r="J405" s="146"/>
      <c r="N405" s="147"/>
      <c r="Y405" s="147"/>
      <c r="AJ405" s="147"/>
      <c r="AU405" s="147"/>
      <c r="AZ405" s="147"/>
      <c r="BC405" s="147"/>
    </row>
    <row r="406">
      <c r="J406" s="146"/>
      <c r="N406" s="147"/>
      <c r="Y406" s="147"/>
      <c r="AJ406" s="147"/>
      <c r="AU406" s="147"/>
      <c r="AZ406" s="147"/>
      <c r="BC406" s="147"/>
    </row>
    <row r="407">
      <c r="J407" s="146"/>
      <c r="N407" s="147"/>
      <c r="Y407" s="147"/>
      <c r="AJ407" s="147"/>
      <c r="AU407" s="147"/>
      <c r="AZ407" s="147"/>
      <c r="BC407" s="147"/>
    </row>
    <row r="408">
      <c r="J408" s="146"/>
      <c r="N408" s="147"/>
      <c r="Y408" s="147"/>
      <c r="AJ408" s="147"/>
      <c r="AU408" s="147"/>
      <c r="AZ408" s="147"/>
      <c r="BC408" s="147"/>
    </row>
    <row r="409">
      <c r="J409" s="146"/>
      <c r="N409" s="147"/>
      <c r="Y409" s="147"/>
      <c r="AJ409" s="147"/>
      <c r="AU409" s="147"/>
      <c r="AZ409" s="147"/>
      <c r="BC409" s="147"/>
    </row>
    <row r="410">
      <c r="J410" s="146"/>
      <c r="N410" s="147"/>
      <c r="Y410" s="147"/>
      <c r="AJ410" s="147"/>
      <c r="AU410" s="147"/>
      <c r="AZ410" s="147"/>
      <c r="BC410" s="147"/>
    </row>
    <row r="411">
      <c r="J411" s="146"/>
      <c r="N411" s="147"/>
      <c r="Y411" s="147"/>
      <c r="AJ411" s="147"/>
      <c r="AU411" s="147"/>
      <c r="AZ411" s="147"/>
      <c r="BC411" s="147"/>
    </row>
    <row r="412">
      <c r="J412" s="146"/>
      <c r="N412" s="147"/>
      <c r="Y412" s="147"/>
      <c r="AJ412" s="147"/>
      <c r="AU412" s="147"/>
      <c r="AZ412" s="147"/>
      <c r="BC412" s="147"/>
    </row>
    <row r="413">
      <c r="J413" s="146"/>
      <c r="N413" s="147"/>
      <c r="Y413" s="147"/>
      <c r="AJ413" s="147"/>
      <c r="AU413" s="147"/>
      <c r="AZ413" s="147"/>
      <c r="BC413" s="147"/>
    </row>
    <row r="414">
      <c r="J414" s="146"/>
      <c r="N414" s="147"/>
      <c r="Y414" s="147"/>
      <c r="AJ414" s="147"/>
      <c r="AU414" s="147"/>
      <c r="AZ414" s="147"/>
      <c r="BC414" s="147"/>
    </row>
    <row r="415">
      <c r="J415" s="146"/>
      <c r="N415" s="147"/>
      <c r="Y415" s="147"/>
      <c r="AJ415" s="147"/>
      <c r="AU415" s="147"/>
      <c r="AZ415" s="147"/>
      <c r="BC415" s="147"/>
    </row>
    <row r="416">
      <c r="J416" s="146"/>
      <c r="N416" s="147"/>
      <c r="Y416" s="147"/>
      <c r="AJ416" s="147"/>
      <c r="AU416" s="147"/>
      <c r="AZ416" s="147"/>
      <c r="BC416" s="147"/>
    </row>
    <row r="417">
      <c r="J417" s="146"/>
      <c r="N417" s="147"/>
      <c r="Y417" s="147"/>
      <c r="AJ417" s="147"/>
      <c r="AU417" s="147"/>
      <c r="AZ417" s="147"/>
      <c r="BC417" s="147"/>
    </row>
    <row r="418">
      <c r="J418" s="146"/>
      <c r="N418" s="147"/>
      <c r="Y418" s="147"/>
      <c r="AJ418" s="147"/>
      <c r="AU418" s="147"/>
      <c r="AZ418" s="147"/>
      <c r="BC418" s="147"/>
    </row>
    <row r="419">
      <c r="J419" s="146"/>
      <c r="N419" s="147"/>
      <c r="Y419" s="147"/>
      <c r="AJ419" s="147"/>
      <c r="AU419" s="147"/>
      <c r="AZ419" s="147"/>
      <c r="BC419" s="147"/>
    </row>
    <row r="420">
      <c r="J420" s="146"/>
      <c r="N420" s="147"/>
      <c r="Y420" s="147"/>
      <c r="AJ420" s="147"/>
      <c r="AU420" s="147"/>
      <c r="AZ420" s="147"/>
      <c r="BC420" s="147"/>
    </row>
    <row r="421">
      <c r="J421" s="146"/>
      <c r="N421" s="147"/>
      <c r="Y421" s="147"/>
      <c r="AJ421" s="147"/>
      <c r="AU421" s="147"/>
      <c r="AZ421" s="147"/>
      <c r="BC421" s="147"/>
    </row>
    <row r="422">
      <c r="J422" s="146"/>
      <c r="N422" s="147"/>
      <c r="Y422" s="147"/>
      <c r="AJ422" s="147"/>
      <c r="AU422" s="147"/>
      <c r="AZ422" s="147"/>
      <c r="BC422" s="147"/>
    </row>
    <row r="423">
      <c r="J423" s="146"/>
      <c r="N423" s="147"/>
      <c r="Y423" s="147"/>
      <c r="AJ423" s="147"/>
      <c r="AU423" s="147"/>
      <c r="AZ423" s="147"/>
      <c r="BC423" s="147"/>
    </row>
    <row r="424">
      <c r="J424" s="146"/>
      <c r="N424" s="147"/>
      <c r="Y424" s="147"/>
      <c r="AJ424" s="147"/>
      <c r="AU424" s="147"/>
      <c r="AZ424" s="147"/>
      <c r="BC424" s="147"/>
    </row>
    <row r="425">
      <c r="J425" s="146"/>
      <c r="N425" s="147"/>
      <c r="Y425" s="147"/>
      <c r="AJ425" s="147"/>
      <c r="AU425" s="147"/>
      <c r="AZ425" s="147"/>
      <c r="BC425" s="147"/>
    </row>
    <row r="426">
      <c r="J426" s="146"/>
      <c r="N426" s="147"/>
      <c r="Y426" s="147"/>
      <c r="AJ426" s="147"/>
      <c r="AU426" s="147"/>
      <c r="AZ426" s="147"/>
      <c r="BC426" s="147"/>
    </row>
    <row r="427">
      <c r="J427" s="146"/>
      <c r="N427" s="147"/>
      <c r="Y427" s="147"/>
      <c r="AJ427" s="147"/>
      <c r="AU427" s="147"/>
      <c r="AZ427" s="147"/>
      <c r="BC427" s="147"/>
    </row>
    <row r="428">
      <c r="J428" s="146"/>
      <c r="N428" s="147"/>
      <c r="Y428" s="147"/>
      <c r="AJ428" s="147"/>
      <c r="AU428" s="147"/>
      <c r="AZ428" s="147"/>
      <c r="BC428" s="147"/>
    </row>
    <row r="429">
      <c r="J429" s="146"/>
      <c r="N429" s="147"/>
      <c r="Y429" s="147"/>
      <c r="AJ429" s="147"/>
      <c r="AU429" s="147"/>
      <c r="AZ429" s="147"/>
      <c r="BC429" s="147"/>
    </row>
    <row r="430">
      <c r="J430" s="146"/>
      <c r="N430" s="147"/>
      <c r="Y430" s="147"/>
      <c r="AJ430" s="147"/>
      <c r="AU430" s="147"/>
      <c r="AZ430" s="147"/>
      <c r="BC430" s="147"/>
    </row>
    <row r="431">
      <c r="J431" s="146"/>
      <c r="N431" s="147"/>
      <c r="Y431" s="147"/>
      <c r="AJ431" s="147"/>
      <c r="AU431" s="147"/>
      <c r="AZ431" s="147"/>
      <c r="BC431" s="147"/>
    </row>
    <row r="432">
      <c r="J432" s="146"/>
      <c r="N432" s="147"/>
      <c r="Y432" s="147"/>
      <c r="AJ432" s="147"/>
      <c r="AU432" s="147"/>
      <c r="AZ432" s="147"/>
      <c r="BC432" s="147"/>
    </row>
    <row r="433">
      <c r="J433" s="146"/>
      <c r="N433" s="147"/>
      <c r="Y433" s="147"/>
      <c r="AJ433" s="147"/>
      <c r="AU433" s="147"/>
      <c r="AZ433" s="147"/>
      <c r="BC433" s="147"/>
    </row>
    <row r="434">
      <c r="J434" s="146"/>
      <c r="N434" s="147"/>
      <c r="Y434" s="147"/>
      <c r="AJ434" s="147"/>
      <c r="AU434" s="147"/>
      <c r="AZ434" s="147"/>
      <c r="BC434" s="147"/>
    </row>
    <row r="435">
      <c r="J435" s="146"/>
      <c r="N435" s="147"/>
      <c r="Y435" s="147"/>
      <c r="AJ435" s="147"/>
      <c r="AU435" s="147"/>
      <c r="AZ435" s="147"/>
      <c r="BC435" s="147"/>
    </row>
    <row r="436">
      <c r="J436" s="146"/>
      <c r="N436" s="147"/>
      <c r="Y436" s="147"/>
      <c r="AJ436" s="147"/>
      <c r="AU436" s="147"/>
      <c r="AZ436" s="147"/>
      <c r="BC436" s="147"/>
    </row>
    <row r="437">
      <c r="J437" s="146"/>
      <c r="N437" s="147"/>
      <c r="Y437" s="147"/>
      <c r="AJ437" s="147"/>
      <c r="AU437" s="147"/>
      <c r="AZ437" s="147"/>
      <c r="BC437" s="147"/>
    </row>
    <row r="438">
      <c r="J438" s="146"/>
      <c r="N438" s="147"/>
      <c r="Y438" s="147"/>
      <c r="AJ438" s="147"/>
      <c r="AU438" s="147"/>
      <c r="AZ438" s="147"/>
      <c r="BC438" s="147"/>
    </row>
    <row r="439">
      <c r="J439" s="146"/>
      <c r="N439" s="147"/>
      <c r="Y439" s="147"/>
      <c r="AJ439" s="147"/>
      <c r="AU439" s="147"/>
      <c r="AZ439" s="147"/>
      <c r="BC439" s="147"/>
    </row>
    <row r="440">
      <c r="J440" s="146"/>
      <c r="N440" s="147"/>
      <c r="Y440" s="147"/>
      <c r="AJ440" s="147"/>
      <c r="AU440" s="147"/>
      <c r="AZ440" s="147"/>
      <c r="BC440" s="147"/>
    </row>
    <row r="441">
      <c r="J441" s="146"/>
      <c r="N441" s="147"/>
      <c r="Y441" s="147"/>
      <c r="AJ441" s="147"/>
      <c r="AU441" s="147"/>
      <c r="AZ441" s="147"/>
      <c r="BC441" s="147"/>
    </row>
    <row r="442">
      <c r="J442" s="146"/>
      <c r="N442" s="147"/>
      <c r="Y442" s="147"/>
      <c r="AJ442" s="147"/>
      <c r="AU442" s="147"/>
      <c r="AZ442" s="147"/>
      <c r="BC442" s="147"/>
    </row>
    <row r="443">
      <c r="J443" s="146"/>
      <c r="N443" s="147"/>
      <c r="Y443" s="147"/>
      <c r="AJ443" s="147"/>
      <c r="AU443" s="147"/>
      <c r="AZ443" s="147"/>
      <c r="BC443" s="147"/>
    </row>
    <row r="444">
      <c r="J444" s="146"/>
      <c r="N444" s="147"/>
      <c r="Y444" s="147"/>
      <c r="AJ444" s="147"/>
      <c r="AU444" s="147"/>
      <c r="AZ444" s="147"/>
      <c r="BC444" s="147"/>
    </row>
    <row r="445">
      <c r="J445" s="146"/>
      <c r="N445" s="147"/>
      <c r="Y445" s="147"/>
      <c r="AJ445" s="147"/>
      <c r="AU445" s="147"/>
      <c r="AZ445" s="147"/>
      <c r="BC445" s="147"/>
    </row>
    <row r="446">
      <c r="J446" s="146"/>
      <c r="N446" s="147"/>
      <c r="Y446" s="147"/>
      <c r="AJ446" s="147"/>
      <c r="AU446" s="147"/>
      <c r="AZ446" s="147"/>
      <c r="BC446" s="147"/>
    </row>
    <row r="447">
      <c r="J447" s="146"/>
      <c r="N447" s="147"/>
      <c r="Y447" s="147"/>
      <c r="AJ447" s="147"/>
      <c r="AU447" s="147"/>
      <c r="AZ447" s="147"/>
      <c r="BC447" s="147"/>
    </row>
    <row r="448">
      <c r="J448" s="146"/>
      <c r="N448" s="147"/>
      <c r="Y448" s="147"/>
      <c r="AJ448" s="147"/>
      <c r="AU448" s="147"/>
      <c r="AZ448" s="147"/>
      <c r="BC448" s="147"/>
    </row>
    <row r="449">
      <c r="J449" s="146"/>
      <c r="N449" s="147"/>
      <c r="Y449" s="147"/>
      <c r="AJ449" s="147"/>
      <c r="AU449" s="147"/>
      <c r="AZ449" s="147"/>
      <c r="BC449" s="147"/>
    </row>
    <row r="450">
      <c r="J450" s="146"/>
      <c r="N450" s="147"/>
      <c r="Y450" s="147"/>
      <c r="AJ450" s="147"/>
      <c r="AU450" s="147"/>
      <c r="AZ450" s="147"/>
      <c r="BC450" s="147"/>
    </row>
    <row r="451">
      <c r="J451" s="146"/>
      <c r="N451" s="147"/>
      <c r="Y451" s="147"/>
      <c r="AJ451" s="147"/>
      <c r="AU451" s="147"/>
      <c r="AZ451" s="147"/>
      <c r="BC451" s="147"/>
    </row>
    <row r="452">
      <c r="J452" s="146"/>
      <c r="N452" s="147"/>
      <c r="Y452" s="147"/>
      <c r="AJ452" s="147"/>
      <c r="AU452" s="147"/>
      <c r="AZ452" s="147"/>
      <c r="BC452" s="147"/>
    </row>
    <row r="453">
      <c r="J453" s="146"/>
      <c r="N453" s="147"/>
      <c r="Y453" s="147"/>
      <c r="AJ453" s="147"/>
      <c r="AU453" s="147"/>
      <c r="AZ453" s="147"/>
      <c r="BC453" s="147"/>
    </row>
    <row r="454">
      <c r="J454" s="146"/>
      <c r="N454" s="147"/>
      <c r="Y454" s="147"/>
      <c r="AJ454" s="147"/>
      <c r="AU454" s="147"/>
      <c r="AZ454" s="147"/>
      <c r="BC454" s="147"/>
    </row>
    <row r="455">
      <c r="J455" s="146"/>
      <c r="N455" s="147"/>
      <c r="Y455" s="147"/>
      <c r="AJ455" s="147"/>
      <c r="AU455" s="147"/>
      <c r="AZ455" s="147"/>
      <c r="BC455" s="147"/>
    </row>
    <row r="456">
      <c r="J456" s="146"/>
      <c r="N456" s="147"/>
      <c r="Y456" s="147"/>
      <c r="AJ456" s="147"/>
      <c r="AU456" s="147"/>
      <c r="AZ456" s="147"/>
      <c r="BC456" s="147"/>
    </row>
    <row r="457">
      <c r="J457" s="146"/>
      <c r="N457" s="147"/>
      <c r="Y457" s="147"/>
      <c r="AJ457" s="147"/>
      <c r="AU457" s="147"/>
      <c r="AZ457" s="147"/>
      <c r="BC457" s="147"/>
    </row>
    <row r="458">
      <c r="J458" s="146"/>
      <c r="N458" s="147"/>
      <c r="Y458" s="147"/>
      <c r="AJ458" s="147"/>
      <c r="AU458" s="147"/>
      <c r="AZ458" s="147"/>
      <c r="BC458" s="147"/>
    </row>
    <row r="459">
      <c r="J459" s="146"/>
      <c r="N459" s="147"/>
      <c r="Y459" s="147"/>
      <c r="AJ459" s="147"/>
      <c r="AU459" s="147"/>
      <c r="AZ459" s="147"/>
      <c r="BC459" s="147"/>
    </row>
    <row r="460">
      <c r="J460" s="146"/>
      <c r="N460" s="147"/>
      <c r="Y460" s="147"/>
      <c r="AJ460" s="147"/>
      <c r="AU460" s="147"/>
      <c r="AZ460" s="147"/>
      <c r="BC460" s="147"/>
    </row>
    <row r="461">
      <c r="J461" s="146"/>
      <c r="N461" s="147"/>
      <c r="Y461" s="147"/>
      <c r="AJ461" s="147"/>
      <c r="AU461" s="147"/>
      <c r="AZ461" s="147"/>
      <c r="BC461" s="147"/>
    </row>
    <row r="462">
      <c r="J462" s="146"/>
      <c r="N462" s="147"/>
      <c r="Y462" s="147"/>
      <c r="AJ462" s="147"/>
      <c r="AU462" s="147"/>
      <c r="AZ462" s="147"/>
      <c r="BC462" s="147"/>
    </row>
    <row r="463">
      <c r="J463" s="146"/>
      <c r="N463" s="147"/>
      <c r="Y463" s="147"/>
      <c r="AJ463" s="147"/>
      <c r="AU463" s="147"/>
      <c r="AZ463" s="147"/>
      <c r="BC463" s="147"/>
    </row>
    <row r="464">
      <c r="J464" s="146"/>
      <c r="N464" s="147"/>
      <c r="Y464" s="147"/>
      <c r="AJ464" s="147"/>
      <c r="AU464" s="147"/>
      <c r="AZ464" s="147"/>
      <c r="BC464" s="147"/>
    </row>
    <row r="465">
      <c r="J465" s="146"/>
      <c r="N465" s="147"/>
      <c r="Y465" s="147"/>
      <c r="AJ465" s="147"/>
      <c r="AU465" s="147"/>
      <c r="AZ465" s="147"/>
      <c r="BC465" s="147"/>
    </row>
    <row r="466">
      <c r="J466" s="146"/>
      <c r="N466" s="147"/>
      <c r="Y466" s="147"/>
      <c r="AJ466" s="147"/>
      <c r="AU466" s="147"/>
      <c r="AZ466" s="147"/>
      <c r="BC466" s="147"/>
    </row>
    <row r="467">
      <c r="J467" s="146"/>
      <c r="N467" s="147"/>
      <c r="Y467" s="147"/>
      <c r="AJ467" s="147"/>
      <c r="AU467" s="147"/>
      <c r="AZ467" s="147"/>
      <c r="BC467" s="147"/>
    </row>
    <row r="468">
      <c r="J468" s="146"/>
      <c r="N468" s="147"/>
      <c r="Y468" s="147"/>
      <c r="AJ468" s="147"/>
      <c r="AU468" s="147"/>
      <c r="AZ468" s="147"/>
      <c r="BC468" s="147"/>
    </row>
    <row r="469">
      <c r="J469" s="146"/>
      <c r="N469" s="147"/>
      <c r="Y469" s="147"/>
      <c r="AJ469" s="147"/>
      <c r="AU469" s="147"/>
      <c r="AZ469" s="147"/>
      <c r="BC469" s="147"/>
    </row>
    <row r="470">
      <c r="J470" s="146"/>
      <c r="N470" s="147"/>
      <c r="Y470" s="147"/>
      <c r="AJ470" s="147"/>
      <c r="AU470" s="147"/>
      <c r="AZ470" s="147"/>
      <c r="BC470" s="147"/>
    </row>
    <row r="471">
      <c r="J471" s="146"/>
      <c r="N471" s="147"/>
      <c r="Y471" s="147"/>
      <c r="AJ471" s="147"/>
      <c r="AU471" s="147"/>
      <c r="AZ471" s="147"/>
      <c r="BC471" s="147"/>
    </row>
    <row r="472">
      <c r="J472" s="146"/>
      <c r="N472" s="147"/>
      <c r="Y472" s="147"/>
      <c r="AJ472" s="147"/>
      <c r="AU472" s="147"/>
      <c r="AZ472" s="147"/>
      <c r="BC472" s="147"/>
    </row>
    <row r="473">
      <c r="J473" s="146"/>
      <c r="N473" s="147"/>
      <c r="Y473" s="147"/>
      <c r="AJ473" s="147"/>
      <c r="AU473" s="147"/>
      <c r="AZ473" s="147"/>
      <c r="BC473" s="147"/>
    </row>
    <row r="474">
      <c r="J474" s="146"/>
      <c r="N474" s="147"/>
      <c r="Y474" s="147"/>
      <c r="AJ474" s="147"/>
      <c r="AU474" s="147"/>
      <c r="AZ474" s="147"/>
      <c r="BC474" s="147"/>
    </row>
    <row r="475">
      <c r="J475" s="146"/>
      <c r="N475" s="147"/>
      <c r="Y475" s="147"/>
      <c r="AJ475" s="147"/>
      <c r="AU475" s="147"/>
      <c r="AZ475" s="147"/>
      <c r="BC475" s="147"/>
    </row>
    <row r="476">
      <c r="J476" s="146"/>
      <c r="N476" s="147"/>
      <c r="Y476" s="147"/>
      <c r="AJ476" s="147"/>
      <c r="AU476" s="147"/>
      <c r="AZ476" s="147"/>
      <c r="BC476" s="147"/>
    </row>
    <row r="477">
      <c r="J477" s="146"/>
      <c r="N477" s="147"/>
      <c r="Y477" s="147"/>
      <c r="AJ477" s="147"/>
      <c r="AU477" s="147"/>
      <c r="AZ477" s="147"/>
      <c r="BC477" s="147"/>
    </row>
    <row r="478">
      <c r="J478" s="146"/>
      <c r="N478" s="147"/>
      <c r="Y478" s="147"/>
      <c r="AJ478" s="147"/>
      <c r="AU478" s="147"/>
      <c r="AZ478" s="147"/>
      <c r="BC478" s="147"/>
    </row>
    <row r="479">
      <c r="J479" s="146"/>
      <c r="N479" s="147"/>
      <c r="Y479" s="147"/>
      <c r="AJ479" s="147"/>
      <c r="AU479" s="147"/>
      <c r="AZ479" s="147"/>
      <c r="BC479" s="147"/>
    </row>
    <row r="480">
      <c r="J480" s="146"/>
      <c r="N480" s="147"/>
      <c r="Y480" s="147"/>
      <c r="AJ480" s="147"/>
      <c r="AU480" s="147"/>
      <c r="AZ480" s="147"/>
      <c r="BC480" s="147"/>
    </row>
    <row r="481">
      <c r="J481" s="146"/>
      <c r="N481" s="147"/>
      <c r="Y481" s="147"/>
      <c r="AJ481" s="147"/>
      <c r="AU481" s="147"/>
      <c r="AZ481" s="147"/>
      <c r="BC481" s="147"/>
    </row>
    <row r="482">
      <c r="J482" s="146"/>
      <c r="N482" s="147"/>
      <c r="Y482" s="147"/>
      <c r="AJ482" s="147"/>
      <c r="AU482" s="147"/>
      <c r="AZ482" s="147"/>
      <c r="BC482" s="147"/>
    </row>
    <row r="483">
      <c r="J483" s="146"/>
      <c r="N483" s="147"/>
      <c r="Y483" s="147"/>
      <c r="AJ483" s="147"/>
      <c r="AU483" s="147"/>
      <c r="AZ483" s="147"/>
      <c r="BC483" s="147"/>
    </row>
    <row r="484">
      <c r="J484" s="146"/>
      <c r="N484" s="147"/>
      <c r="Y484" s="147"/>
      <c r="AJ484" s="147"/>
      <c r="AU484" s="147"/>
      <c r="AZ484" s="147"/>
      <c r="BC484" s="147"/>
    </row>
    <row r="485">
      <c r="J485" s="146"/>
      <c r="N485" s="147"/>
      <c r="Y485" s="147"/>
      <c r="AJ485" s="147"/>
      <c r="AU485" s="147"/>
      <c r="AZ485" s="147"/>
      <c r="BC485" s="147"/>
    </row>
    <row r="486">
      <c r="J486" s="146"/>
      <c r="N486" s="147"/>
      <c r="Y486" s="147"/>
      <c r="AJ486" s="147"/>
      <c r="AU486" s="147"/>
      <c r="AZ486" s="147"/>
      <c r="BC486" s="147"/>
    </row>
    <row r="487">
      <c r="J487" s="146"/>
      <c r="N487" s="147"/>
      <c r="Y487" s="147"/>
      <c r="AJ487" s="147"/>
      <c r="AU487" s="147"/>
      <c r="AZ487" s="147"/>
      <c r="BC487" s="147"/>
    </row>
    <row r="488">
      <c r="J488" s="146"/>
      <c r="N488" s="147"/>
      <c r="Y488" s="147"/>
      <c r="AJ488" s="147"/>
      <c r="AU488" s="147"/>
      <c r="AZ488" s="147"/>
      <c r="BC488" s="147"/>
    </row>
    <row r="489">
      <c r="J489" s="146"/>
      <c r="N489" s="147"/>
      <c r="Y489" s="147"/>
      <c r="AJ489" s="147"/>
      <c r="AU489" s="147"/>
      <c r="AZ489" s="147"/>
      <c r="BC489" s="147"/>
    </row>
    <row r="490">
      <c r="J490" s="146"/>
      <c r="N490" s="147"/>
      <c r="Y490" s="147"/>
      <c r="AJ490" s="147"/>
      <c r="AU490" s="147"/>
      <c r="AZ490" s="147"/>
      <c r="BC490" s="147"/>
    </row>
    <row r="491">
      <c r="J491" s="146"/>
      <c r="N491" s="147"/>
      <c r="Y491" s="147"/>
      <c r="AJ491" s="147"/>
      <c r="AU491" s="147"/>
      <c r="AZ491" s="147"/>
      <c r="BC491" s="147"/>
    </row>
    <row r="492">
      <c r="J492" s="146"/>
      <c r="N492" s="147"/>
      <c r="Y492" s="147"/>
      <c r="AJ492" s="147"/>
      <c r="AU492" s="147"/>
      <c r="AZ492" s="147"/>
      <c r="BC492" s="147"/>
    </row>
    <row r="493">
      <c r="J493" s="146"/>
      <c r="N493" s="147"/>
      <c r="Y493" s="147"/>
      <c r="AJ493" s="147"/>
      <c r="AU493" s="147"/>
      <c r="AZ493" s="147"/>
      <c r="BC493" s="147"/>
    </row>
    <row r="494">
      <c r="J494" s="146"/>
      <c r="N494" s="147"/>
      <c r="Y494" s="147"/>
      <c r="AJ494" s="147"/>
      <c r="AU494" s="147"/>
      <c r="AZ494" s="147"/>
      <c r="BC494" s="147"/>
    </row>
    <row r="495">
      <c r="J495" s="146"/>
      <c r="N495" s="147"/>
      <c r="Y495" s="147"/>
      <c r="AJ495" s="147"/>
      <c r="AU495" s="147"/>
      <c r="AZ495" s="147"/>
      <c r="BC495" s="147"/>
    </row>
    <row r="496">
      <c r="J496" s="146"/>
      <c r="N496" s="147"/>
      <c r="Y496" s="147"/>
      <c r="AJ496" s="147"/>
      <c r="AU496" s="147"/>
      <c r="AZ496" s="147"/>
      <c r="BC496" s="147"/>
    </row>
    <row r="497">
      <c r="J497" s="146"/>
      <c r="N497" s="147"/>
      <c r="Y497" s="147"/>
      <c r="AJ497" s="147"/>
      <c r="AU497" s="147"/>
      <c r="AZ497" s="147"/>
      <c r="BC497" s="147"/>
    </row>
    <row r="498">
      <c r="J498" s="146"/>
      <c r="N498" s="147"/>
      <c r="Y498" s="147"/>
      <c r="AJ498" s="147"/>
      <c r="AU498" s="147"/>
      <c r="AZ498" s="147"/>
      <c r="BC498" s="147"/>
    </row>
    <row r="499">
      <c r="J499" s="146"/>
      <c r="N499" s="147"/>
      <c r="Y499" s="147"/>
      <c r="AJ499" s="147"/>
      <c r="AU499" s="147"/>
      <c r="AZ499" s="147"/>
      <c r="BC499" s="147"/>
    </row>
    <row r="500">
      <c r="J500" s="146"/>
      <c r="N500" s="147"/>
      <c r="Y500" s="147"/>
      <c r="AJ500" s="147"/>
      <c r="AU500" s="147"/>
      <c r="AZ500" s="147"/>
      <c r="BC500" s="147"/>
    </row>
    <row r="501">
      <c r="J501" s="146"/>
      <c r="N501" s="147"/>
      <c r="Y501" s="147"/>
      <c r="AJ501" s="147"/>
      <c r="AU501" s="147"/>
      <c r="AZ501" s="147"/>
      <c r="BC501" s="147"/>
    </row>
    <row r="502">
      <c r="J502" s="146"/>
      <c r="N502" s="147"/>
      <c r="Y502" s="147"/>
      <c r="AJ502" s="147"/>
      <c r="AU502" s="147"/>
      <c r="AZ502" s="147"/>
      <c r="BC502" s="147"/>
    </row>
    <row r="503">
      <c r="J503" s="146"/>
      <c r="N503" s="147"/>
      <c r="Y503" s="147"/>
      <c r="AJ503" s="147"/>
      <c r="AU503" s="147"/>
      <c r="AZ503" s="147"/>
      <c r="BC503" s="147"/>
    </row>
    <row r="504">
      <c r="J504" s="146"/>
      <c r="N504" s="147"/>
      <c r="Y504" s="147"/>
      <c r="AJ504" s="147"/>
      <c r="AU504" s="147"/>
      <c r="AZ504" s="147"/>
      <c r="BC504" s="147"/>
    </row>
    <row r="505">
      <c r="J505" s="146"/>
      <c r="N505" s="147"/>
      <c r="Y505" s="147"/>
      <c r="AJ505" s="147"/>
      <c r="AU505" s="147"/>
      <c r="AZ505" s="147"/>
      <c r="BC505" s="147"/>
    </row>
    <row r="506">
      <c r="J506" s="146"/>
      <c r="N506" s="147"/>
      <c r="Y506" s="147"/>
      <c r="AJ506" s="147"/>
      <c r="AU506" s="147"/>
      <c r="AZ506" s="147"/>
      <c r="BC506" s="147"/>
    </row>
    <row r="507">
      <c r="J507" s="146"/>
      <c r="N507" s="147"/>
      <c r="Y507" s="147"/>
      <c r="AJ507" s="147"/>
      <c r="AU507" s="147"/>
      <c r="AZ507" s="147"/>
      <c r="BC507" s="147"/>
    </row>
    <row r="508">
      <c r="J508" s="146"/>
      <c r="N508" s="147"/>
      <c r="Y508" s="147"/>
      <c r="AJ508" s="147"/>
      <c r="AU508" s="147"/>
      <c r="AZ508" s="147"/>
      <c r="BC508" s="147"/>
    </row>
    <row r="509">
      <c r="J509" s="146"/>
      <c r="N509" s="147"/>
      <c r="Y509" s="147"/>
      <c r="AJ509" s="147"/>
      <c r="AU509" s="147"/>
      <c r="AZ509" s="147"/>
      <c r="BC509" s="147"/>
    </row>
    <row r="510">
      <c r="J510" s="146"/>
      <c r="N510" s="147"/>
      <c r="Y510" s="147"/>
      <c r="AJ510" s="147"/>
      <c r="AU510" s="147"/>
      <c r="AZ510" s="147"/>
      <c r="BC510" s="147"/>
    </row>
    <row r="511">
      <c r="J511" s="146"/>
      <c r="N511" s="147"/>
      <c r="Y511" s="147"/>
      <c r="AJ511" s="147"/>
      <c r="AU511" s="147"/>
      <c r="AZ511" s="147"/>
      <c r="BC511" s="147"/>
    </row>
    <row r="512">
      <c r="J512" s="146"/>
      <c r="N512" s="147"/>
      <c r="Y512" s="147"/>
      <c r="AJ512" s="147"/>
      <c r="AU512" s="147"/>
      <c r="AZ512" s="147"/>
      <c r="BC512" s="147"/>
    </row>
    <row r="513">
      <c r="J513" s="146"/>
      <c r="N513" s="147"/>
      <c r="Y513" s="147"/>
      <c r="AJ513" s="147"/>
      <c r="AU513" s="147"/>
      <c r="AZ513" s="147"/>
      <c r="BC513" s="147"/>
    </row>
    <row r="514">
      <c r="J514" s="146"/>
      <c r="N514" s="147"/>
      <c r="Y514" s="147"/>
      <c r="AJ514" s="147"/>
      <c r="AU514" s="147"/>
      <c r="AZ514" s="147"/>
      <c r="BC514" s="147"/>
    </row>
    <row r="515">
      <c r="J515" s="146"/>
      <c r="N515" s="147"/>
      <c r="Y515" s="147"/>
      <c r="AJ515" s="147"/>
      <c r="AU515" s="147"/>
      <c r="AZ515" s="147"/>
      <c r="BC515" s="147"/>
    </row>
    <row r="516">
      <c r="J516" s="146"/>
      <c r="N516" s="147"/>
      <c r="Y516" s="147"/>
      <c r="AJ516" s="147"/>
      <c r="AU516" s="147"/>
      <c r="AZ516" s="147"/>
      <c r="BC516" s="147"/>
    </row>
    <row r="517">
      <c r="J517" s="146"/>
      <c r="N517" s="147"/>
      <c r="Y517" s="147"/>
      <c r="AJ517" s="147"/>
      <c r="AU517" s="147"/>
      <c r="AZ517" s="147"/>
      <c r="BC517" s="147"/>
    </row>
    <row r="518">
      <c r="J518" s="146"/>
      <c r="N518" s="147"/>
      <c r="Y518" s="147"/>
      <c r="AJ518" s="147"/>
      <c r="AU518" s="147"/>
      <c r="AZ518" s="147"/>
      <c r="BC518" s="147"/>
    </row>
    <row r="519">
      <c r="J519" s="146"/>
      <c r="N519" s="147"/>
      <c r="Y519" s="147"/>
      <c r="AJ519" s="147"/>
      <c r="AU519" s="147"/>
      <c r="AZ519" s="147"/>
      <c r="BC519" s="147"/>
    </row>
    <row r="520">
      <c r="J520" s="146"/>
      <c r="N520" s="147"/>
      <c r="Y520" s="147"/>
      <c r="AJ520" s="147"/>
      <c r="AU520" s="147"/>
      <c r="AZ520" s="147"/>
      <c r="BC520" s="147"/>
    </row>
    <row r="521">
      <c r="J521" s="146"/>
      <c r="N521" s="147"/>
      <c r="Y521" s="147"/>
      <c r="AJ521" s="147"/>
      <c r="AU521" s="147"/>
      <c r="AZ521" s="147"/>
      <c r="BC521" s="147"/>
    </row>
    <row r="522">
      <c r="J522" s="146"/>
      <c r="N522" s="147"/>
      <c r="Y522" s="147"/>
      <c r="AJ522" s="147"/>
      <c r="AU522" s="147"/>
      <c r="AZ522" s="147"/>
      <c r="BC522" s="147"/>
    </row>
    <row r="523">
      <c r="J523" s="146"/>
      <c r="N523" s="147"/>
      <c r="Y523" s="147"/>
      <c r="AJ523" s="147"/>
      <c r="AU523" s="147"/>
      <c r="AZ523" s="147"/>
      <c r="BC523" s="147"/>
    </row>
    <row r="524">
      <c r="J524" s="146"/>
      <c r="N524" s="147"/>
      <c r="Y524" s="147"/>
      <c r="AJ524" s="147"/>
      <c r="AU524" s="147"/>
      <c r="AZ524" s="147"/>
      <c r="BC524" s="147"/>
    </row>
    <row r="525">
      <c r="J525" s="146"/>
      <c r="N525" s="147"/>
      <c r="Y525" s="147"/>
      <c r="AJ525" s="147"/>
      <c r="AU525" s="147"/>
      <c r="AZ525" s="147"/>
      <c r="BC525" s="147"/>
    </row>
    <row r="526">
      <c r="J526" s="146"/>
      <c r="N526" s="147"/>
      <c r="Y526" s="147"/>
      <c r="AJ526" s="147"/>
      <c r="AU526" s="147"/>
      <c r="AZ526" s="147"/>
      <c r="BC526" s="147"/>
    </row>
    <row r="527">
      <c r="J527" s="146"/>
      <c r="N527" s="147"/>
      <c r="Y527" s="147"/>
      <c r="AJ527" s="147"/>
      <c r="AU527" s="147"/>
      <c r="AZ527" s="147"/>
      <c r="BC527" s="147"/>
    </row>
    <row r="528">
      <c r="J528" s="146"/>
      <c r="N528" s="147"/>
      <c r="Y528" s="147"/>
      <c r="AJ528" s="147"/>
      <c r="AU528" s="147"/>
      <c r="AZ528" s="147"/>
      <c r="BC528" s="147"/>
    </row>
    <row r="529">
      <c r="J529" s="146"/>
      <c r="N529" s="147"/>
      <c r="Y529" s="147"/>
      <c r="AJ529" s="147"/>
      <c r="AU529" s="147"/>
      <c r="AZ529" s="147"/>
      <c r="BC529" s="147"/>
    </row>
    <row r="530">
      <c r="J530" s="146"/>
      <c r="N530" s="147"/>
      <c r="Y530" s="147"/>
      <c r="AJ530" s="147"/>
      <c r="AU530" s="147"/>
      <c r="AZ530" s="147"/>
      <c r="BC530" s="147"/>
    </row>
    <row r="531">
      <c r="J531" s="146"/>
      <c r="N531" s="147"/>
      <c r="Y531" s="147"/>
      <c r="AJ531" s="147"/>
      <c r="AU531" s="147"/>
      <c r="AZ531" s="147"/>
      <c r="BC531" s="147"/>
    </row>
    <row r="532">
      <c r="J532" s="146"/>
      <c r="N532" s="147"/>
      <c r="Y532" s="147"/>
      <c r="AJ532" s="147"/>
      <c r="AU532" s="147"/>
      <c r="AZ532" s="147"/>
      <c r="BC532" s="147"/>
    </row>
    <row r="533">
      <c r="J533" s="146"/>
      <c r="N533" s="147"/>
      <c r="Y533" s="147"/>
      <c r="AJ533" s="147"/>
      <c r="AU533" s="147"/>
      <c r="AZ533" s="147"/>
      <c r="BC533" s="147"/>
    </row>
    <row r="534">
      <c r="J534" s="146"/>
      <c r="N534" s="147"/>
      <c r="Y534" s="147"/>
      <c r="AJ534" s="147"/>
      <c r="AU534" s="147"/>
      <c r="AZ534" s="147"/>
      <c r="BC534" s="147"/>
    </row>
    <row r="535">
      <c r="J535" s="146"/>
      <c r="N535" s="147"/>
      <c r="Y535" s="147"/>
      <c r="AJ535" s="147"/>
      <c r="AU535" s="147"/>
      <c r="AZ535" s="147"/>
      <c r="BC535" s="147"/>
    </row>
    <row r="536">
      <c r="J536" s="146"/>
      <c r="N536" s="147"/>
      <c r="Y536" s="147"/>
      <c r="AJ536" s="147"/>
      <c r="AU536" s="147"/>
      <c r="AZ536" s="147"/>
      <c r="BC536" s="147"/>
    </row>
    <row r="537">
      <c r="J537" s="146"/>
      <c r="N537" s="147"/>
      <c r="Y537" s="147"/>
      <c r="AJ537" s="147"/>
      <c r="AU537" s="147"/>
      <c r="AZ537" s="147"/>
      <c r="BC537" s="147"/>
    </row>
    <row r="538">
      <c r="J538" s="146"/>
      <c r="N538" s="147"/>
      <c r="Y538" s="147"/>
      <c r="AJ538" s="147"/>
      <c r="AU538" s="147"/>
      <c r="AZ538" s="147"/>
      <c r="BC538" s="147"/>
    </row>
    <row r="539">
      <c r="J539" s="146"/>
      <c r="N539" s="147"/>
      <c r="Y539" s="147"/>
      <c r="AJ539" s="147"/>
      <c r="AU539" s="147"/>
      <c r="AZ539" s="147"/>
      <c r="BC539" s="147"/>
    </row>
    <row r="540">
      <c r="J540" s="146"/>
      <c r="N540" s="147"/>
      <c r="Y540" s="147"/>
      <c r="AJ540" s="147"/>
      <c r="AU540" s="147"/>
      <c r="AZ540" s="147"/>
      <c r="BC540" s="147"/>
    </row>
    <row r="541">
      <c r="J541" s="146"/>
      <c r="N541" s="147"/>
      <c r="Y541" s="147"/>
      <c r="AJ541" s="147"/>
      <c r="AU541" s="147"/>
      <c r="AZ541" s="147"/>
      <c r="BC541" s="147"/>
    </row>
    <row r="542">
      <c r="J542" s="146"/>
      <c r="N542" s="147"/>
      <c r="Y542" s="147"/>
      <c r="AJ542" s="147"/>
      <c r="AU542" s="147"/>
      <c r="AZ542" s="147"/>
      <c r="BC542" s="147"/>
    </row>
    <row r="543">
      <c r="J543" s="146"/>
      <c r="N543" s="147"/>
      <c r="Y543" s="147"/>
      <c r="AJ543" s="147"/>
      <c r="AU543" s="147"/>
      <c r="AZ543" s="147"/>
      <c r="BC543" s="147"/>
    </row>
    <row r="544">
      <c r="J544" s="146"/>
      <c r="N544" s="147"/>
      <c r="Y544" s="147"/>
      <c r="AJ544" s="147"/>
      <c r="AU544" s="147"/>
      <c r="AZ544" s="147"/>
      <c r="BC544" s="147"/>
    </row>
    <row r="545">
      <c r="J545" s="146"/>
      <c r="N545" s="147"/>
      <c r="Y545" s="147"/>
      <c r="AJ545" s="147"/>
      <c r="AU545" s="147"/>
      <c r="AZ545" s="147"/>
      <c r="BC545" s="147"/>
    </row>
    <row r="546">
      <c r="J546" s="146"/>
      <c r="N546" s="147"/>
      <c r="Y546" s="147"/>
      <c r="AJ546" s="147"/>
      <c r="AU546" s="147"/>
      <c r="AZ546" s="147"/>
      <c r="BC546" s="147"/>
    </row>
    <row r="547">
      <c r="J547" s="146"/>
      <c r="N547" s="147"/>
      <c r="Y547" s="147"/>
      <c r="AJ547" s="147"/>
      <c r="AU547" s="147"/>
      <c r="AZ547" s="147"/>
      <c r="BC547" s="147"/>
    </row>
    <row r="548">
      <c r="J548" s="146"/>
      <c r="N548" s="147"/>
      <c r="Y548" s="147"/>
      <c r="AJ548" s="147"/>
      <c r="AU548" s="147"/>
      <c r="AZ548" s="147"/>
      <c r="BC548" s="147"/>
    </row>
    <row r="549">
      <c r="J549" s="146"/>
      <c r="N549" s="147"/>
      <c r="Y549" s="147"/>
      <c r="AJ549" s="147"/>
      <c r="AU549" s="147"/>
      <c r="AZ549" s="147"/>
      <c r="BC549" s="147"/>
    </row>
    <row r="550">
      <c r="J550" s="146"/>
      <c r="N550" s="147"/>
      <c r="Y550" s="147"/>
      <c r="AJ550" s="147"/>
      <c r="AU550" s="147"/>
      <c r="AZ550" s="147"/>
      <c r="BC550" s="147"/>
    </row>
    <row r="551">
      <c r="J551" s="146"/>
      <c r="N551" s="147"/>
      <c r="Y551" s="147"/>
      <c r="AJ551" s="147"/>
      <c r="AU551" s="147"/>
      <c r="AZ551" s="147"/>
      <c r="BC551" s="147"/>
    </row>
    <row r="552">
      <c r="J552" s="146"/>
      <c r="N552" s="147"/>
      <c r="Y552" s="147"/>
      <c r="AJ552" s="147"/>
      <c r="AU552" s="147"/>
      <c r="AZ552" s="147"/>
      <c r="BC552" s="147"/>
    </row>
    <row r="553">
      <c r="J553" s="146"/>
      <c r="N553" s="147"/>
      <c r="Y553" s="147"/>
      <c r="AJ553" s="147"/>
      <c r="AU553" s="147"/>
      <c r="AZ553" s="147"/>
      <c r="BC553" s="147"/>
    </row>
    <row r="554">
      <c r="J554" s="146"/>
      <c r="N554" s="147"/>
      <c r="Y554" s="147"/>
      <c r="AJ554" s="147"/>
      <c r="AU554" s="147"/>
      <c r="AZ554" s="147"/>
      <c r="BC554" s="147"/>
    </row>
    <row r="555">
      <c r="J555" s="146"/>
      <c r="N555" s="147"/>
      <c r="Y555" s="147"/>
      <c r="AJ555" s="147"/>
      <c r="AU555" s="147"/>
      <c r="AZ555" s="147"/>
      <c r="BC555" s="147"/>
    </row>
    <row r="556">
      <c r="J556" s="146"/>
      <c r="N556" s="147"/>
      <c r="Y556" s="147"/>
      <c r="AJ556" s="147"/>
      <c r="AU556" s="147"/>
      <c r="AZ556" s="147"/>
      <c r="BC556" s="147"/>
    </row>
    <row r="557">
      <c r="J557" s="146"/>
      <c r="N557" s="147"/>
      <c r="Y557" s="147"/>
      <c r="AJ557" s="147"/>
      <c r="AU557" s="147"/>
      <c r="AZ557" s="147"/>
      <c r="BC557" s="147"/>
    </row>
    <row r="558">
      <c r="J558" s="146"/>
      <c r="N558" s="147"/>
      <c r="Y558" s="147"/>
      <c r="AJ558" s="147"/>
      <c r="AU558" s="147"/>
      <c r="AZ558" s="147"/>
      <c r="BC558" s="147"/>
    </row>
    <row r="559">
      <c r="J559" s="146"/>
      <c r="N559" s="147"/>
      <c r="Y559" s="147"/>
      <c r="AJ559" s="147"/>
      <c r="AU559" s="147"/>
      <c r="AZ559" s="147"/>
      <c r="BC559" s="147"/>
    </row>
    <row r="560">
      <c r="J560" s="146"/>
      <c r="N560" s="147"/>
      <c r="Y560" s="147"/>
      <c r="AJ560" s="147"/>
      <c r="AU560" s="147"/>
      <c r="AZ560" s="147"/>
      <c r="BC560" s="147"/>
    </row>
    <row r="561">
      <c r="J561" s="146"/>
      <c r="N561" s="147"/>
      <c r="Y561" s="147"/>
      <c r="AJ561" s="147"/>
      <c r="AU561" s="147"/>
      <c r="AZ561" s="147"/>
      <c r="BC561" s="147"/>
    </row>
    <row r="562">
      <c r="J562" s="146"/>
      <c r="N562" s="147"/>
      <c r="Y562" s="147"/>
      <c r="AJ562" s="147"/>
      <c r="AU562" s="147"/>
      <c r="AZ562" s="147"/>
      <c r="BC562" s="147"/>
    </row>
    <row r="563">
      <c r="J563" s="146"/>
      <c r="N563" s="147"/>
      <c r="Y563" s="147"/>
      <c r="AJ563" s="147"/>
      <c r="AU563" s="147"/>
      <c r="AZ563" s="147"/>
      <c r="BC563" s="147"/>
    </row>
    <row r="564">
      <c r="J564" s="146"/>
      <c r="N564" s="147"/>
      <c r="Y564" s="147"/>
      <c r="AJ564" s="147"/>
      <c r="AU564" s="147"/>
      <c r="AZ564" s="147"/>
      <c r="BC564" s="147"/>
    </row>
    <row r="565">
      <c r="J565" s="146"/>
      <c r="N565" s="147"/>
      <c r="Y565" s="147"/>
      <c r="AJ565" s="147"/>
      <c r="AU565" s="147"/>
      <c r="AZ565" s="147"/>
      <c r="BC565" s="147"/>
    </row>
    <row r="566">
      <c r="J566" s="146"/>
      <c r="N566" s="147"/>
      <c r="Y566" s="147"/>
      <c r="AJ566" s="147"/>
      <c r="AU566" s="147"/>
      <c r="AZ566" s="147"/>
      <c r="BC566" s="147"/>
    </row>
    <row r="567">
      <c r="J567" s="146"/>
      <c r="N567" s="147"/>
      <c r="Y567" s="147"/>
      <c r="AJ567" s="147"/>
      <c r="AU567" s="147"/>
      <c r="AZ567" s="147"/>
      <c r="BC567" s="147"/>
    </row>
    <row r="568">
      <c r="J568" s="146"/>
      <c r="N568" s="147"/>
      <c r="Y568" s="147"/>
      <c r="AJ568" s="147"/>
      <c r="AU568" s="147"/>
      <c r="AZ568" s="147"/>
      <c r="BC568" s="147"/>
    </row>
    <row r="569">
      <c r="J569" s="146"/>
      <c r="N569" s="147"/>
      <c r="Y569" s="147"/>
      <c r="AJ569" s="147"/>
      <c r="AU569" s="147"/>
      <c r="AZ569" s="147"/>
      <c r="BC569" s="147"/>
    </row>
    <row r="570">
      <c r="J570" s="146"/>
      <c r="N570" s="147"/>
      <c r="Y570" s="147"/>
      <c r="AJ570" s="147"/>
      <c r="AU570" s="147"/>
      <c r="AZ570" s="147"/>
      <c r="BC570" s="147"/>
    </row>
    <row r="571">
      <c r="J571" s="146"/>
      <c r="N571" s="147"/>
      <c r="Y571" s="147"/>
      <c r="AJ571" s="147"/>
      <c r="AU571" s="147"/>
      <c r="AZ571" s="147"/>
      <c r="BC571" s="147"/>
    </row>
    <row r="572">
      <c r="J572" s="146"/>
      <c r="N572" s="147"/>
      <c r="Y572" s="147"/>
      <c r="AJ572" s="147"/>
      <c r="AU572" s="147"/>
      <c r="AZ572" s="147"/>
      <c r="BC572" s="147"/>
    </row>
    <row r="573">
      <c r="J573" s="146"/>
      <c r="N573" s="147"/>
      <c r="Y573" s="147"/>
      <c r="AJ573" s="147"/>
      <c r="AU573" s="147"/>
      <c r="AZ573" s="147"/>
      <c r="BC573" s="147"/>
    </row>
    <row r="574">
      <c r="J574" s="146"/>
      <c r="N574" s="147"/>
      <c r="Y574" s="147"/>
      <c r="AJ574" s="147"/>
      <c r="AU574" s="147"/>
      <c r="AZ574" s="147"/>
      <c r="BC574" s="147"/>
    </row>
    <row r="575">
      <c r="J575" s="146"/>
      <c r="N575" s="147"/>
      <c r="Y575" s="147"/>
      <c r="AJ575" s="147"/>
      <c r="AU575" s="147"/>
      <c r="AZ575" s="147"/>
      <c r="BC575" s="147"/>
    </row>
    <row r="576">
      <c r="J576" s="146"/>
      <c r="N576" s="147"/>
      <c r="Y576" s="147"/>
      <c r="AJ576" s="147"/>
      <c r="AU576" s="147"/>
      <c r="AZ576" s="147"/>
      <c r="BC576" s="147"/>
    </row>
    <row r="577">
      <c r="J577" s="146"/>
      <c r="N577" s="147"/>
      <c r="Y577" s="147"/>
      <c r="AJ577" s="147"/>
      <c r="AU577" s="147"/>
      <c r="AZ577" s="147"/>
      <c r="BC577" s="147"/>
    </row>
    <row r="578">
      <c r="J578" s="146"/>
      <c r="N578" s="147"/>
      <c r="Y578" s="147"/>
      <c r="AJ578" s="147"/>
      <c r="AU578" s="147"/>
      <c r="AZ578" s="147"/>
      <c r="BC578" s="147"/>
    </row>
    <row r="579">
      <c r="J579" s="146"/>
      <c r="N579" s="147"/>
      <c r="Y579" s="147"/>
      <c r="AJ579" s="147"/>
      <c r="AU579" s="147"/>
      <c r="AZ579" s="147"/>
      <c r="BC579" s="147"/>
    </row>
    <row r="580">
      <c r="J580" s="146"/>
      <c r="N580" s="147"/>
      <c r="Y580" s="147"/>
      <c r="AJ580" s="147"/>
      <c r="AU580" s="147"/>
      <c r="AZ580" s="147"/>
      <c r="BC580" s="147"/>
    </row>
    <row r="581">
      <c r="J581" s="146"/>
      <c r="N581" s="147"/>
      <c r="Y581" s="147"/>
      <c r="AJ581" s="147"/>
      <c r="AU581" s="147"/>
      <c r="AZ581" s="147"/>
      <c r="BC581" s="147"/>
    </row>
    <row r="582">
      <c r="J582" s="146"/>
      <c r="N582" s="147"/>
      <c r="Y582" s="147"/>
      <c r="AJ582" s="147"/>
      <c r="AU582" s="147"/>
      <c r="AZ582" s="147"/>
      <c r="BC582" s="147"/>
    </row>
    <row r="583">
      <c r="J583" s="146"/>
      <c r="N583" s="147"/>
      <c r="Y583" s="147"/>
      <c r="AJ583" s="147"/>
      <c r="AU583" s="147"/>
      <c r="AZ583" s="147"/>
      <c r="BC583" s="147"/>
    </row>
    <row r="584">
      <c r="J584" s="146"/>
      <c r="N584" s="147"/>
      <c r="Y584" s="147"/>
      <c r="AJ584" s="147"/>
      <c r="AU584" s="147"/>
      <c r="AZ584" s="147"/>
      <c r="BC584" s="147"/>
    </row>
    <row r="585">
      <c r="J585" s="146"/>
      <c r="N585" s="147"/>
      <c r="Y585" s="147"/>
      <c r="AJ585" s="147"/>
      <c r="AU585" s="147"/>
      <c r="AZ585" s="147"/>
      <c r="BC585" s="147"/>
    </row>
    <row r="586">
      <c r="J586" s="146"/>
      <c r="N586" s="147"/>
      <c r="Y586" s="147"/>
      <c r="AJ586" s="147"/>
      <c r="AU586" s="147"/>
      <c r="AZ586" s="147"/>
      <c r="BC586" s="147"/>
    </row>
    <row r="587">
      <c r="J587" s="146"/>
      <c r="N587" s="147"/>
      <c r="Y587" s="147"/>
      <c r="AJ587" s="147"/>
      <c r="AU587" s="147"/>
      <c r="AZ587" s="147"/>
      <c r="BC587" s="147"/>
    </row>
    <row r="588">
      <c r="J588" s="146"/>
      <c r="N588" s="147"/>
      <c r="Y588" s="147"/>
      <c r="AJ588" s="147"/>
      <c r="AU588" s="147"/>
      <c r="AZ588" s="147"/>
      <c r="BC588" s="147"/>
    </row>
    <row r="589">
      <c r="J589" s="146"/>
      <c r="N589" s="147"/>
      <c r="Y589" s="147"/>
      <c r="AJ589" s="147"/>
      <c r="AU589" s="147"/>
      <c r="AZ589" s="147"/>
      <c r="BC589" s="147"/>
    </row>
    <row r="590">
      <c r="J590" s="146"/>
      <c r="N590" s="147"/>
      <c r="Y590" s="147"/>
      <c r="AJ590" s="147"/>
      <c r="AU590" s="147"/>
      <c r="AZ590" s="147"/>
      <c r="BC590" s="147"/>
    </row>
    <row r="591">
      <c r="J591" s="146"/>
      <c r="N591" s="147"/>
      <c r="Y591" s="147"/>
      <c r="AJ591" s="147"/>
      <c r="AU591" s="147"/>
      <c r="AZ591" s="147"/>
      <c r="BC591" s="147"/>
    </row>
    <row r="592">
      <c r="J592" s="146"/>
      <c r="N592" s="147"/>
      <c r="Y592" s="147"/>
      <c r="AJ592" s="147"/>
      <c r="AU592" s="147"/>
      <c r="AZ592" s="147"/>
      <c r="BC592" s="147"/>
    </row>
    <row r="593">
      <c r="J593" s="146"/>
      <c r="N593" s="147"/>
      <c r="Y593" s="147"/>
      <c r="AJ593" s="147"/>
      <c r="AU593" s="147"/>
      <c r="AZ593" s="147"/>
      <c r="BC593" s="147"/>
    </row>
    <row r="594">
      <c r="J594" s="146"/>
      <c r="N594" s="147"/>
      <c r="Y594" s="147"/>
      <c r="AJ594" s="147"/>
      <c r="AU594" s="147"/>
      <c r="AZ594" s="147"/>
      <c r="BC594" s="147"/>
    </row>
    <row r="595">
      <c r="J595" s="146"/>
      <c r="N595" s="147"/>
      <c r="Y595" s="147"/>
      <c r="AJ595" s="147"/>
      <c r="AU595" s="147"/>
      <c r="AZ595" s="147"/>
      <c r="BC595" s="147"/>
    </row>
    <row r="596">
      <c r="J596" s="146"/>
      <c r="N596" s="147"/>
      <c r="Y596" s="147"/>
      <c r="AJ596" s="147"/>
      <c r="AU596" s="147"/>
      <c r="AZ596" s="147"/>
      <c r="BC596" s="147"/>
    </row>
    <row r="597">
      <c r="J597" s="146"/>
      <c r="N597" s="147"/>
      <c r="Y597" s="147"/>
      <c r="AJ597" s="147"/>
      <c r="AU597" s="147"/>
      <c r="AZ597" s="147"/>
      <c r="BC597" s="147"/>
    </row>
    <row r="598">
      <c r="J598" s="146"/>
      <c r="N598" s="147"/>
      <c r="Y598" s="147"/>
      <c r="AJ598" s="147"/>
      <c r="AU598" s="147"/>
      <c r="AZ598" s="147"/>
      <c r="BC598" s="147"/>
    </row>
    <row r="599">
      <c r="J599" s="146"/>
      <c r="N599" s="147"/>
      <c r="Y599" s="147"/>
      <c r="AJ599" s="147"/>
      <c r="AU599" s="147"/>
      <c r="AZ599" s="147"/>
      <c r="BC599" s="147"/>
    </row>
    <row r="600">
      <c r="J600" s="146"/>
      <c r="N600" s="147"/>
      <c r="Y600" s="147"/>
      <c r="AJ600" s="147"/>
      <c r="AU600" s="147"/>
      <c r="AZ600" s="147"/>
      <c r="BC600" s="147"/>
    </row>
    <row r="601">
      <c r="J601" s="146"/>
      <c r="N601" s="147"/>
      <c r="Y601" s="147"/>
      <c r="AJ601" s="147"/>
      <c r="AU601" s="147"/>
      <c r="AZ601" s="147"/>
      <c r="BC601" s="147"/>
    </row>
    <row r="602">
      <c r="J602" s="146"/>
      <c r="N602" s="147"/>
      <c r="Y602" s="147"/>
      <c r="AJ602" s="147"/>
      <c r="AU602" s="147"/>
      <c r="AZ602" s="147"/>
      <c r="BC602" s="147"/>
    </row>
    <row r="603">
      <c r="J603" s="146"/>
      <c r="N603" s="147"/>
      <c r="Y603" s="147"/>
      <c r="AJ603" s="147"/>
      <c r="AU603" s="147"/>
      <c r="AZ603" s="147"/>
      <c r="BC603" s="147"/>
    </row>
    <row r="604">
      <c r="J604" s="146"/>
      <c r="N604" s="147"/>
      <c r="Y604" s="147"/>
      <c r="AJ604" s="147"/>
      <c r="AU604" s="147"/>
      <c r="AZ604" s="147"/>
      <c r="BC604" s="147"/>
    </row>
    <row r="605">
      <c r="J605" s="146"/>
      <c r="N605" s="147"/>
      <c r="Y605" s="147"/>
      <c r="AJ605" s="147"/>
      <c r="AU605" s="147"/>
      <c r="AZ605" s="147"/>
      <c r="BC605" s="147"/>
    </row>
    <row r="606">
      <c r="J606" s="146"/>
      <c r="N606" s="147"/>
      <c r="Y606" s="147"/>
      <c r="AJ606" s="147"/>
      <c r="AU606" s="147"/>
      <c r="AZ606" s="147"/>
      <c r="BC606" s="147"/>
    </row>
    <row r="607">
      <c r="J607" s="146"/>
      <c r="N607" s="147"/>
      <c r="Y607" s="147"/>
      <c r="AJ607" s="147"/>
      <c r="AU607" s="147"/>
      <c r="AZ607" s="147"/>
      <c r="BC607" s="147"/>
    </row>
    <row r="608">
      <c r="J608" s="146"/>
      <c r="N608" s="147"/>
      <c r="Y608" s="147"/>
      <c r="AJ608" s="147"/>
      <c r="AU608" s="147"/>
      <c r="AZ608" s="147"/>
      <c r="BC608" s="147"/>
    </row>
    <row r="609">
      <c r="J609" s="146"/>
      <c r="N609" s="147"/>
      <c r="Y609" s="147"/>
      <c r="AJ609" s="147"/>
      <c r="AU609" s="147"/>
      <c r="AZ609" s="147"/>
      <c r="BC609" s="147"/>
    </row>
    <row r="610">
      <c r="J610" s="146"/>
      <c r="N610" s="147"/>
      <c r="Y610" s="147"/>
      <c r="AJ610" s="147"/>
      <c r="AU610" s="147"/>
      <c r="AZ610" s="147"/>
      <c r="BC610" s="147"/>
    </row>
    <row r="611">
      <c r="J611" s="146"/>
      <c r="N611" s="147"/>
      <c r="Y611" s="147"/>
      <c r="AJ611" s="147"/>
      <c r="AU611" s="147"/>
      <c r="AZ611" s="147"/>
      <c r="BC611" s="147"/>
    </row>
    <row r="612">
      <c r="J612" s="146"/>
      <c r="N612" s="147"/>
      <c r="Y612" s="147"/>
      <c r="AJ612" s="147"/>
      <c r="AU612" s="147"/>
      <c r="AZ612" s="147"/>
      <c r="BC612" s="147"/>
    </row>
    <row r="613">
      <c r="J613" s="146"/>
      <c r="N613" s="147"/>
      <c r="Y613" s="147"/>
      <c r="AJ613" s="147"/>
      <c r="AU613" s="147"/>
      <c r="AZ613" s="147"/>
      <c r="BC613" s="147"/>
    </row>
    <row r="614">
      <c r="J614" s="146"/>
      <c r="N614" s="147"/>
      <c r="Y614" s="147"/>
      <c r="AJ614" s="147"/>
      <c r="AU614" s="147"/>
      <c r="AZ614" s="147"/>
      <c r="BC614" s="147"/>
    </row>
    <row r="615">
      <c r="J615" s="146"/>
      <c r="N615" s="147"/>
      <c r="Y615" s="147"/>
      <c r="AJ615" s="147"/>
      <c r="AU615" s="147"/>
      <c r="AZ615" s="147"/>
      <c r="BC615" s="147"/>
    </row>
    <row r="616">
      <c r="J616" s="146"/>
      <c r="N616" s="147"/>
      <c r="Y616" s="147"/>
      <c r="AJ616" s="147"/>
      <c r="AU616" s="147"/>
      <c r="AZ616" s="147"/>
      <c r="BC616" s="147"/>
    </row>
    <row r="617">
      <c r="J617" s="146"/>
      <c r="N617" s="147"/>
      <c r="Y617" s="147"/>
      <c r="AJ617" s="147"/>
      <c r="AU617" s="147"/>
      <c r="AZ617" s="147"/>
      <c r="BC617" s="147"/>
    </row>
    <row r="618">
      <c r="J618" s="146"/>
      <c r="N618" s="147"/>
      <c r="Y618" s="147"/>
      <c r="AJ618" s="147"/>
      <c r="AU618" s="147"/>
      <c r="AZ618" s="147"/>
      <c r="BC618" s="147"/>
    </row>
    <row r="619">
      <c r="J619" s="146"/>
      <c r="N619" s="147"/>
      <c r="Y619" s="147"/>
      <c r="AJ619" s="147"/>
      <c r="AU619" s="147"/>
      <c r="AZ619" s="147"/>
      <c r="BC619" s="147"/>
    </row>
    <row r="620">
      <c r="J620" s="146"/>
      <c r="N620" s="147"/>
      <c r="Y620" s="147"/>
      <c r="AJ620" s="147"/>
      <c r="AU620" s="147"/>
      <c r="AZ620" s="147"/>
      <c r="BC620" s="147"/>
    </row>
    <row r="621">
      <c r="J621" s="146"/>
      <c r="N621" s="147"/>
      <c r="Y621" s="147"/>
      <c r="AJ621" s="147"/>
      <c r="AU621" s="147"/>
      <c r="AZ621" s="147"/>
      <c r="BC621" s="147"/>
    </row>
    <row r="622">
      <c r="J622" s="146"/>
      <c r="N622" s="147"/>
      <c r="Y622" s="147"/>
      <c r="AJ622" s="147"/>
      <c r="AU622" s="147"/>
      <c r="AZ622" s="147"/>
      <c r="BC622" s="147"/>
    </row>
    <row r="623">
      <c r="J623" s="146"/>
      <c r="N623" s="147"/>
      <c r="Y623" s="147"/>
      <c r="AJ623" s="147"/>
      <c r="AU623" s="147"/>
      <c r="AZ623" s="147"/>
      <c r="BC623" s="147"/>
    </row>
    <row r="624">
      <c r="J624" s="146"/>
      <c r="N624" s="147"/>
      <c r="Y624" s="147"/>
      <c r="AJ624" s="147"/>
      <c r="AU624" s="147"/>
      <c r="AZ624" s="147"/>
      <c r="BC624" s="147"/>
    </row>
    <row r="625">
      <c r="J625" s="146"/>
      <c r="N625" s="147"/>
      <c r="Y625" s="147"/>
      <c r="AJ625" s="147"/>
      <c r="AU625" s="147"/>
      <c r="AZ625" s="147"/>
      <c r="BC625" s="147"/>
    </row>
    <row r="626">
      <c r="J626" s="146"/>
      <c r="N626" s="147"/>
      <c r="Y626" s="147"/>
      <c r="AJ626" s="147"/>
      <c r="AU626" s="147"/>
      <c r="AZ626" s="147"/>
      <c r="BC626" s="147"/>
    </row>
    <row r="627">
      <c r="J627" s="146"/>
      <c r="N627" s="147"/>
      <c r="Y627" s="147"/>
      <c r="AJ627" s="147"/>
      <c r="AU627" s="147"/>
      <c r="AZ627" s="147"/>
      <c r="BC627" s="147"/>
    </row>
    <row r="628">
      <c r="J628" s="146"/>
      <c r="N628" s="147"/>
      <c r="Y628" s="147"/>
      <c r="AJ628" s="147"/>
      <c r="AU628" s="147"/>
      <c r="AZ628" s="147"/>
      <c r="BC628" s="147"/>
    </row>
    <row r="629">
      <c r="J629" s="146"/>
      <c r="N629" s="147"/>
      <c r="Y629" s="147"/>
      <c r="AJ629" s="147"/>
      <c r="AU629" s="147"/>
      <c r="AZ629" s="147"/>
      <c r="BC629" s="147"/>
    </row>
    <row r="630">
      <c r="J630" s="146"/>
      <c r="N630" s="147"/>
      <c r="Y630" s="147"/>
      <c r="AJ630" s="147"/>
      <c r="AU630" s="147"/>
      <c r="AZ630" s="147"/>
      <c r="BC630" s="147"/>
    </row>
    <row r="631">
      <c r="J631" s="146"/>
      <c r="N631" s="147"/>
      <c r="Y631" s="147"/>
      <c r="AJ631" s="147"/>
      <c r="AU631" s="147"/>
      <c r="AZ631" s="147"/>
      <c r="BC631" s="147"/>
    </row>
    <row r="632">
      <c r="J632" s="146"/>
      <c r="N632" s="147"/>
      <c r="Y632" s="147"/>
      <c r="AJ632" s="147"/>
      <c r="AU632" s="147"/>
      <c r="AZ632" s="147"/>
      <c r="BC632" s="147"/>
    </row>
    <row r="633">
      <c r="J633" s="146"/>
      <c r="N633" s="147"/>
      <c r="Y633" s="147"/>
      <c r="AJ633" s="147"/>
      <c r="AU633" s="147"/>
      <c r="AZ633" s="147"/>
      <c r="BC633" s="147"/>
    </row>
    <row r="634">
      <c r="J634" s="146"/>
      <c r="N634" s="147"/>
      <c r="Y634" s="147"/>
      <c r="AJ634" s="147"/>
      <c r="AU634" s="147"/>
      <c r="AZ634" s="147"/>
      <c r="BC634" s="147"/>
    </row>
    <row r="635">
      <c r="J635" s="146"/>
      <c r="N635" s="147"/>
      <c r="Y635" s="147"/>
      <c r="AJ635" s="147"/>
      <c r="AU635" s="147"/>
      <c r="AZ635" s="147"/>
      <c r="BC635" s="147"/>
    </row>
    <row r="636">
      <c r="J636" s="146"/>
      <c r="N636" s="147"/>
      <c r="Y636" s="147"/>
      <c r="AJ636" s="147"/>
      <c r="AU636" s="147"/>
      <c r="AZ636" s="147"/>
      <c r="BC636" s="147"/>
    </row>
    <row r="637">
      <c r="J637" s="146"/>
      <c r="N637" s="147"/>
      <c r="Y637" s="147"/>
      <c r="AJ637" s="147"/>
      <c r="AU637" s="147"/>
      <c r="AZ637" s="147"/>
      <c r="BC637" s="147"/>
    </row>
    <row r="638">
      <c r="J638" s="146"/>
      <c r="N638" s="147"/>
      <c r="Y638" s="147"/>
      <c r="AJ638" s="147"/>
      <c r="AU638" s="147"/>
      <c r="AZ638" s="147"/>
      <c r="BC638" s="147"/>
    </row>
    <row r="639">
      <c r="J639" s="146"/>
      <c r="N639" s="147"/>
      <c r="Y639" s="147"/>
      <c r="AJ639" s="147"/>
      <c r="AU639" s="147"/>
      <c r="AZ639" s="147"/>
      <c r="BC639" s="147"/>
    </row>
    <row r="640">
      <c r="J640" s="146"/>
      <c r="N640" s="147"/>
      <c r="Y640" s="147"/>
      <c r="AJ640" s="147"/>
      <c r="AU640" s="147"/>
      <c r="AZ640" s="147"/>
      <c r="BC640" s="147"/>
    </row>
    <row r="641">
      <c r="J641" s="146"/>
      <c r="N641" s="147"/>
      <c r="Y641" s="147"/>
      <c r="AJ641" s="147"/>
      <c r="AU641" s="147"/>
      <c r="AZ641" s="147"/>
      <c r="BC641" s="147"/>
    </row>
    <row r="642">
      <c r="J642" s="146"/>
      <c r="N642" s="147"/>
      <c r="Y642" s="147"/>
      <c r="AJ642" s="147"/>
      <c r="AU642" s="147"/>
      <c r="AZ642" s="147"/>
      <c r="BC642" s="147"/>
    </row>
    <row r="643">
      <c r="J643" s="146"/>
      <c r="N643" s="147"/>
      <c r="Y643" s="147"/>
      <c r="AJ643" s="147"/>
      <c r="AU643" s="147"/>
      <c r="AZ643" s="147"/>
      <c r="BC643" s="147"/>
    </row>
    <row r="644">
      <c r="J644" s="146"/>
      <c r="N644" s="147"/>
      <c r="Y644" s="147"/>
      <c r="AJ644" s="147"/>
      <c r="AU644" s="147"/>
      <c r="AZ644" s="147"/>
      <c r="BC644" s="147"/>
    </row>
    <row r="645">
      <c r="J645" s="146"/>
      <c r="N645" s="147"/>
      <c r="Y645" s="147"/>
      <c r="AJ645" s="147"/>
      <c r="AU645" s="147"/>
      <c r="AZ645" s="147"/>
      <c r="BC645" s="147"/>
    </row>
    <row r="646">
      <c r="J646" s="146"/>
      <c r="N646" s="147"/>
      <c r="Y646" s="147"/>
      <c r="AJ646" s="147"/>
      <c r="AU646" s="147"/>
      <c r="AZ646" s="147"/>
      <c r="BC646" s="147"/>
    </row>
    <row r="647">
      <c r="J647" s="146"/>
      <c r="N647" s="147"/>
      <c r="Y647" s="147"/>
      <c r="AJ647" s="147"/>
      <c r="AU647" s="147"/>
      <c r="AZ647" s="147"/>
      <c r="BC647" s="147"/>
    </row>
    <row r="648">
      <c r="J648" s="146"/>
      <c r="N648" s="147"/>
      <c r="Y648" s="147"/>
      <c r="AJ648" s="147"/>
      <c r="AU648" s="147"/>
      <c r="AZ648" s="147"/>
      <c r="BC648" s="147"/>
    </row>
    <row r="649">
      <c r="J649" s="146"/>
      <c r="N649" s="147"/>
      <c r="Y649" s="147"/>
      <c r="AJ649" s="147"/>
      <c r="AU649" s="147"/>
      <c r="AZ649" s="147"/>
      <c r="BC649" s="147"/>
    </row>
    <row r="650">
      <c r="J650" s="146"/>
      <c r="N650" s="147"/>
      <c r="Y650" s="147"/>
      <c r="AJ650" s="147"/>
      <c r="AU650" s="147"/>
      <c r="AZ650" s="147"/>
      <c r="BC650" s="147"/>
    </row>
    <row r="651">
      <c r="J651" s="146"/>
      <c r="N651" s="147"/>
      <c r="Y651" s="147"/>
      <c r="AJ651" s="147"/>
      <c r="AU651" s="147"/>
      <c r="AZ651" s="147"/>
      <c r="BC651" s="147"/>
    </row>
    <row r="652">
      <c r="J652" s="146"/>
      <c r="N652" s="147"/>
      <c r="Y652" s="147"/>
      <c r="AJ652" s="147"/>
      <c r="AU652" s="147"/>
      <c r="AZ652" s="147"/>
      <c r="BC652" s="147"/>
    </row>
    <row r="653">
      <c r="J653" s="146"/>
      <c r="N653" s="147"/>
      <c r="Y653" s="147"/>
      <c r="AJ653" s="147"/>
      <c r="AU653" s="147"/>
      <c r="AZ653" s="147"/>
      <c r="BC653" s="147"/>
    </row>
    <row r="654">
      <c r="J654" s="146"/>
      <c r="N654" s="147"/>
      <c r="Y654" s="147"/>
      <c r="AJ654" s="147"/>
      <c r="AU654" s="147"/>
      <c r="AZ654" s="147"/>
      <c r="BC654" s="147"/>
    </row>
    <row r="655">
      <c r="J655" s="146"/>
      <c r="N655" s="147"/>
      <c r="Y655" s="147"/>
      <c r="AJ655" s="147"/>
      <c r="AU655" s="147"/>
      <c r="AZ655" s="147"/>
      <c r="BC655" s="147"/>
    </row>
    <row r="656">
      <c r="J656" s="146"/>
      <c r="N656" s="147"/>
      <c r="Y656" s="147"/>
      <c r="AJ656" s="147"/>
      <c r="AU656" s="147"/>
      <c r="AZ656" s="147"/>
      <c r="BC656" s="147"/>
    </row>
    <row r="657">
      <c r="J657" s="146"/>
      <c r="N657" s="147"/>
      <c r="Y657" s="147"/>
      <c r="AJ657" s="147"/>
      <c r="AU657" s="147"/>
      <c r="AZ657" s="147"/>
      <c r="BC657" s="147"/>
    </row>
    <row r="658">
      <c r="J658" s="146"/>
      <c r="N658" s="147"/>
      <c r="Y658" s="147"/>
      <c r="AJ658" s="147"/>
      <c r="AU658" s="147"/>
      <c r="AZ658" s="147"/>
      <c r="BC658" s="147"/>
    </row>
    <row r="659">
      <c r="J659" s="146"/>
      <c r="N659" s="147"/>
      <c r="Y659" s="147"/>
      <c r="AJ659" s="147"/>
      <c r="AU659" s="147"/>
      <c r="AZ659" s="147"/>
      <c r="BC659" s="147"/>
    </row>
    <row r="660">
      <c r="J660" s="146"/>
      <c r="N660" s="147"/>
      <c r="Y660" s="147"/>
      <c r="AJ660" s="147"/>
      <c r="AU660" s="147"/>
      <c r="AZ660" s="147"/>
      <c r="BC660" s="147"/>
    </row>
    <row r="661">
      <c r="J661" s="146"/>
      <c r="N661" s="147"/>
      <c r="Y661" s="147"/>
      <c r="AJ661" s="147"/>
      <c r="AU661" s="147"/>
      <c r="AZ661" s="147"/>
      <c r="BC661" s="147"/>
    </row>
    <row r="662">
      <c r="J662" s="146"/>
      <c r="N662" s="147"/>
      <c r="Y662" s="147"/>
      <c r="AJ662" s="147"/>
      <c r="AU662" s="147"/>
      <c r="AZ662" s="147"/>
      <c r="BC662" s="147"/>
    </row>
    <row r="663">
      <c r="J663" s="146"/>
      <c r="N663" s="147"/>
      <c r="Y663" s="147"/>
      <c r="AJ663" s="147"/>
      <c r="AU663" s="147"/>
      <c r="AZ663" s="147"/>
      <c r="BC663" s="147"/>
    </row>
    <row r="664">
      <c r="J664" s="146"/>
      <c r="N664" s="147"/>
      <c r="Y664" s="147"/>
      <c r="AJ664" s="147"/>
      <c r="AU664" s="147"/>
      <c r="AZ664" s="147"/>
      <c r="BC664" s="147"/>
    </row>
    <row r="665">
      <c r="J665" s="146"/>
      <c r="N665" s="147"/>
      <c r="Y665" s="147"/>
      <c r="AJ665" s="147"/>
      <c r="AU665" s="147"/>
      <c r="AZ665" s="147"/>
      <c r="BC665" s="147"/>
    </row>
    <row r="666">
      <c r="J666" s="146"/>
      <c r="N666" s="147"/>
      <c r="Y666" s="147"/>
      <c r="AJ666" s="147"/>
      <c r="AU666" s="147"/>
      <c r="AZ666" s="147"/>
      <c r="BC666" s="147"/>
    </row>
    <row r="667">
      <c r="J667" s="146"/>
      <c r="N667" s="147"/>
      <c r="Y667" s="147"/>
      <c r="AJ667" s="147"/>
      <c r="AU667" s="147"/>
      <c r="AZ667" s="147"/>
      <c r="BC667" s="147"/>
    </row>
    <row r="668">
      <c r="J668" s="146"/>
      <c r="N668" s="147"/>
      <c r="Y668" s="147"/>
      <c r="AJ668" s="147"/>
      <c r="AU668" s="147"/>
      <c r="AZ668" s="147"/>
      <c r="BC668" s="147"/>
    </row>
    <row r="669">
      <c r="J669" s="146"/>
      <c r="N669" s="147"/>
      <c r="Y669" s="147"/>
      <c r="AJ669" s="147"/>
      <c r="AU669" s="147"/>
      <c r="AZ669" s="147"/>
      <c r="BC669" s="147"/>
    </row>
    <row r="670">
      <c r="J670" s="146"/>
      <c r="N670" s="147"/>
      <c r="Y670" s="147"/>
      <c r="AJ670" s="147"/>
      <c r="AU670" s="147"/>
      <c r="AZ670" s="147"/>
      <c r="BC670" s="147"/>
    </row>
    <row r="671">
      <c r="J671" s="146"/>
      <c r="N671" s="147"/>
      <c r="Y671" s="147"/>
      <c r="AJ671" s="147"/>
      <c r="AU671" s="147"/>
      <c r="AZ671" s="147"/>
      <c r="BC671" s="147"/>
    </row>
    <row r="672">
      <c r="J672" s="146"/>
      <c r="N672" s="147"/>
      <c r="Y672" s="147"/>
      <c r="AJ672" s="147"/>
      <c r="AU672" s="147"/>
      <c r="AZ672" s="147"/>
      <c r="BC672" s="147"/>
    </row>
    <row r="673">
      <c r="J673" s="146"/>
      <c r="N673" s="147"/>
      <c r="Y673" s="147"/>
      <c r="AJ673" s="147"/>
      <c r="AU673" s="147"/>
      <c r="AZ673" s="147"/>
      <c r="BC673" s="147"/>
    </row>
    <row r="674">
      <c r="J674" s="146"/>
      <c r="N674" s="147"/>
      <c r="Y674" s="147"/>
      <c r="AJ674" s="147"/>
      <c r="AU674" s="147"/>
      <c r="AZ674" s="147"/>
      <c r="BC674" s="147"/>
    </row>
    <row r="675">
      <c r="J675" s="146"/>
      <c r="N675" s="147"/>
      <c r="Y675" s="147"/>
      <c r="AJ675" s="147"/>
      <c r="AU675" s="147"/>
      <c r="AZ675" s="147"/>
      <c r="BC675" s="147"/>
    </row>
    <row r="676">
      <c r="J676" s="146"/>
      <c r="N676" s="147"/>
      <c r="Y676" s="147"/>
      <c r="AJ676" s="147"/>
      <c r="AU676" s="147"/>
      <c r="AZ676" s="147"/>
      <c r="BC676" s="147"/>
    </row>
    <row r="677">
      <c r="J677" s="146"/>
      <c r="N677" s="147"/>
      <c r="Y677" s="147"/>
      <c r="AJ677" s="147"/>
      <c r="AU677" s="147"/>
      <c r="AZ677" s="147"/>
      <c r="BC677" s="147"/>
    </row>
    <row r="678">
      <c r="J678" s="146"/>
      <c r="N678" s="147"/>
      <c r="Y678" s="147"/>
      <c r="AJ678" s="147"/>
      <c r="AU678" s="147"/>
      <c r="AZ678" s="147"/>
      <c r="BC678" s="147"/>
    </row>
    <row r="679">
      <c r="J679" s="146"/>
      <c r="N679" s="147"/>
      <c r="Y679" s="147"/>
      <c r="AJ679" s="147"/>
      <c r="AU679" s="147"/>
      <c r="AZ679" s="147"/>
      <c r="BC679" s="147"/>
    </row>
    <row r="680">
      <c r="J680" s="146"/>
      <c r="N680" s="147"/>
      <c r="Y680" s="147"/>
      <c r="AJ680" s="147"/>
      <c r="AU680" s="147"/>
      <c r="AZ680" s="147"/>
      <c r="BC680" s="147"/>
    </row>
    <row r="681">
      <c r="J681" s="146"/>
      <c r="N681" s="147"/>
      <c r="Y681" s="147"/>
      <c r="AJ681" s="147"/>
      <c r="AU681" s="147"/>
      <c r="AZ681" s="147"/>
      <c r="BC681" s="147"/>
    </row>
    <row r="682">
      <c r="J682" s="146"/>
      <c r="N682" s="147"/>
      <c r="Y682" s="147"/>
      <c r="AJ682" s="147"/>
      <c r="AU682" s="147"/>
      <c r="AZ682" s="147"/>
      <c r="BC682" s="147"/>
    </row>
    <row r="683">
      <c r="J683" s="146"/>
      <c r="N683" s="147"/>
      <c r="Y683" s="147"/>
      <c r="AJ683" s="147"/>
      <c r="AU683" s="147"/>
      <c r="AZ683" s="147"/>
      <c r="BC683" s="147"/>
    </row>
    <row r="684">
      <c r="J684" s="146"/>
      <c r="N684" s="147"/>
      <c r="Y684" s="147"/>
      <c r="AJ684" s="147"/>
      <c r="AU684" s="147"/>
      <c r="AZ684" s="147"/>
      <c r="BC684" s="147"/>
    </row>
    <row r="685">
      <c r="J685" s="146"/>
      <c r="N685" s="147"/>
      <c r="Y685" s="147"/>
      <c r="AJ685" s="147"/>
      <c r="AU685" s="147"/>
      <c r="AZ685" s="147"/>
      <c r="BC685" s="147"/>
    </row>
    <row r="686">
      <c r="J686" s="146"/>
      <c r="N686" s="147"/>
      <c r="Y686" s="147"/>
      <c r="AJ686" s="147"/>
      <c r="AU686" s="147"/>
      <c r="AZ686" s="147"/>
      <c r="BC686" s="147"/>
    </row>
    <row r="687">
      <c r="J687" s="146"/>
      <c r="N687" s="147"/>
      <c r="Y687" s="147"/>
      <c r="AJ687" s="147"/>
      <c r="AU687" s="147"/>
      <c r="AZ687" s="147"/>
      <c r="BC687" s="147"/>
    </row>
    <row r="688">
      <c r="J688" s="146"/>
      <c r="N688" s="147"/>
      <c r="Y688" s="147"/>
      <c r="AJ688" s="147"/>
      <c r="AU688" s="147"/>
      <c r="AZ688" s="147"/>
      <c r="BC688" s="147"/>
    </row>
    <row r="689">
      <c r="J689" s="146"/>
      <c r="N689" s="147"/>
      <c r="Y689" s="147"/>
      <c r="AJ689" s="147"/>
      <c r="AU689" s="147"/>
      <c r="AZ689" s="147"/>
      <c r="BC689" s="147"/>
    </row>
    <row r="690">
      <c r="J690" s="146"/>
      <c r="N690" s="147"/>
      <c r="Y690" s="147"/>
      <c r="AJ690" s="147"/>
      <c r="AU690" s="147"/>
      <c r="AZ690" s="147"/>
      <c r="BC690" s="147"/>
    </row>
    <row r="691">
      <c r="J691" s="146"/>
      <c r="N691" s="147"/>
      <c r="Y691" s="147"/>
      <c r="AJ691" s="147"/>
      <c r="AU691" s="147"/>
      <c r="AZ691" s="147"/>
      <c r="BC691" s="147"/>
    </row>
    <row r="692">
      <c r="J692" s="146"/>
      <c r="N692" s="147"/>
      <c r="Y692" s="147"/>
      <c r="AJ692" s="147"/>
      <c r="AU692" s="147"/>
      <c r="AZ692" s="147"/>
      <c r="BC692" s="147"/>
    </row>
    <row r="693">
      <c r="J693" s="146"/>
      <c r="N693" s="147"/>
      <c r="Y693" s="147"/>
      <c r="AJ693" s="147"/>
      <c r="AU693" s="147"/>
      <c r="AZ693" s="147"/>
      <c r="BC693" s="147"/>
    </row>
    <row r="694">
      <c r="J694" s="146"/>
      <c r="N694" s="147"/>
      <c r="Y694" s="147"/>
      <c r="AJ694" s="147"/>
      <c r="AU694" s="147"/>
      <c r="AZ694" s="147"/>
      <c r="BC694" s="147"/>
    </row>
    <row r="695">
      <c r="J695" s="146"/>
      <c r="N695" s="147"/>
      <c r="Y695" s="147"/>
      <c r="AJ695" s="147"/>
      <c r="AU695" s="147"/>
      <c r="AZ695" s="147"/>
      <c r="BC695" s="147"/>
    </row>
    <row r="696">
      <c r="J696" s="146"/>
      <c r="N696" s="147"/>
      <c r="Y696" s="147"/>
      <c r="AJ696" s="147"/>
      <c r="AU696" s="147"/>
      <c r="AZ696" s="147"/>
      <c r="BC696" s="147"/>
    </row>
    <row r="697">
      <c r="J697" s="146"/>
      <c r="N697" s="147"/>
      <c r="Y697" s="147"/>
      <c r="AJ697" s="147"/>
      <c r="AU697" s="147"/>
      <c r="AZ697" s="147"/>
      <c r="BC697" s="147"/>
    </row>
    <row r="698">
      <c r="J698" s="146"/>
      <c r="N698" s="147"/>
      <c r="Y698" s="147"/>
      <c r="AJ698" s="147"/>
      <c r="AU698" s="147"/>
      <c r="AZ698" s="147"/>
      <c r="BC698" s="147"/>
    </row>
    <row r="699">
      <c r="J699" s="146"/>
      <c r="N699" s="147"/>
      <c r="Y699" s="147"/>
      <c r="AJ699" s="147"/>
      <c r="AU699" s="147"/>
      <c r="AZ699" s="147"/>
      <c r="BC699" s="147"/>
    </row>
    <row r="700">
      <c r="J700" s="146"/>
      <c r="N700" s="147"/>
      <c r="Y700" s="147"/>
      <c r="AJ700" s="147"/>
      <c r="AU700" s="147"/>
      <c r="AZ700" s="147"/>
      <c r="BC700" s="147"/>
    </row>
    <row r="701">
      <c r="J701" s="146"/>
      <c r="N701" s="147"/>
      <c r="Y701" s="147"/>
      <c r="AJ701" s="147"/>
      <c r="AU701" s="147"/>
      <c r="AZ701" s="147"/>
      <c r="BC701" s="147"/>
    </row>
    <row r="702">
      <c r="J702" s="146"/>
      <c r="N702" s="147"/>
      <c r="Y702" s="147"/>
      <c r="AJ702" s="147"/>
      <c r="AU702" s="147"/>
      <c r="AZ702" s="147"/>
      <c r="BC702" s="147"/>
    </row>
    <row r="703">
      <c r="J703" s="146"/>
      <c r="N703" s="147"/>
      <c r="Y703" s="147"/>
      <c r="AJ703" s="147"/>
      <c r="AU703" s="147"/>
      <c r="AZ703" s="147"/>
      <c r="BC703" s="147"/>
    </row>
    <row r="704">
      <c r="J704" s="146"/>
      <c r="N704" s="147"/>
      <c r="Y704" s="147"/>
      <c r="AJ704" s="147"/>
      <c r="AU704" s="147"/>
      <c r="AZ704" s="147"/>
      <c r="BC704" s="147"/>
    </row>
    <row r="705">
      <c r="J705" s="146"/>
      <c r="N705" s="147"/>
      <c r="Y705" s="147"/>
      <c r="AJ705" s="147"/>
      <c r="AU705" s="147"/>
      <c r="AZ705" s="147"/>
      <c r="BC705" s="147"/>
    </row>
    <row r="706">
      <c r="J706" s="146"/>
      <c r="N706" s="147"/>
      <c r="Y706" s="147"/>
      <c r="AJ706" s="147"/>
      <c r="AU706" s="147"/>
      <c r="AZ706" s="147"/>
      <c r="BC706" s="147"/>
    </row>
    <row r="707">
      <c r="J707" s="146"/>
      <c r="N707" s="147"/>
      <c r="Y707" s="147"/>
      <c r="AJ707" s="147"/>
      <c r="AU707" s="147"/>
      <c r="AZ707" s="147"/>
      <c r="BC707" s="147"/>
    </row>
    <row r="708">
      <c r="J708" s="146"/>
      <c r="N708" s="147"/>
      <c r="Y708" s="147"/>
      <c r="AJ708" s="147"/>
      <c r="AU708" s="147"/>
      <c r="AZ708" s="147"/>
      <c r="BC708" s="147"/>
    </row>
    <row r="709">
      <c r="J709" s="146"/>
      <c r="N709" s="147"/>
      <c r="Y709" s="147"/>
      <c r="AJ709" s="147"/>
      <c r="AU709" s="147"/>
      <c r="AZ709" s="147"/>
      <c r="BC709" s="147"/>
    </row>
    <row r="710">
      <c r="J710" s="146"/>
      <c r="N710" s="147"/>
      <c r="Y710" s="147"/>
      <c r="AJ710" s="147"/>
      <c r="AU710" s="147"/>
      <c r="AZ710" s="147"/>
      <c r="BC710" s="147"/>
    </row>
    <row r="711">
      <c r="J711" s="146"/>
      <c r="N711" s="147"/>
      <c r="Y711" s="147"/>
      <c r="AJ711" s="147"/>
      <c r="AU711" s="147"/>
      <c r="AZ711" s="147"/>
      <c r="BC711" s="147"/>
    </row>
    <row r="712">
      <c r="J712" s="146"/>
      <c r="N712" s="147"/>
      <c r="Y712" s="147"/>
      <c r="AJ712" s="147"/>
      <c r="AU712" s="147"/>
      <c r="AZ712" s="147"/>
      <c r="BC712" s="147"/>
    </row>
    <row r="713">
      <c r="J713" s="146"/>
      <c r="N713" s="147"/>
      <c r="Y713" s="147"/>
      <c r="AJ713" s="147"/>
      <c r="AU713" s="147"/>
      <c r="AZ713" s="147"/>
      <c r="BC713" s="147"/>
    </row>
    <row r="714">
      <c r="J714" s="146"/>
      <c r="N714" s="147"/>
      <c r="Y714" s="147"/>
      <c r="AJ714" s="147"/>
      <c r="AU714" s="147"/>
      <c r="AZ714" s="147"/>
      <c r="BC714" s="147"/>
    </row>
    <row r="715">
      <c r="J715" s="146"/>
      <c r="N715" s="147"/>
      <c r="Y715" s="147"/>
      <c r="AJ715" s="147"/>
      <c r="AU715" s="147"/>
      <c r="AZ715" s="147"/>
      <c r="BC715" s="147"/>
    </row>
    <row r="716">
      <c r="J716" s="146"/>
      <c r="N716" s="147"/>
      <c r="Y716" s="147"/>
      <c r="AJ716" s="147"/>
      <c r="AU716" s="147"/>
      <c r="AZ716" s="147"/>
      <c r="BC716" s="147"/>
    </row>
    <row r="717">
      <c r="J717" s="146"/>
      <c r="N717" s="147"/>
      <c r="Y717" s="147"/>
      <c r="AJ717" s="147"/>
      <c r="AU717" s="147"/>
      <c r="AZ717" s="147"/>
      <c r="BC717" s="147"/>
    </row>
    <row r="718">
      <c r="J718" s="146"/>
      <c r="N718" s="147"/>
      <c r="Y718" s="147"/>
      <c r="AJ718" s="147"/>
      <c r="AU718" s="147"/>
      <c r="AZ718" s="147"/>
      <c r="BC718" s="147"/>
    </row>
    <row r="719">
      <c r="J719" s="146"/>
      <c r="N719" s="147"/>
      <c r="Y719" s="147"/>
      <c r="AJ719" s="147"/>
      <c r="AU719" s="147"/>
      <c r="AZ719" s="147"/>
      <c r="BC719" s="147"/>
    </row>
    <row r="720">
      <c r="J720" s="146"/>
      <c r="N720" s="147"/>
      <c r="Y720" s="147"/>
      <c r="AJ720" s="147"/>
      <c r="AU720" s="147"/>
      <c r="AZ720" s="147"/>
      <c r="BC720" s="147"/>
    </row>
    <row r="721">
      <c r="J721" s="146"/>
      <c r="N721" s="147"/>
      <c r="Y721" s="147"/>
      <c r="AJ721" s="147"/>
      <c r="AU721" s="147"/>
      <c r="AZ721" s="147"/>
      <c r="BC721" s="147"/>
    </row>
    <row r="722">
      <c r="J722" s="146"/>
      <c r="N722" s="147"/>
      <c r="Y722" s="147"/>
      <c r="AJ722" s="147"/>
      <c r="AU722" s="147"/>
      <c r="AZ722" s="147"/>
      <c r="BC722" s="147"/>
    </row>
    <row r="723">
      <c r="J723" s="146"/>
      <c r="N723" s="147"/>
      <c r="Y723" s="147"/>
      <c r="AJ723" s="147"/>
      <c r="AU723" s="147"/>
      <c r="AZ723" s="147"/>
      <c r="BC723" s="147"/>
    </row>
    <row r="724">
      <c r="J724" s="146"/>
      <c r="N724" s="147"/>
      <c r="Y724" s="147"/>
      <c r="AJ724" s="147"/>
      <c r="AU724" s="147"/>
      <c r="AZ724" s="147"/>
      <c r="BC724" s="147"/>
    </row>
    <row r="725">
      <c r="J725" s="146"/>
      <c r="N725" s="147"/>
      <c r="Y725" s="147"/>
      <c r="AJ725" s="147"/>
      <c r="AU725" s="147"/>
      <c r="AZ725" s="147"/>
      <c r="BC725" s="147"/>
    </row>
    <row r="726">
      <c r="J726" s="146"/>
      <c r="N726" s="147"/>
      <c r="Y726" s="147"/>
      <c r="AJ726" s="147"/>
      <c r="AU726" s="147"/>
      <c r="AZ726" s="147"/>
      <c r="BC726" s="147"/>
    </row>
    <row r="727">
      <c r="J727" s="146"/>
      <c r="N727" s="147"/>
      <c r="Y727" s="147"/>
      <c r="AJ727" s="147"/>
      <c r="AU727" s="147"/>
      <c r="AZ727" s="147"/>
      <c r="BC727" s="147"/>
    </row>
    <row r="728">
      <c r="J728" s="146"/>
      <c r="N728" s="147"/>
      <c r="Y728" s="147"/>
      <c r="AJ728" s="147"/>
      <c r="AU728" s="147"/>
      <c r="AZ728" s="147"/>
      <c r="BC728" s="147"/>
    </row>
    <row r="729">
      <c r="J729" s="146"/>
      <c r="N729" s="147"/>
      <c r="Y729" s="147"/>
      <c r="AJ729" s="147"/>
      <c r="AU729" s="147"/>
      <c r="AZ729" s="147"/>
      <c r="BC729" s="147"/>
    </row>
    <row r="730">
      <c r="J730" s="146"/>
      <c r="N730" s="147"/>
      <c r="Y730" s="147"/>
      <c r="AJ730" s="147"/>
      <c r="AU730" s="147"/>
      <c r="AZ730" s="147"/>
      <c r="BC730" s="147"/>
    </row>
    <row r="731">
      <c r="J731" s="146"/>
      <c r="N731" s="147"/>
      <c r="Y731" s="147"/>
      <c r="AJ731" s="147"/>
      <c r="AU731" s="147"/>
      <c r="AZ731" s="147"/>
      <c r="BC731" s="147"/>
    </row>
    <row r="732">
      <c r="J732" s="146"/>
      <c r="N732" s="147"/>
      <c r="Y732" s="147"/>
      <c r="AJ732" s="147"/>
      <c r="AU732" s="147"/>
      <c r="AZ732" s="147"/>
      <c r="BC732" s="147"/>
    </row>
    <row r="733">
      <c r="J733" s="146"/>
      <c r="N733" s="147"/>
      <c r="Y733" s="147"/>
      <c r="AJ733" s="147"/>
      <c r="AU733" s="147"/>
      <c r="AZ733" s="147"/>
      <c r="BC733" s="147"/>
    </row>
    <row r="734">
      <c r="J734" s="146"/>
      <c r="N734" s="147"/>
      <c r="Y734" s="147"/>
      <c r="AJ734" s="147"/>
      <c r="AU734" s="147"/>
      <c r="AZ734" s="147"/>
      <c r="BC734" s="147"/>
    </row>
    <row r="735">
      <c r="J735" s="146"/>
      <c r="N735" s="147"/>
      <c r="Y735" s="147"/>
      <c r="AJ735" s="147"/>
      <c r="AU735" s="147"/>
      <c r="AZ735" s="147"/>
      <c r="BC735" s="147"/>
    </row>
    <row r="736">
      <c r="J736" s="146"/>
      <c r="N736" s="147"/>
      <c r="Y736" s="147"/>
      <c r="AJ736" s="147"/>
      <c r="AU736" s="147"/>
      <c r="AZ736" s="147"/>
      <c r="BC736" s="147"/>
    </row>
    <row r="737">
      <c r="J737" s="146"/>
      <c r="N737" s="147"/>
      <c r="Y737" s="147"/>
      <c r="AJ737" s="147"/>
      <c r="AU737" s="147"/>
      <c r="AZ737" s="147"/>
      <c r="BC737" s="147"/>
    </row>
    <row r="738">
      <c r="J738" s="146"/>
      <c r="N738" s="147"/>
      <c r="Y738" s="147"/>
      <c r="AJ738" s="147"/>
      <c r="AU738" s="147"/>
      <c r="AZ738" s="147"/>
      <c r="BC738" s="147"/>
    </row>
    <row r="739">
      <c r="J739" s="146"/>
      <c r="N739" s="147"/>
      <c r="Y739" s="147"/>
      <c r="AJ739" s="147"/>
      <c r="AU739" s="147"/>
      <c r="AZ739" s="147"/>
      <c r="BC739" s="147"/>
    </row>
    <row r="740">
      <c r="J740" s="146"/>
      <c r="N740" s="147"/>
      <c r="Y740" s="147"/>
      <c r="AJ740" s="147"/>
      <c r="AU740" s="147"/>
      <c r="AZ740" s="147"/>
      <c r="BC740" s="147"/>
    </row>
    <row r="741">
      <c r="J741" s="146"/>
      <c r="N741" s="147"/>
      <c r="Y741" s="147"/>
      <c r="AJ741" s="147"/>
      <c r="AU741" s="147"/>
      <c r="AZ741" s="147"/>
      <c r="BC741" s="147"/>
    </row>
    <row r="742">
      <c r="J742" s="146"/>
      <c r="N742" s="147"/>
      <c r="Y742" s="147"/>
      <c r="AJ742" s="147"/>
      <c r="AU742" s="147"/>
      <c r="AZ742" s="147"/>
      <c r="BC742" s="147"/>
    </row>
    <row r="743">
      <c r="J743" s="146"/>
      <c r="N743" s="147"/>
      <c r="Y743" s="147"/>
      <c r="AJ743" s="147"/>
      <c r="AU743" s="147"/>
      <c r="AZ743" s="147"/>
      <c r="BC743" s="147"/>
    </row>
    <row r="744">
      <c r="J744" s="146"/>
      <c r="N744" s="147"/>
      <c r="Y744" s="147"/>
      <c r="AJ744" s="147"/>
      <c r="AU744" s="147"/>
      <c r="AZ744" s="147"/>
      <c r="BC744" s="147"/>
    </row>
    <row r="745">
      <c r="J745" s="146"/>
      <c r="N745" s="147"/>
      <c r="Y745" s="147"/>
      <c r="AJ745" s="147"/>
      <c r="AU745" s="147"/>
      <c r="AZ745" s="147"/>
      <c r="BC745" s="147"/>
    </row>
    <row r="746">
      <c r="J746" s="146"/>
      <c r="N746" s="147"/>
      <c r="Y746" s="147"/>
      <c r="AJ746" s="147"/>
      <c r="AU746" s="147"/>
      <c r="AZ746" s="147"/>
      <c r="BC746" s="147"/>
    </row>
    <row r="747">
      <c r="J747" s="146"/>
      <c r="N747" s="147"/>
      <c r="Y747" s="147"/>
      <c r="AJ747" s="147"/>
      <c r="AU747" s="147"/>
      <c r="AZ747" s="147"/>
      <c r="BC747" s="147"/>
    </row>
    <row r="748">
      <c r="J748" s="146"/>
      <c r="N748" s="147"/>
      <c r="Y748" s="147"/>
      <c r="AJ748" s="147"/>
      <c r="AU748" s="147"/>
      <c r="AZ748" s="147"/>
      <c r="BC748" s="147"/>
    </row>
    <row r="749">
      <c r="J749" s="146"/>
      <c r="N749" s="147"/>
      <c r="Y749" s="147"/>
      <c r="AJ749" s="147"/>
      <c r="AU749" s="147"/>
      <c r="AZ749" s="147"/>
      <c r="BC749" s="147"/>
    </row>
    <row r="750">
      <c r="J750" s="146"/>
      <c r="N750" s="147"/>
      <c r="Y750" s="147"/>
      <c r="AJ750" s="147"/>
      <c r="AU750" s="147"/>
      <c r="AZ750" s="147"/>
      <c r="BC750" s="147"/>
    </row>
    <row r="751">
      <c r="J751" s="146"/>
      <c r="N751" s="147"/>
      <c r="Y751" s="147"/>
      <c r="AJ751" s="147"/>
      <c r="AU751" s="147"/>
      <c r="AZ751" s="147"/>
      <c r="BC751" s="147"/>
    </row>
    <row r="752">
      <c r="J752" s="146"/>
      <c r="N752" s="147"/>
      <c r="Y752" s="147"/>
      <c r="AJ752" s="147"/>
      <c r="AU752" s="147"/>
      <c r="AZ752" s="147"/>
      <c r="BC752" s="147"/>
    </row>
    <row r="753">
      <c r="J753" s="146"/>
      <c r="N753" s="147"/>
      <c r="Y753" s="147"/>
      <c r="AJ753" s="147"/>
      <c r="AU753" s="147"/>
      <c r="AZ753" s="147"/>
      <c r="BC753" s="147"/>
    </row>
    <row r="754">
      <c r="J754" s="146"/>
      <c r="N754" s="147"/>
      <c r="Y754" s="147"/>
      <c r="AJ754" s="147"/>
      <c r="AU754" s="147"/>
      <c r="AZ754" s="147"/>
      <c r="BC754" s="147"/>
    </row>
    <row r="755">
      <c r="J755" s="146"/>
      <c r="N755" s="147"/>
      <c r="Y755" s="147"/>
      <c r="AJ755" s="147"/>
      <c r="AU755" s="147"/>
      <c r="AZ755" s="147"/>
      <c r="BC755" s="147"/>
    </row>
    <row r="756">
      <c r="J756" s="146"/>
      <c r="N756" s="147"/>
      <c r="Y756" s="147"/>
      <c r="AJ756" s="147"/>
      <c r="AU756" s="147"/>
      <c r="AZ756" s="147"/>
      <c r="BC756" s="147"/>
    </row>
    <row r="757">
      <c r="J757" s="146"/>
      <c r="N757" s="147"/>
      <c r="Y757" s="147"/>
      <c r="AJ757" s="147"/>
      <c r="AU757" s="147"/>
      <c r="AZ757" s="147"/>
      <c r="BC757" s="147"/>
    </row>
    <row r="758">
      <c r="J758" s="146"/>
      <c r="N758" s="147"/>
      <c r="Y758" s="147"/>
      <c r="AJ758" s="147"/>
      <c r="AU758" s="147"/>
      <c r="AZ758" s="147"/>
      <c r="BC758" s="147"/>
    </row>
    <row r="759">
      <c r="J759" s="146"/>
      <c r="N759" s="147"/>
      <c r="Y759" s="147"/>
      <c r="AJ759" s="147"/>
      <c r="AU759" s="147"/>
      <c r="AZ759" s="147"/>
      <c r="BC759" s="147"/>
    </row>
    <row r="760">
      <c r="J760" s="146"/>
      <c r="N760" s="147"/>
      <c r="Y760" s="147"/>
      <c r="AJ760" s="147"/>
      <c r="AU760" s="147"/>
      <c r="AZ760" s="147"/>
      <c r="BC760" s="147"/>
    </row>
    <row r="761">
      <c r="J761" s="146"/>
      <c r="N761" s="147"/>
      <c r="Y761" s="147"/>
      <c r="AJ761" s="147"/>
      <c r="AU761" s="147"/>
      <c r="AZ761" s="147"/>
      <c r="BC761" s="147"/>
    </row>
    <row r="762">
      <c r="J762" s="146"/>
      <c r="N762" s="147"/>
      <c r="Y762" s="147"/>
      <c r="AJ762" s="147"/>
      <c r="AU762" s="147"/>
      <c r="AZ762" s="147"/>
      <c r="BC762" s="147"/>
    </row>
    <row r="763">
      <c r="J763" s="146"/>
      <c r="N763" s="147"/>
      <c r="Y763" s="147"/>
      <c r="AJ763" s="147"/>
      <c r="AU763" s="147"/>
      <c r="AZ763" s="147"/>
      <c r="BC763" s="147"/>
    </row>
    <row r="764">
      <c r="J764" s="146"/>
      <c r="N764" s="147"/>
      <c r="Y764" s="147"/>
      <c r="AJ764" s="147"/>
      <c r="AU764" s="147"/>
      <c r="AZ764" s="147"/>
      <c r="BC764" s="147"/>
    </row>
    <row r="765">
      <c r="J765" s="146"/>
      <c r="N765" s="147"/>
      <c r="Y765" s="147"/>
      <c r="AJ765" s="147"/>
      <c r="AU765" s="147"/>
      <c r="AZ765" s="147"/>
      <c r="BC765" s="147"/>
    </row>
    <row r="766">
      <c r="J766" s="146"/>
      <c r="N766" s="147"/>
      <c r="Y766" s="147"/>
      <c r="AJ766" s="147"/>
      <c r="AU766" s="147"/>
      <c r="AZ766" s="147"/>
      <c r="BC766" s="147"/>
    </row>
    <row r="767">
      <c r="J767" s="146"/>
      <c r="N767" s="147"/>
      <c r="Y767" s="147"/>
      <c r="AJ767" s="147"/>
      <c r="AU767" s="147"/>
      <c r="AZ767" s="147"/>
      <c r="BC767" s="147"/>
    </row>
    <row r="768">
      <c r="J768" s="146"/>
      <c r="N768" s="147"/>
      <c r="Y768" s="147"/>
      <c r="AJ768" s="147"/>
      <c r="AU768" s="147"/>
      <c r="AZ768" s="147"/>
      <c r="BC768" s="147"/>
    </row>
    <row r="769">
      <c r="J769" s="146"/>
      <c r="N769" s="147"/>
      <c r="Y769" s="147"/>
      <c r="AJ769" s="147"/>
      <c r="AU769" s="147"/>
      <c r="AZ769" s="147"/>
      <c r="BC769" s="147"/>
    </row>
    <row r="770">
      <c r="J770" s="146"/>
      <c r="N770" s="147"/>
      <c r="Y770" s="147"/>
      <c r="AJ770" s="147"/>
      <c r="AU770" s="147"/>
      <c r="AZ770" s="147"/>
      <c r="BC770" s="147"/>
    </row>
    <row r="771">
      <c r="J771" s="146"/>
      <c r="N771" s="147"/>
      <c r="Y771" s="147"/>
      <c r="AJ771" s="147"/>
      <c r="AU771" s="147"/>
      <c r="AZ771" s="147"/>
      <c r="BC771" s="147"/>
    </row>
    <row r="772">
      <c r="J772" s="146"/>
      <c r="N772" s="147"/>
      <c r="Y772" s="147"/>
      <c r="AJ772" s="147"/>
      <c r="AU772" s="147"/>
      <c r="AZ772" s="147"/>
      <c r="BC772" s="147"/>
    </row>
    <row r="773">
      <c r="J773" s="146"/>
      <c r="N773" s="147"/>
      <c r="Y773" s="147"/>
      <c r="AJ773" s="147"/>
      <c r="AU773" s="147"/>
      <c r="AZ773" s="147"/>
      <c r="BC773" s="147"/>
    </row>
    <row r="774">
      <c r="J774" s="146"/>
      <c r="N774" s="147"/>
      <c r="Y774" s="147"/>
      <c r="AJ774" s="147"/>
      <c r="AU774" s="147"/>
      <c r="AZ774" s="147"/>
      <c r="BC774" s="147"/>
    </row>
    <row r="775">
      <c r="J775" s="146"/>
      <c r="N775" s="147"/>
      <c r="Y775" s="147"/>
      <c r="AJ775" s="147"/>
      <c r="AU775" s="147"/>
      <c r="AZ775" s="147"/>
      <c r="BC775" s="147"/>
    </row>
    <row r="776">
      <c r="J776" s="146"/>
      <c r="N776" s="147"/>
      <c r="Y776" s="147"/>
      <c r="AJ776" s="147"/>
      <c r="AU776" s="147"/>
      <c r="AZ776" s="147"/>
      <c r="BC776" s="147"/>
    </row>
    <row r="777">
      <c r="J777" s="146"/>
      <c r="N777" s="147"/>
      <c r="Y777" s="147"/>
      <c r="AJ777" s="147"/>
      <c r="AU777" s="147"/>
      <c r="AZ777" s="147"/>
      <c r="BC777" s="147"/>
    </row>
    <row r="778">
      <c r="J778" s="146"/>
      <c r="N778" s="147"/>
      <c r="Y778" s="147"/>
      <c r="AJ778" s="147"/>
      <c r="AU778" s="147"/>
      <c r="AZ778" s="147"/>
      <c r="BC778" s="147"/>
    </row>
    <row r="779">
      <c r="J779" s="146"/>
      <c r="N779" s="147"/>
      <c r="Y779" s="147"/>
      <c r="AJ779" s="147"/>
      <c r="AU779" s="147"/>
      <c r="AZ779" s="147"/>
      <c r="BC779" s="147"/>
    </row>
    <row r="780">
      <c r="J780" s="146"/>
      <c r="N780" s="147"/>
      <c r="Y780" s="147"/>
      <c r="AJ780" s="147"/>
      <c r="AU780" s="147"/>
      <c r="AZ780" s="147"/>
      <c r="BC780" s="147"/>
    </row>
    <row r="781">
      <c r="J781" s="146"/>
      <c r="N781" s="147"/>
      <c r="Y781" s="147"/>
      <c r="AJ781" s="147"/>
      <c r="AU781" s="147"/>
      <c r="AZ781" s="147"/>
      <c r="BC781" s="147"/>
    </row>
    <row r="782">
      <c r="J782" s="146"/>
      <c r="N782" s="147"/>
      <c r="Y782" s="147"/>
      <c r="AJ782" s="147"/>
      <c r="AU782" s="147"/>
      <c r="AZ782" s="147"/>
      <c r="BC782" s="147"/>
    </row>
    <row r="783">
      <c r="J783" s="146"/>
      <c r="N783" s="147"/>
      <c r="Y783" s="147"/>
      <c r="AJ783" s="147"/>
      <c r="AU783" s="147"/>
      <c r="AZ783" s="147"/>
      <c r="BC783" s="147"/>
    </row>
    <row r="784">
      <c r="J784" s="146"/>
      <c r="N784" s="147"/>
      <c r="Y784" s="147"/>
      <c r="AJ784" s="147"/>
      <c r="AU784" s="147"/>
      <c r="AZ784" s="147"/>
      <c r="BC784" s="147"/>
    </row>
    <row r="785">
      <c r="J785" s="146"/>
      <c r="N785" s="147"/>
      <c r="Y785" s="147"/>
      <c r="AJ785" s="147"/>
      <c r="AU785" s="147"/>
      <c r="AZ785" s="147"/>
      <c r="BC785" s="147"/>
    </row>
    <row r="786">
      <c r="J786" s="146"/>
      <c r="N786" s="147"/>
      <c r="Y786" s="147"/>
      <c r="AJ786" s="147"/>
      <c r="AU786" s="147"/>
      <c r="AZ786" s="147"/>
      <c r="BC786" s="147"/>
    </row>
    <row r="787">
      <c r="J787" s="146"/>
      <c r="N787" s="147"/>
      <c r="Y787" s="147"/>
      <c r="AJ787" s="147"/>
      <c r="AU787" s="147"/>
      <c r="AZ787" s="147"/>
      <c r="BC787" s="147"/>
    </row>
    <row r="788">
      <c r="J788" s="146"/>
      <c r="N788" s="147"/>
      <c r="Y788" s="147"/>
      <c r="AJ788" s="147"/>
      <c r="AU788" s="147"/>
      <c r="AZ788" s="147"/>
      <c r="BC788" s="147"/>
    </row>
    <row r="789">
      <c r="J789" s="146"/>
      <c r="N789" s="147"/>
      <c r="Y789" s="147"/>
      <c r="AJ789" s="147"/>
      <c r="AU789" s="147"/>
      <c r="AZ789" s="147"/>
      <c r="BC789" s="147"/>
    </row>
    <row r="790">
      <c r="J790" s="146"/>
      <c r="N790" s="147"/>
      <c r="Y790" s="147"/>
      <c r="AJ790" s="147"/>
      <c r="AU790" s="147"/>
      <c r="AZ790" s="147"/>
      <c r="BC790" s="147"/>
    </row>
    <row r="791">
      <c r="J791" s="146"/>
      <c r="N791" s="147"/>
      <c r="Y791" s="147"/>
      <c r="AJ791" s="147"/>
      <c r="AU791" s="147"/>
      <c r="AZ791" s="147"/>
      <c r="BC791" s="147"/>
    </row>
    <row r="792">
      <c r="J792" s="146"/>
      <c r="N792" s="147"/>
      <c r="Y792" s="147"/>
      <c r="AJ792" s="147"/>
      <c r="AU792" s="147"/>
      <c r="AZ792" s="147"/>
      <c r="BC792" s="147"/>
    </row>
    <row r="793">
      <c r="J793" s="146"/>
      <c r="N793" s="147"/>
      <c r="Y793" s="147"/>
      <c r="AJ793" s="147"/>
      <c r="AU793" s="147"/>
      <c r="AZ793" s="147"/>
      <c r="BC793" s="147"/>
    </row>
    <row r="794">
      <c r="J794" s="146"/>
      <c r="N794" s="147"/>
      <c r="Y794" s="147"/>
      <c r="AJ794" s="147"/>
      <c r="AU794" s="147"/>
      <c r="AZ794" s="147"/>
      <c r="BC794" s="147"/>
    </row>
    <row r="795">
      <c r="J795" s="146"/>
      <c r="N795" s="147"/>
      <c r="Y795" s="147"/>
      <c r="AJ795" s="147"/>
      <c r="AU795" s="147"/>
      <c r="AZ795" s="147"/>
      <c r="BC795" s="147"/>
    </row>
    <row r="796">
      <c r="J796" s="146"/>
      <c r="N796" s="147"/>
      <c r="Y796" s="147"/>
      <c r="AJ796" s="147"/>
      <c r="AU796" s="147"/>
      <c r="AZ796" s="147"/>
      <c r="BC796" s="147"/>
    </row>
    <row r="797">
      <c r="J797" s="146"/>
      <c r="N797" s="147"/>
      <c r="Y797" s="147"/>
      <c r="AJ797" s="147"/>
      <c r="AU797" s="147"/>
      <c r="AZ797" s="147"/>
      <c r="BC797" s="147"/>
    </row>
    <row r="798">
      <c r="J798" s="146"/>
      <c r="N798" s="147"/>
      <c r="Y798" s="147"/>
      <c r="AJ798" s="147"/>
      <c r="AU798" s="147"/>
      <c r="AZ798" s="147"/>
      <c r="BC798" s="147"/>
    </row>
    <row r="799">
      <c r="J799" s="146"/>
      <c r="N799" s="147"/>
      <c r="Y799" s="147"/>
      <c r="AJ799" s="147"/>
      <c r="AU799" s="147"/>
      <c r="AZ799" s="147"/>
      <c r="BC799" s="147"/>
    </row>
    <row r="800">
      <c r="J800" s="146"/>
      <c r="N800" s="147"/>
      <c r="Y800" s="147"/>
      <c r="AJ800" s="147"/>
      <c r="AU800" s="147"/>
      <c r="AZ800" s="147"/>
      <c r="BC800" s="147"/>
    </row>
    <row r="801">
      <c r="J801" s="146"/>
      <c r="N801" s="147"/>
      <c r="Y801" s="147"/>
      <c r="AJ801" s="147"/>
      <c r="AU801" s="147"/>
      <c r="AZ801" s="147"/>
      <c r="BC801" s="147"/>
    </row>
    <row r="802">
      <c r="J802" s="146"/>
      <c r="N802" s="147"/>
      <c r="Y802" s="147"/>
      <c r="AJ802" s="147"/>
      <c r="AU802" s="147"/>
      <c r="AZ802" s="147"/>
      <c r="BC802" s="147"/>
    </row>
    <row r="803">
      <c r="J803" s="146"/>
      <c r="N803" s="147"/>
      <c r="Y803" s="147"/>
      <c r="AJ803" s="147"/>
      <c r="AU803" s="147"/>
      <c r="AZ803" s="147"/>
      <c r="BC803" s="147"/>
    </row>
    <row r="804">
      <c r="J804" s="146"/>
      <c r="N804" s="147"/>
      <c r="Y804" s="147"/>
      <c r="AJ804" s="147"/>
      <c r="AU804" s="147"/>
      <c r="AZ804" s="147"/>
      <c r="BC804" s="147"/>
    </row>
    <row r="805">
      <c r="J805" s="146"/>
      <c r="N805" s="147"/>
      <c r="Y805" s="147"/>
      <c r="AJ805" s="147"/>
      <c r="AU805" s="147"/>
      <c r="AZ805" s="147"/>
      <c r="BC805" s="147"/>
    </row>
    <row r="806">
      <c r="J806" s="146"/>
      <c r="N806" s="147"/>
      <c r="Y806" s="147"/>
      <c r="AJ806" s="147"/>
      <c r="AU806" s="147"/>
      <c r="AZ806" s="147"/>
      <c r="BC806" s="147"/>
    </row>
    <row r="807">
      <c r="J807" s="146"/>
      <c r="N807" s="147"/>
      <c r="Y807" s="147"/>
      <c r="AJ807" s="147"/>
      <c r="AU807" s="147"/>
      <c r="AZ807" s="147"/>
      <c r="BC807" s="147"/>
    </row>
    <row r="808">
      <c r="J808" s="146"/>
      <c r="N808" s="147"/>
      <c r="Y808" s="147"/>
      <c r="AJ808" s="147"/>
      <c r="AU808" s="147"/>
      <c r="AZ808" s="147"/>
      <c r="BC808" s="147"/>
    </row>
    <row r="809">
      <c r="J809" s="146"/>
      <c r="N809" s="147"/>
      <c r="Y809" s="147"/>
      <c r="AJ809" s="147"/>
      <c r="AU809" s="147"/>
      <c r="AZ809" s="147"/>
      <c r="BC809" s="147"/>
    </row>
    <row r="810">
      <c r="J810" s="146"/>
      <c r="N810" s="147"/>
      <c r="Y810" s="147"/>
      <c r="AJ810" s="147"/>
      <c r="AU810" s="147"/>
      <c r="AZ810" s="147"/>
      <c r="BC810" s="147"/>
    </row>
    <row r="811">
      <c r="J811" s="146"/>
      <c r="N811" s="147"/>
      <c r="Y811" s="147"/>
      <c r="AJ811" s="147"/>
      <c r="AU811" s="147"/>
      <c r="AZ811" s="147"/>
      <c r="BC811" s="147"/>
    </row>
    <row r="812">
      <c r="J812" s="146"/>
      <c r="N812" s="147"/>
      <c r="Y812" s="147"/>
      <c r="AJ812" s="147"/>
      <c r="AU812" s="147"/>
      <c r="AZ812" s="147"/>
      <c r="BC812" s="147"/>
    </row>
    <row r="813">
      <c r="J813" s="146"/>
      <c r="N813" s="147"/>
      <c r="Y813" s="147"/>
      <c r="AJ813" s="147"/>
      <c r="AU813" s="147"/>
      <c r="AZ813" s="147"/>
      <c r="BC813" s="147"/>
    </row>
    <row r="814">
      <c r="J814" s="146"/>
      <c r="N814" s="147"/>
      <c r="Y814" s="147"/>
      <c r="AJ814" s="147"/>
      <c r="AU814" s="147"/>
      <c r="AZ814" s="147"/>
      <c r="BC814" s="147"/>
    </row>
    <row r="815">
      <c r="J815" s="146"/>
      <c r="N815" s="147"/>
      <c r="Y815" s="147"/>
      <c r="AJ815" s="147"/>
      <c r="AU815" s="147"/>
      <c r="AZ815" s="147"/>
      <c r="BC815" s="147"/>
    </row>
    <row r="816">
      <c r="J816" s="146"/>
      <c r="N816" s="147"/>
      <c r="Y816" s="147"/>
      <c r="AJ816" s="147"/>
      <c r="AU816" s="147"/>
      <c r="AZ816" s="147"/>
      <c r="BC816" s="147"/>
    </row>
    <row r="817">
      <c r="J817" s="146"/>
      <c r="N817" s="147"/>
      <c r="Y817" s="147"/>
      <c r="AJ817" s="147"/>
      <c r="AU817" s="147"/>
      <c r="AZ817" s="147"/>
      <c r="BC817" s="147"/>
    </row>
    <row r="818">
      <c r="J818" s="146"/>
      <c r="N818" s="147"/>
      <c r="Y818" s="147"/>
      <c r="AJ818" s="147"/>
      <c r="AU818" s="147"/>
      <c r="AZ818" s="147"/>
      <c r="BC818" s="147"/>
    </row>
    <row r="819">
      <c r="J819" s="146"/>
      <c r="N819" s="147"/>
      <c r="Y819" s="147"/>
      <c r="AJ819" s="147"/>
      <c r="AU819" s="147"/>
      <c r="AZ819" s="147"/>
      <c r="BC819" s="147"/>
    </row>
    <row r="820">
      <c r="J820" s="146"/>
      <c r="N820" s="147"/>
      <c r="Y820" s="147"/>
      <c r="AJ820" s="147"/>
      <c r="AU820" s="147"/>
      <c r="AZ820" s="147"/>
      <c r="BC820" s="147"/>
    </row>
    <row r="821">
      <c r="J821" s="146"/>
      <c r="N821" s="147"/>
      <c r="Y821" s="147"/>
      <c r="AJ821" s="147"/>
      <c r="AU821" s="147"/>
      <c r="AZ821" s="147"/>
      <c r="BC821" s="147"/>
    </row>
    <row r="822">
      <c r="J822" s="146"/>
      <c r="N822" s="147"/>
      <c r="Y822" s="147"/>
      <c r="AJ822" s="147"/>
      <c r="AU822" s="147"/>
      <c r="AZ822" s="147"/>
      <c r="BC822" s="147"/>
    </row>
    <row r="823">
      <c r="J823" s="146"/>
      <c r="N823" s="147"/>
      <c r="Y823" s="147"/>
      <c r="AJ823" s="147"/>
      <c r="AU823" s="147"/>
      <c r="AZ823" s="147"/>
      <c r="BC823" s="147"/>
    </row>
    <row r="824">
      <c r="J824" s="146"/>
      <c r="N824" s="147"/>
      <c r="Y824" s="147"/>
      <c r="AJ824" s="147"/>
      <c r="AU824" s="147"/>
      <c r="AZ824" s="147"/>
      <c r="BC824" s="147"/>
    </row>
    <row r="825">
      <c r="J825" s="146"/>
      <c r="N825" s="147"/>
      <c r="Y825" s="147"/>
      <c r="AJ825" s="147"/>
      <c r="AU825" s="147"/>
      <c r="AZ825" s="147"/>
      <c r="BC825" s="147"/>
    </row>
    <row r="826">
      <c r="J826" s="146"/>
      <c r="N826" s="147"/>
      <c r="Y826" s="147"/>
      <c r="AJ826" s="147"/>
      <c r="AU826" s="147"/>
      <c r="AZ826" s="147"/>
      <c r="BC826" s="147"/>
    </row>
    <row r="827">
      <c r="J827" s="146"/>
      <c r="N827" s="147"/>
      <c r="Y827" s="147"/>
      <c r="AJ827" s="147"/>
      <c r="AU827" s="147"/>
      <c r="AZ827" s="147"/>
      <c r="BC827" s="147"/>
    </row>
    <row r="828">
      <c r="J828" s="146"/>
      <c r="N828" s="147"/>
      <c r="Y828" s="147"/>
      <c r="AJ828" s="147"/>
      <c r="AU828" s="147"/>
      <c r="AZ828" s="147"/>
      <c r="BC828" s="147"/>
    </row>
    <row r="829">
      <c r="J829" s="146"/>
      <c r="N829" s="147"/>
      <c r="Y829" s="147"/>
      <c r="AJ829" s="147"/>
      <c r="AU829" s="147"/>
      <c r="AZ829" s="147"/>
      <c r="BC829" s="147"/>
    </row>
    <row r="830">
      <c r="J830" s="146"/>
      <c r="N830" s="147"/>
      <c r="Y830" s="147"/>
      <c r="AJ830" s="147"/>
      <c r="AU830" s="147"/>
      <c r="AZ830" s="147"/>
      <c r="BC830" s="147"/>
    </row>
    <row r="831">
      <c r="J831" s="146"/>
      <c r="N831" s="147"/>
      <c r="Y831" s="147"/>
      <c r="AJ831" s="147"/>
      <c r="AU831" s="147"/>
      <c r="AZ831" s="147"/>
      <c r="BC831" s="147"/>
    </row>
    <row r="832">
      <c r="J832" s="146"/>
      <c r="N832" s="147"/>
      <c r="Y832" s="147"/>
      <c r="AJ832" s="147"/>
      <c r="AU832" s="147"/>
      <c r="AZ832" s="147"/>
      <c r="BC832" s="147"/>
    </row>
    <row r="833">
      <c r="J833" s="146"/>
      <c r="N833" s="147"/>
      <c r="Y833" s="147"/>
      <c r="AJ833" s="147"/>
      <c r="AU833" s="147"/>
      <c r="AZ833" s="147"/>
      <c r="BC833" s="147"/>
    </row>
    <row r="834">
      <c r="J834" s="146"/>
      <c r="N834" s="147"/>
      <c r="Y834" s="147"/>
      <c r="AJ834" s="147"/>
      <c r="AU834" s="147"/>
      <c r="AZ834" s="147"/>
      <c r="BC834" s="147"/>
    </row>
    <row r="835">
      <c r="J835" s="146"/>
      <c r="N835" s="147"/>
      <c r="Y835" s="147"/>
      <c r="AJ835" s="147"/>
      <c r="AU835" s="147"/>
      <c r="AZ835" s="147"/>
      <c r="BC835" s="147"/>
    </row>
    <row r="836">
      <c r="J836" s="146"/>
      <c r="N836" s="147"/>
      <c r="Y836" s="147"/>
      <c r="AJ836" s="147"/>
      <c r="AU836" s="147"/>
      <c r="AZ836" s="147"/>
      <c r="BC836" s="147"/>
    </row>
    <row r="837">
      <c r="J837" s="146"/>
      <c r="N837" s="147"/>
      <c r="Y837" s="147"/>
      <c r="AJ837" s="147"/>
      <c r="AU837" s="147"/>
      <c r="AZ837" s="147"/>
      <c r="BC837" s="147"/>
    </row>
    <row r="838">
      <c r="J838" s="146"/>
      <c r="N838" s="147"/>
      <c r="Y838" s="147"/>
      <c r="AJ838" s="147"/>
      <c r="AU838" s="147"/>
      <c r="AZ838" s="147"/>
      <c r="BC838" s="147"/>
    </row>
    <row r="839">
      <c r="J839" s="146"/>
      <c r="N839" s="147"/>
      <c r="Y839" s="147"/>
      <c r="AJ839" s="147"/>
      <c r="AU839" s="147"/>
      <c r="AZ839" s="147"/>
      <c r="BC839" s="147"/>
    </row>
    <row r="840">
      <c r="J840" s="146"/>
      <c r="N840" s="147"/>
      <c r="Y840" s="147"/>
      <c r="AJ840" s="147"/>
      <c r="AU840" s="147"/>
      <c r="AZ840" s="147"/>
      <c r="BC840" s="147"/>
    </row>
    <row r="841">
      <c r="J841" s="146"/>
      <c r="N841" s="147"/>
      <c r="Y841" s="147"/>
      <c r="AJ841" s="147"/>
      <c r="AU841" s="147"/>
      <c r="AZ841" s="147"/>
      <c r="BC841" s="147"/>
    </row>
    <row r="842">
      <c r="J842" s="146"/>
      <c r="N842" s="147"/>
      <c r="Y842" s="147"/>
      <c r="AJ842" s="147"/>
      <c r="AU842" s="147"/>
      <c r="AZ842" s="147"/>
      <c r="BC842" s="147"/>
    </row>
    <row r="843">
      <c r="J843" s="146"/>
      <c r="N843" s="147"/>
      <c r="Y843" s="147"/>
      <c r="AJ843" s="147"/>
      <c r="AU843" s="147"/>
      <c r="AZ843" s="147"/>
      <c r="BC843" s="147"/>
    </row>
    <row r="844">
      <c r="J844" s="146"/>
      <c r="N844" s="147"/>
      <c r="Y844" s="147"/>
      <c r="AJ844" s="147"/>
      <c r="AU844" s="147"/>
      <c r="AZ844" s="147"/>
      <c r="BC844" s="147"/>
    </row>
    <row r="845">
      <c r="J845" s="146"/>
      <c r="N845" s="147"/>
      <c r="Y845" s="147"/>
      <c r="AJ845" s="147"/>
      <c r="AU845" s="147"/>
      <c r="AZ845" s="147"/>
      <c r="BC845" s="147"/>
    </row>
    <row r="846">
      <c r="J846" s="146"/>
      <c r="N846" s="147"/>
      <c r="Y846" s="147"/>
      <c r="AJ846" s="147"/>
      <c r="AU846" s="147"/>
      <c r="AZ846" s="147"/>
      <c r="BC846" s="147"/>
    </row>
    <row r="847">
      <c r="J847" s="146"/>
      <c r="N847" s="147"/>
      <c r="Y847" s="147"/>
      <c r="AJ847" s="147"/>
      <c r="AU847" s="147"/>
      <c r="AZ847" s="147"/>
      <c r="BC847" s="147"/>
    </row>
    <row r="848">
      <c r="J848" s="146"/>
      <c r="N848" s="147"/>
      <c r="Y848" s="147"/>
      <c r="AJ848" s="147"/>
      <c r="AU848" s="147"/>
      <c r="AZ848" s="147"/>
      <c r="BC848" s="147"/>
    </row>
    <row r="849">
      <c r="J849" s="146"/>
      <c r="N849" s="147"/>
      <c r="Y849" s="147"/>
      <c r="AJ849" s="147"/>
      <c r="AU849" s="147"/>
      <c r="AZ849" s="147"/>
      <c r="BC849" s="147"/>
    </row>
    <row r="850">
      <c r="J850" s="146"/>
      <c r="N850" s="147"/>
      <c r="Y850" s="147"/>
      <c r="AJ850" s="147"/>
      <c r="AU850" s="147"/>
      <c r="AZ850" s="147"/>
      <c r="BC850" s="147"/>
    </row>
    <row r="851">
      <c r="J851" s="146"/>
      <c r="N851" s="147"/>
      <c r="Y851" s="147"/>
      <c r="AJ851" s="147"/>
      <c r="AU851" s="147"/>
      <c r="AZ851" s="147"/>
      <c r="BC851" s="147"/>
    </row>
    <row r="852">
      <c r="J852" s="146"/>
      <c r="N852" s="147"/>
      <c r="Y852" s="147"/>
      <c r="AJ852" s="147"/>
      <c r="AU852" s="147"/>
      <c r="AZ852" s="147"/>
      <c r="BC852" s="147"/>
    </row>
    <row r="853">
      <c r="J853" s="146"/>
      <c r="N853" s="147"/>
      <c r="Y853" s="147"/>
      <c r="AJ853" s="147"/>
      <c r="AU853" s="147"/>
      <c r="AZ853" s="147"/>
      <c r="BC853" s="147"/>
    </row>
    <row r="854">
      <c r="J854" s="146"/>
      <c r="N854" s="147"/>
      <c r="Y854" s="147"/>
      <c r="AJ854" s="147"/>
      <c r="AU854" s="147"/>
      <c r="AZ854" s="147"/>
      <c r="BC854" s="147"/>
    </row>
    <row r="855">
      <c r="J855" s="146"/>
      <c r="N855" s="147"/>
      <c r="Y855" s="147"/>
      <c r="AJ855" s="147"/>
      <c r="AU855" s="147"/>
      <c r="AZ855" s="147"/>
      <c r="BC855" s="147"/>
    </row>
    <row r="856">
      <c r="J856" s="146"/>
      <c r="N856" s="147"/>
      <c r="Y856" s="147"/>
      <c r="AJ856" s="147"/>
      <c r="AU856" s="147"/>
      <c r="AZ856" s="147"/>
      <c r="BC856" s="147"/>
    </row>
    <row r="857">
      <c r="J857" s="146"/>
      <c r="N857" s="147"/>
      <c r="Y857" s="147"/>
      <c r="AJ857" s="147"/>
      <c r="AU857" s="147"/>
      <c r="AZ857" s="147"/>
      <c r="BC857" s="147"/>
    </row>
    <row r="858">
      <c r="J858" s="146"/>
      <c r="N858" s="147"/>
      <c r="Y858" s="147"/>
      <c r="AJ858" s="147"/>
      <c r="AU858" s="147"/>
      <c r="AZ858" s="147"/>
      <c r="BC858" s="147"/>
    </row>
    <row r="859">
      <c r="J859" s="146"/>
      <c r="N859" s="147"/>
      <c r="Y859" s="147"/>
      <c r="AJ859" s="147"/>
      <c r="AU859" s="147"/>
      <c r="AZ859" s="147"/>
      <c r="BC859" s="147"/>
    </row>
    <row r="860">
      <c r="J860" s="146"/>
      <c r="N860" s="147"/>
      <c r="Y860" s="147"/>
      <c r="AJ860" s="147"/>
      <c r="AU860" s="147"/>
      <c r="AZ860" s="147"/>
      <c r="BC860" s="147"/>
    </row>
    <row r="861">
      <c r="J861" s="146"/>
      <c r="N861" s="147"/>
      <c r="Y861" s="147"/>
      <c r="AJ861" s="147"/>
      <c r="AU861" s="147"/>
      <c r="AZ861" s="147"/>
      <c r="BC861" s="147"/>
    </row>
    <row r="862">
      <c r="J862" s="146"/>
      <c r="N862" s="147"/>
      <c r="Y862" s="147"/>
      <c r="AJ862" s="147"/>
      <c r="AU862" s="147"/>
      <c r="AZ862" s="147"/>
      <c r="BC862" s="147"/>
    </row>
    <row r="863">
      <c r="J863" s="146"/>
      <c r="N863" s="147"/>
      <c r="Y863" s="147"/>
      <c r="AJ863" s="147"/>
      <c r="AU863" s="147"/>
      <c r="AZ863" s="147"/>
      <c r="BC863" s="147"/>
    </row>
    <row r="864">
      <c r="J864" s="146"/>
      <c r="N864" s="147"/>
      <c r="Y864" s="147"/>
      <c r="AJ864" s="147"/>
      <c r="AU864" s="147"/>
      <c r="AZ864" s="147"/>
      <c r="BC864" s="147"/>
    </row>
    <row r="865">
      <c r="J865" s="146"/>
      <c r="N865" s="147"/>
      <c r="Y865" s="147"/>
      <c r="AJ865" s="147"/>
      <c r="AU865" s="147"/>
      <c r="AZ865" s="147"/>
      <c r="BC865" s="147"/>
    </row>
    <row r="866">
      <c r="J866" s="146"/>
      <c r="N866" s="147"/>
      <c r="Y866" s="147"/>
      <c r="AJ866" s="147"/>
      <c r="AU866" s="147"/>
      <c r="AZ866" s="147"/>
      <c r="BC866" s="147"/>
    </row>
    <row r="867">
      <c r="J867" s="146"/>
      <c r="N867" s="147"/>
      <c r="Y867" s="147"/>
      <c r="AJ867" s="147"/>
      <c r="AU867" s="147"/>
      <c r="AZ867" s="147"/>
      <c r="BC867" s="147"/>
    </row>
    <row r="868">
      <c r="J868" s="146"/>
      <c r="N868" s="147"/>
      <c r="Y868" s="147"/>
      <c r="AJ868" s="147"/>
      <c r="AU868" s="147"/>
      <c r="AZ868" s="147"/>
      <c r="BC868" s="147"/>
    </row>
    <row r="869">
      <c r="J869" s="146"/>
      <c r="N869" s="147"/>
      <c r="Y869" s="147"/>
      <c r="AJ869" s="147"/>
      <c r="AU869" s="147"/>
      <c r="AZ869" s="147"/>
      <c r="BC869" s="147"/>
    </row>
    <row r="870">
      <c r="J870" s="146"/>
      <c r="N870" s="147"/>
      <c r="Y870" s="147"/>
      <c r="AJ870" s="147"/>
      <c r="AU870" s="147"/>
      <c r="AZ870" s="147"/>
      <c r="BC870" s="147"/>
    </row>
    <row r="871">
      <c r="J871" s="146"/>
      <c r="N871" s="147"/>
      <c r="Y871" s="147"/>
      <c r="AJ871" s="147"/>
      <c r="AU871" s="147"/>
      <c r="AZ871" s="147"/>
      <c r="BC871" s="147"/>
    </row>
    <row r="872">
      <c r="J872" s="146"/>
      <c r="N872" s="147"/>
      <c r="Y872" s="147"/>
      <c r="AJ872" s="147"/>
      <c r="AU872" s="147"/>
      <c r="AZ872" s="147"/>
      <c r="BC872" s="147"/>
    </row>
    <row r="873">
      <c r="J873" s="146"/>
      <c r="N873" s="147"/>
      <c r="Y873" s="147"/>
      <c r="AJ873" s="147"/>
      <c r="AU873" s="147"/>
      <c r="AZ873" s="147"/>
      <c r="BC873" s="147"/>
    </row>
    <row r="874">
      <c r="J874" s="146"/>
      <c r="N874" s="147"/>
      <c r="Y874" s="147"/>
      <c r="AJ874" s="147"/>
      <c r="AU874" s="147"/>
      <c r="AZ874" s="147"/>
      <c r="BC874" s="147"/>
    </row>
    <row r="875">
      <c r="J875" s="146"/>
      <c r="N875" s="147"/>
      <c r="Y875" s="147"/>
      <c r="AJ875" s="147"/>
      <c r="AU875" s="147"/>
      <c r="AZ875" s="147"/>
      <c r="BC875" s="147"/>
    </row>
    <row r="876">
      <c r="J876" s="146"/>
      <c r="N876" s="147"/>
      <c r="Y876" s="147"/>
      <c r="AJ876" s="147"/>
      <c r="AU876" s="147"/>
      <c r="AZ876" s="147"/>
      <c r="BC876" s="147"/>
    </row>
    <row r="877">
      <c r="J877" s="146"/>
      <c r="N877" s="147"/>
      <c r="Y877" s="147"/>
      <c r="AJ877" s="147"/>
      <c r="AU877" s="147"/>
      <c r="AZ877" s="147"/>
      <c r="BC877" s="147"/>
    </row>
    <row r="878">
      <c r="J878" s="146"/>
      <c r="N878" s="147"/>
      <c r="Y878" s="147"/>
      <c r="AJ878" s="147"/>
      <c r="AU878" s="147"/>
      <c r="AZ878" s="147"/>
      <c r="BC878" s="147"/>
    </row>
    <row r="879">
      <c r="J879" s="146"/>
      <c r="N879" s="147"/>
      <c r="Y879" s="147"/>
      <c r="AJ879" s="147"/>
      <c r="AU879" s="147"/>
      <c r="AZ879" s="147"/>
      <c r="BC879" s="147"/>
    </row>
    <row r="880">
      <c r="J880" s="146"/>
      <c r="N880" s="147"/>
      <c r="Y880" s="147"/>
      <c r="AJ880" s="147"/>
      <c r="AU880" s="147"/>
      <c r="AZ880" s="147"/>
      <c r="BC880" s="147"/>
    </row>
    <row r="881">
      <c r="J881" s="146"/>
      <c r="N881" s="147"/>
      <c r="Y881" s="147"/>
      <c r="AJ881" s="147"/>
      <c r="AU881" s="147"/>
      <c r="AZ881" s="147"/>
      <c r="BC881" s="147"/>
    </row>
    <row r="882">
      <c r="J882" s="146"/>
      <c r="N882" s="147"/>
      <c r="Y882" s="147"/>
      <c r="AJ882" s="147"/>
      <c r="AU882" s="147"/>
      <c r="AZ882" s="147"/>
      <c r="BC882" s="147"/>
    </row>
    <row r="883">
      <c r="J883" s="146"/>
      <c r="N883" s="147"/>
      <c r="Y883" s="147"/>
      <c r="AJ883" s="147"/>
      <c r="AU883" s="147"/>
      <c r="AZ883" s="147"/>
      <c r="BC883" s="147"/>
    </row>
    <row r="884">
      <c r="J884" s="146"/>
      <c r="N884" s="147"/>
      <c r="Y884" s="147"/>
      <c r="AJ884" s="147"/>
      <c r="AU884" s="147"/>
      <c r="AZ884" s="147"/>
      <c r="BC884" s="147"/>
    </row>
    <row r="885">
      <c r="J885" s="146"/>
      <c r="N885" s="147"/>
      <c r="Y885" s="147"/>
      <c r="AJ885" s="147"/>
      <c r="AU885" s="147"/>
      <c r="AZ885" s="147"/>
      <c r="BC885" s="147"/>
    </row>
    <row r="886">
      <c r="J886" s="146"/>
      <c r="N886" s="147"/>
      <c r="Y886" s="147"/>
      <c r="AJ886" s="147"/>
      <c r="AU886" s="147"/>
      <c r="AZ886" s="147"/>
      <c r="BC886" s="147"/>
    </row>
    <row r="887">
      <c r="J887" s="146"/>
      <c r="N887" s="147"/>
      <c r="Y887" s="147"/>
      <c r="AJ887" s="147"/>
      <c r="AU887" s="147"/>
      <c r="AZ887" s="147"/>
      <c r="BC887" s="147"/>
    </row>
    <row r="888">
      <c r="J888" s="146"/>
      <c r="N888" s="147"/>
      <c r="Y888" s="147"/>
      <c r="AJ888" s="147"/>
      <c r="AU888" s="147"/>
      <c r="AZ888" s="147"/>
      <c r="BC888" s="147"/>
    </row>
    <row r="889">
      <c r="J889" s="146"/>
      <c r="N889" s="147"/>
      <c r="Y889" s="147"/>
      <c r="AJ889" s="147"/>
      <c r="AU889" s="147"/>
      <c r="AZ889" s="147"/>
      <c r="BC889" s="147"/>
    </row>
    <row r="890">
      <c r="J890" s="146"/>
      <c r="N890" s="147"/>
      <c r="Y890" s="147"/>
      <c r="AJ890" s="147"/>
      <c r="AU890" s="147"/>
      <c r="AZ890" s="147"/>
      <c r="BC890" s="147"/>
    </row>
    <row r="891">
      <c r="J891" s="146"/>
      <c r="N891" s="147"/>
      <c r="Y891" s="147"/>
      <c r="AJ891" s="147"/>
      <c r="AU891" s="147"/>
      <c r="AZ891" s="147"/>
      <c r="BC891" s="147"/>
    </row>
    <row r="892">
      <c r="J892" s="146"/>
      <c r="N892" s="147"/>
      <c r="Y892" s="147"/>
      <c r="AJ892" s="147"/>
      <c r="AU892" s="147"/>
      <c r="AZ892" s="147"/>
      <c r="BC892" s="147"/>
    </row>
    <row r="893">
      <c r="J893" s="146"/>
      <c r="N893" s="147"/>
      <c r="Y893" s="147"/>
      <c r="AJ893" s="147"/>
      <c r="AU893" s="147"/>
      <c r="AZ893" s="147"/>
      <c r="BC893" s="147"/>
    </row>
    <row r="894">
      <c r="J894" s="146"/>
      <c r="N894" s="147"/>
      <c r="Y894" s="147"/>
      <c r="AJ894" s="147"/>
      <c r="AU894" s="147"/>
      <c r="AZ894" s="147"/>
      <c r="BC894" s="147"/>
    </row>
    <row r="895">
      <c r="J895" s="146"/>
      <c r="N895" s="147"/>
      <c r="Y895" s="147"/>
      <c r="AJ895" s="147"/>
      <c r="AU895" s="147"/>
      <c r="AZ895" s="147"/>
      <c r="BC895" s="147"/>
    </row>
    <row r="896">
      <c r="J896" s="146"/>
      <c r="N896" s="147"/>
      <c r="Y896" s="147"/>
      <c r="AJ896" s="147"/>
      <c r="AU896" s="147"/>
      <c r="AZ896" s="147"/>
      <c r="BC896" s="147"/>
    </row>
    <row r="897">
      <c r="J897" s="146"/>
      <c r="N897" s="147"/>
      <c r="Y897" s="147"/>
      <c r="AJ897" s="147"/>
      <c r="AU897" s="147"/>
      <c r="AZ897" s="147"/>
      <c r="BC897" s="147"/>
    </row>
    <row r="898">
      <c r="J898" s="146"/>
      <c r="N898" s="147"/>
      <c r="Y898" s="147"/>
      <c r="AJ898" s="147"/>
      <c r="AU898" s="147"/>
      <c r="AZ898" s="147"/>
      <c r="BC898" s="147"/>
    </row>
    <row r="899">
      <c r="J899" s="146"/>
      <c r="N899" s="147"/>
      <c r="Y899" s="147"/>
      <c r="AJ899" s="147"/>
      <c r="AU899" s="147"/>
      <c r="AZ899" s="147"/>
      <c r="BC899" s="147"/>
    </row>
    <row r="900">
      <c r="J900" s="146"/>
      <c r="N900" s="147"/>
      <c r="Y900" s="147"/>
      <c r="AJ900" s="147"/>
      <c r="AU900" s="147"/>
      <c r="AZ900" s="147"/>
      <c r="BC900" s="147"/>
    </row>
    <row r="901">
      <c r="J901" s="146"/>
      <c r="N901" s="147"/>
      <c r="Y901" s="147"/>
      <c r="AJ901" s="147"/>
      <c r="AU901" s="147"/>
      <c r="AZ901" s="147"/>
      <c r="BC901" s="147"/>
    </row>
    <row r="902">
      <c r="J902" s="146"/>
      <c r="N902" s="147"/>
      <c r="Y902" s="147"/>
      <c r="AJ902" s="147"/>
      <c r="AU902" s="147"/>
      <c r="AZ902" s="147"/>
      <c r="BC902" s="147"/>
    </row>
    <row r="903">
      <c r="J903" s="146"/>
      <c r="N903" s="147"/>
      <c r="Y903" s="147"/>
      <c r="AJ903" s="147"/>
      <c r="AU903" s="147"/>
      <c r="AZ903" s="147"/>
      <c r="BC903" s="147"/>
    </row>
    <row r="904">
      <c r="J904" s="146"/>
      <c r="N904" s="147"/>
      <c r="Y904" s="147"/>
      <c r="AJ904" s="147"/>
      <c r="AU904" s="147"/>
      <c r="AZ904" s="147"/>
      <c r="BC904" s="147"/>
    </row>
    <row r="905">
      <c r="J905" s="146"/>
      <c r="N905" s="147"/>
      <c r="Y905" s="147"/>
      <c r="AJ905" s="147"/>
      <c r="AU905" s="147"/>
      <c r="AZ905" s="147"/>
      <c r="BC905" s="147"/>
    </row>
    <row r="906">
      <c r="J906" s="146"/>
      <c r="N906" s="147"/>
      <c r="Y906" s="147"/>
      <c r="AJ906" s="147"/>
      <c r="AU906" s="147"/>
      <c r="AZ906" s="147"/>
      <c r="BC906" s="147"/>
    </row>
    <row r="907">
      <c r="J907" s="146"/>
      <c r="N907" s="147"/>
      <c r="Y907" s="147"/>
      <c r="AJ907" s="147"/>
      <c r="AU907" s="147"/>
      <c r="AZ907" s="147"/>
      <c r="BC907" s="147"/>
    </row>
    <row r="908">
      <c r="J908" s="146"/>
      <c r="N908" s="147"/>
      <c r="Y908" s="147"/>
      <c r="AJ908" s="147"/>
      <c r="AU908" s="147"/>
      <c r="AZ908" s="147"/>
      <c r="BC908" s="147"/>
    </row>
    <row r="909">
      <c r="J909" s="146"/>
      <c r="N909" s="147"/>
      <c r="Y909" s="147"/>
      <c r="AJ909" s="147"/>
      <c r="AU909" s="147"/>
      <c r="AZ909" s="147"/>
      <c r="BC909" s="147"/>
    </row>
    <row r="910">
      <c r="J910" s="146"/>
      <c r="N910" s="147"/>
      <c r="Y910" s="147"/>
      <c r="AJ910" s="147"/>
      <c r="AU910" s="147"/>
      <c r="AZ910" s="147"/>
      <c r="BC910" s="147"/>
    </row>
    <row r="911">
      <c r="J911" s="146"/>
      <c r="N911" s="147"/>
      <c r="Y911" s="147"/>
      <c r="AJ911" s="147"/>
      <c r="AU911" s="147"/>
      <c r="AZ911" s="147"/>
      <c r="BC911" s="147"/>
    </row>
    <row r="912">
      <c r="J912" s="146"/>
      <c r="N912" s="147"/>
      <c r="Y912" s="147"/>
      <c r="AJ912" s="147"/>
      <c r="AU912" s="147"/>
      <c r="AZ912" s="147"/>
      <c r="BC912" s="147"/>
    </row>
    <row r="913">
      <c r="J913" s="146"/>
      <c r="N913" s="147"/>
      <c r="Y913" s="147"/>
      <c r="AJ913" s="147"/>
      <c r="AU913" s="147"/>
      <c r="AZ913" s="147"/>
      <c r="BC913" s="147"/>
    </row>
    <row r="914">
      <c r="J914" s="146"/>
      <c r="N914" s="147"/>
      <c r="Y914" s="147"/>
      <c r="AJ914" s="147"/>
      <c r="AU914" s="147"/>
      <c r="AZ914" s="147"/>
      <c r="BC914" s="147"/>
    </row>
    <row r="915">
      <c r="J915" s="146"/>
      <c r="N915" s="147"/>
      <c r="Y915" s="147"/>
      <c r="AJ915" s="147"/>
      <c r="AU915" s="147"/>
      <c r="AZ915" s="147"/>
      <c r="BC915" s="147"/>
    </row>
    <row r="916">
      <c r="J916" s="146"/>
      <c r="N916" s="147"/>
      <c r="Y916" s="147"/>
      <c r="AJ916" s="147"/>
      <c r="AU916" s="147"/>
      <c r="AZ916" s="147"/>
      <c r="BC916" s="147"/>
    </row>
    <row r="917">
      <c r="J917" s="146"/>
      <c r="N917" s="147"/>
      <c r="Y917" s="147"/>
      <c r="AJ917" s="147"/>
      <c r="AU917" s="147"/>
      <c r="AZ917" s="147"/>
      <c r="BC917" s="147"/>
    </row>
    <row r="918">
      <c r="J918" s="146"/>
      <c r="N918" s="147"/>
      <c r="Y918" s="147"/>
      <c r="AJ918" s="147"/>
      <c r="AU918" s="147"/>
      <c r="AZ918" s="147"/>
      <c r="BC918" s="147"/>
    </row>
    <row r="919">
      <c r="J919" s="146"/>
      <c r="N919" s="147"/>
      <c r="Y919" s="147"/>
      <c r="AJ919" s="147"/>
      <c r="AU919" s="147"/>
      <c r="AZ919" s="147"/>
      <c r="BC919" s="147"/>
    </row>
    <row r="920">
      <c r="J920" s="146"/>
      <c r="N920" s="147"/>
      <c r="Y920" s="147"/>
      <c r="AJ920" s="147"/>
      <c r="AU920" s="147"/>
      <c r="AZ920" s="147"/>
      <c r="BC920" s="147"/>
    </row>
    <row r="921">
      <c r="J921" s="146"/>
      <c r="N921" s="147"/>
      <c r="Y921" s="147"/>
      <c r="AJ921" s="147"/>
      <c r="AU921" s="147"/>
      <c r="AZ921" s="147"/>
      <c r="BC921" s="147"/>
    </row>
    <row r="922">
      <c r="J922" s="146"/>
      <c r="N922" s="147"/>
      <c r="Y922" s="147"/>
      <c r="AJ922" s="147"/>
      <c r="AU922" s="147"/>
      <c r="AZ922" s="147"/>
      <c r="BC922" s="147"/>
    </row>
    <row r="923">
      <c r="J923" s="146"/>
      <c r="N923" s="147"/>
      <c r="Y923" s="147"/>
      <c r="AJ923" s="147"/>
      <c r="AU923" s="147"/>
      <c r="AZ923" s="147"/>
      <c r="BC923" s="147"/>
    </row>
    <row r="924">
      <c r="J924" s="146"/>
      <c r="N924" s="147"/>
      <c r="Y924" s="147"/>
      <c r="AJ924" s="147"/>
      <c r="AU924" s="147"/>
      <c r="AZ924" s="147"/>
      <c r="BC924" s="147"/>
    </row>
    <row r="925">
      <c r="J925" s="146"/>
      <c r="N925" s="147"/>
      <c r="Y925" s="147"/>
      <c r="AJ925" s="147"/>
      <c r="AU925" s="147"/>
      <c r="AZ925" s="147"/>
      <c r="BC925" s="147"/>
    </row>
    <row r="926">
      <c r="J926" s="146"/>
      <c r="N926" s="147"/>
      <c r="Y926" s="147"/>
      <c r="AJ926" s="147"/>
      <c r="AU926" s="147"/>
      <c r="AZ926" s="147"/>
      <c r="BC926" s="147"/>
    </row>
    <row r="927">
      <c r="J927" s="146"/>
      <c r="N927" s="147"/>
      <c r="Y927" s="147"/>
      <c r="AJ927" s="147"/>
      <c r="AU927" s="147"/>
      <c r="AZ927" s="147"/>
      <c r="BC927" s="147"/>
    </row>
    <row r="928">
      <c r="J928" s="146"/>
      <c r="N928" s="147"/>
      <c r="Y928" s="147"/>
      <c r="AJ928" s="147"/>
      <c r="AU928" s="147"/>
      <c r="AZ928" s="147"/>
      <c r="BC928" s="147"/>
    </row>
    <row r="929">
      <c r="J929" s="146"/>
      <c r="N929" s="147"/>
      <c r="Y929" s="147"/>
      <c r="AJ929" s="147"/>
      <c r="AU929" s="147"/>
      <c r="AZ929" s="147"/>
      <c r="BC929" s="147"/>
    </row>
    <row r="930">
      <c r="J930" s="146"/>
      <c r="N930" s="147"/>
      <c r="Y930" s="147"/>
      <c r="AJ930" s="147"/>
      <c r="AU930" s="147"/>
      <c r="AZ930" s="147"/>
      <c r="BC930" s="147"/>
    </row>
    <row r="931">
      <c r="J931" s="146"/>
      <c r="N931" s="147"/>
      <c r="Y931" s="147"/>
      <c r="AJ931" s="147"/>
      <c r="AU931" s="147"/>
      <c r="AZ931" s="147"/>
      <c r="BC931" s="147"/>
    </row>
    <row r="932">
      <c r="J932" s="146"/>
      <c r="N932" s="147"/>
      <c r="Y932" s="147"/>
      <c r="AJ932" s="147"/>
      <c r="AU932" s="147"/>
      <c r="AZ932" s="147"/>
      <c r="BC932" s="147"/>
    </row>
    <row r="933">
      <c r="J933" s="146"/>
      <c r="N933" s="147"/>
      <c r="Y933" s="147"/>
      <c r="AJ933" s="147"/>
      <c r="AU933" s="147"/>
      <c r="AZ933" s="147"/>
      <c r="BC933" s="147"/>
    </row>
    <row r="934">
      <c r="J934" s="146"/>
      <c r="N934" s="147"/>
      <c r="Y934" s="147"/>
      <c r="AJ934" s="147"/>
      <c r="AU934" s="147"/>
      <c r="AZ934" s="147"/>
      <c r="BC934" s="147"/>
    </row>
    <row r="935">
      <c r="J935" s="146"/>
      <c r="N935" s="147"/>
      <c r="Y935" s="147"/>
      <c r="AJ935" s="147"/>
      <c r="AU935" s="147"/>
      <c r="AZ935" s="147"/>
      <c r="BC935" s="147"/>
    </row>
    <row r="936">
      <c r="J936" s="146"/>
      <c r="N936" s="147"/>
      <c r="Y936" s="147"/>
      <c r="AJ936" s="147"/>
      <c r="AU936" s="147"/>
      <c r="AZ936" s="147"/>
      <c r="BC936" s="147"/>
    </row>
    <row r="937">
      <c r="J937" s="146"/>
      <c r="N937" s="147"/>
      <c r="Y937" s="147"/>
      <c r="AJ937" s="147"/>
      <c r="AU937" s="147"/>
      <c r="AZ937" s="147"/>
      <c r="BC937" s="147"/>
    </row>
    <row r="938">
      <c r="J938" s="146"/>
      <c r="N938" s="147"/>
      <c r="Y938" s="147"/>
      <c r="AJ938" s="147"/>
      <c r="AU938" s="147"/>
      <c r="AZ938" s="147"/>
      <c r="BC938" s="147"/>
    </row>
    <row r="939">
      <c r="J939" s="146"/>
      <c r="N939" s="147"/>
      <c r="Y939" s="147"/>
      <c r="AJ939" s="147"/>
      <c r="AU939" s="147"/>
      <c r="AZ939" s="147"/>
      <c r="BC939" s="147"/>
    </row>
    <row r="940">
      <c r="J940" s="146"/>
      <c r="N940" s="147"/>
      <c r="Y940" s="147"/>
      <c r="AJ940" s="147"/>
      <c r="AU940" s="147"/>
      <c r="AZ940" s="147"/>
      <c r="BC940" s="147"/>
    </row>
    <row r="941">
      <c r="J941" s="146"/>
      <c r="N941" s="147"/>
      <c r="Y941" s="147"/>
      <c r="AJ941" s="147"/>
      <c r="AU941" s="147"/>
      <c r="AZ941" s="147"/>
      <c r="BC941" s="147"/>
    </row>
    <row r="942">
      <c r="J942" s="146"/>
      <c r="N942" s="147"/>
      <c r="Y942" s="147"/>
      <c r="AJ942" s="147"/>
      <c r="AU942" s="147"/>
      <c r="AZ942" s="147"/>
      <c r="BC942" s="147"/>
    </row>
    <row r="943">
      <c r="J943" s="146"/>
      <c r="N943" s="147"/>
      <c r="Y943" s="147"/>
      <c r="AJ943" s="147"/>
      <c r="AU943" s="147"/>
      <c r="AZ943" s="147"/>
      <c r="BC943" s="147"/>
    </row>
    <row r="944">
      <c r="J944" s="146"/>
      <c r="N944" s="147"/>
      <c r="Y944" s="147"/>
      <c r="AJ944" s="147"/>
      <c r="AU944" s="147"/>
      <c r="AZ944" s="147"/>
      <c r="BC944" s="147"/>
    </row>
    <row r="945">
      <c r="J945" s="146"/>
      <c r="N945" s="147"/>
      <c r="Y945" s="147"/>
      <c r="AJ945" s="147"/>
      <c r="AU945" s="147"/>
      <c r="AZ945" s="147"/>
      <c r="BC945" s="147"/>
    </row>
    <row r="946">
      <c r="J946" s="146"/>
      <c r="N946" s="147"/>
      <c r="Y946" s="147"/>
      <c r="AJ946" s="147"/>
      <c r="AU946" s="147"/>
      <c r="AZ946" s="147"/>
      <c r="BC946" s="147"/>
    </row>
    <row r="947">
      <c r="J947" s="146"/>
      <c r="N947" s="147"/>
      <c r="Y947" s="147"/>
      <c r="AJ947" s="147"/>
      <c r="AU947" s="147"/>
      <c r="AZ947" s="147"/>
      <c r="BC947" s="147"/>
    </row>
    <row r="948">
      <c r="J948" s="146"/>
      <c r="N948" s="147"/>
      <c r="Y948" s="147"/>
      <c r="AJ948" s="147"/>
      <c r="AU948" s="147"/>
      <c r="AZ948" s="147"/>
      <c r="BC948" s="147"/>
    </row>
    <row r="949">
      <c r="J949" s="146"/>
      <c r="N949" s="147"/>
      <c r="Y949" s="147"/>
      <c r="AJ949" s="147"/>
      <c r="AU949" s="147"/>
      <c r="AZ949" s="147"/>
      <c r="BC949" s="147"/>
    </row>
    <row r="950">
      <c r="J950" s="146"/>
      <c r="N950" s="147"/>
      <c r="Y950" s="147"/>
      <c r="AJ950" s="147"/>
      <c r="AU950" s="147"/>
      <c r="AZ950" s="147"/>
      <c r="BC950" s="147"/>
    </row>
    <row r="951">
      <c r="J951" s="146"/>
      <c r="N951" s="147"/>
      <c r="Y951" s="147"/>
      <c r="AJ951" s="147"/>
      <c r="AU951" s="147"/>
      <c r="AZ951" s="147"/>
      <c r="BC951" s="147"/>
    </row>
    <row r="952">
      <c r="J952" s="146"/>
      <c r="N952" s="147"/>
      <c r="Y952" s="147"/>
      <c r="AJ952" s="147"/>
      <c r="AU952" s="147"/>
      <c r="AZ952" s="147"/>
      <c r="BC952" s="147"/>
    </row>
    <row r="953">
      <c r="J953" s="146"/>
      <c r="N953" s="147"/>
      <c r="Y953" s="147"/>
      <c r="AJ953" s="147"/>
      <c r="AU953" s="147"/>
      <c r="AZ953" s="147"/>
      <c r="BC953" s="147"/>
    </row>
    <row r="954">
      <c r="J954" s="146"/>
      <c r="N954" s="147"/>
      <c r="Y954" s="147"/>
      <c r="AJ954" s="147"/>
      <c r="AU954" s="147"/>
      <c r="AZ954" s="147"/>
      <c r="BC954" s="147"/>
    </row>
    <row r="955">
      <c r="J955" s="146"/>
      <c r="N955" s="147"/>
      <c r="Y955" s="147"/>
      <c r="AJ955" s="147"/>
      <c r="AU955" s="147"/>
      <c r="AZ955" s="147"/>
      <c r="BC955" s="147"/>
    </row>
    <row r="956">
      <c r="J956" s="146"/>
      <c r="N956" s="147"/>
      <c r="Y956" s="147"/>
      <c r="AJ956" s="147"/>
      <c r="AU956" s="147"/>
      <c r="AZ956" s="147"/>
      <c r="BC956" s="147"/>
    </row>
    <row r="957">
      <c r="J957" s="146"/>
      <c r="N957" s="147"/>
      <c r="Y957" s="147"/>
      <c r="AJ957" s="147"/>
      <c r="AU957" s="147"/>
      <c r="AZ957" s="147"/>
      <c r="BC957" s="147"/>
    </row>
    <row r="958">
      <c r="J958" s="146"/>
      <c r="N958" s="147"/>
      <c r="Y958" s="147"/>
      <c r="AJ958" s="147"/>
      <c r="AU958" s="147"/>
      <c r="AZ958" s="147"/>
      <c r="BC958" s="147"/>
    </row>
    <row r="959">
      <c r="J959" s="146"/>
      <c r="N959" s="147"/>
      <c r="Y959" s="147"/>
      <c r="AJ959" s="147"/>
      <c r="AU959" s="147"/>
      <c r="AZ959" s="147"/>
      <c r="BC959" s="147"/>
    </row>
    <row r="960">
      <c r="J960" s="146"/>
      <c r="N960" s="147"/>
      <c r="Y960" s="147"/>
      <c r="AJ960" s="147"/>
      <c r="AU960" s="147"/>
      <c r="AZ960" s="147"/>
      <c r="BC960" s="147"/>
    </row>
    <row r="961">
      <c r="J961" s="146"/>
      <c r="N961" s="147"/>
      <c r="Y961" s="147"/>
      <c r="AJ961" s="147"/>
      <c r="AU961" s="147"/>
      <c r="AZ961" s="147"/>
      <c r="BC961" s="147"/>
    </row>
    <row r="962">
      <c r="J962" s="146"/>
      <c r="N962" s="147"/>
      <c r="Y962" s="147"/>
      <c r="AJ962" s="147"/>
      <c r="AU962" s="147"/>
      <c r="AZ962" s="147"/>
      <c r="BC962" s="147"/>
    </row>
    <row r="963">
      <c r="J963" s="146"/>
      <c r="N963" s="147"/>
      <c r="Y963" s="147"/>
      <c r="AJ963" s="147"/>
      <c r="AU963" s="147"/>
      <c r="AZ963" s="147"/>
      <c r="BC963" s="147"/>
    </row>
    <row r="964">
      <c r="J964" s="146"/>
      <c r="N964" s="147"/>
      <c r="Y964" s="147"/>
      <c r="AJ964" s="147"/>
      <c r="AU964" s="147"/>
      <c r="AZ964" s="147"/>
      <c r="BC964" s="147"/>
    </row>
    <row r="965">
      <c r="J965" s="146"/>
      <c r="N965" s="147"/>
      <c r="Y965" s="147"/>
      <c r="AJ965" s="147"/>
      <c r="AU965" s="147"/>
      <c r="AZ965" s="147"/>
      <c r="BC965" s="147"/>
    </row>
    <row r="966">
      <c r="J966" s="146"/>
      <c r="N966" s="147"/>
      <c r="Y966" s="147"/>
      <c r="AJ966" s="147"/>
      <c r="AU966" s="147"/>
      <c r="AZ966" s="147"/>
      <c r="BC966" s="147"/>
    </row>
    <row r="967">
      <c r="J967" s="146"/>
      <c r="N967" s="147"/>
      <c r="Y967" s="147"/>
      <c r="AJ967" s="147"/>
      <c r="AU967" s="147"/>
      <c r="AZ967" s="147"/>
      <c r="BC967" s="147"/>
    </row>
    <row r="968">
      <c r="J968" s="146"/>
      <c r="N968" s="147"/>
      <c r="Y968" s="147"/>
      <c r="AJ968" s="147"/>
      <c r="AU968" s="147"/>
      <c r="AZ968" s="147"/>
      <c r="BC968" s="147"/>
    </row>
    <row r="969">
      <c r="J969" s="146"/>
      <c r="N969" s="147"/>
      <c r="Y969" s="147"/>
      <c r="AJ969" s="147"/>
      <c r="AU969" s="147"/>
      <c r="AZ969" s="147"/>
      <c r="BC969" s="147"/>
    </row>
    <row r="970">
      <c r="J970" s="146"/>
      <c r="N970" s="147"/>
      <c r="Y970" s="147"/>
      <c r="AJ970" s="147"/>
      <c r="AU970" s="147"/>
      <c r="AZ970" s="147"/>
      <c r="BC970" s="147"/>
    </row>
    <row r="971">
      <c r="J971" s="146"/>
      <c r="N971" s="147"/>
      <c r="Y971" s="147"/>
      <c r="AJ971" s="147"/>
      <c r="AU971" s="147"/>
      <c r="AZ971" s="147"/>
      <c r="BC971" s="147"/>
    </row>
    <row r="972">
      <c r="J972" s="146"/>
      <c r="N972" s="147"/>
      <c r="Y972" s="147"/>
      <c r="AJ972" s="147"/>
      <c r="AU972" s="147"/>
      <c r="AZ972" s="147"/>
      <c r="BC972" s="147"/>
    </row>
    <row r="973">
      <c r="J973" s="146"/>
      <c r="N973" s="147"/>
      <c r="Y973" s="147"/>
      <c r="AJ973" s="147"/>
      <c r="AU973" s="147"/>
      <c r="AZ973" s="147"/>
      <c r="BC973" s="147"/>
    </row>
    <row r="974">
      <c r="J974" s="146"/>
      <c r="N974" s="147"/>
      <c r="Y974" s="147"/>
      <c r="AJ974" s="147"/>
      <c r="AU974" s="147"/>
      <c r="AZ974" s="147"/>
      <c r="BC974" s="147"/>
    </row>
    <row r="975">
      <c r="J975" s="146"/>
      <c r="N975" s="147"/>
      <c r="Y975" s="147"/>
      <c r="AJ975" s="147"/>
      <c r="AU975" s="147"/>
      <c r="AZ975" s="147"/>
      <c r="BC975" s="147"/>
    </row>
    <row r="976">
      <c r="J976" s="146"/>
      <c r="N976" s="147"/>
      <c r="Y976" s="147"/>
      <c r="AJ976" s="147"/>
      <c r="AU976" s="147"/>
      <c r="AZ976" s="147"/>
      <c r="BC976" s="147"/>
    </row>
    <row r="977">
      <c r="J977" s="146"/>
      <c r="N977" s="147"/>
      <c r="Y977" s="147"/>
      <c r="AJ977" s="147"/>
      <c r="AU977" s="147"/>
      <c r="AZ977" s="147"/>
      <c r="BC977" s="147"/>
    </row>
    <row r="978">
      <c r="J978" s="146"/>
      <c r="N978" s="147"/>
      <c r="Y978" s="147"/>
      <c r="AJ978" s="147"/>
      <c r="AU978" s="147"/>
      <c r="AZ978" s="147"/>
      <c r="BC978" s="147"/>
    </row>
    <row r="979">
      <c r="J979" s="146"/>
      <c r="N979" s="147"/>
      <c r="Y979" s="147"/>
      <c r="AJ979" s="147"/>
      <c r="AU979" s="147"/>
      <c r="AZ979" s="147"/>
      <c r="BC979" s="147"/>
    </row>
    <row r="980">
      <c r="J980" s="146"/>
      <c r="N980" s="147"/>
      <c r="Y980" s="147"/>
      <c r="AJ980" s="147"/>
      <c r="AU980" s="147"/>
      <c r="AZ980" s="147"/>
      <c r="BC980" s="147"/>
    </row>
    <row r="981">
      <c r="J981" s="146"/>
      <c r="N981" s="147"/>
      <c r="Y981" s="147"/>
      <c r="AJ981" s="147"/>
      <c r="AU981" s="147"/>
      <c r="AZ981" s="147"/>
      <c r="BC981" s="147"/>
    </row>
    <row r="982">
      <c r="J982" s="146"/>
      <c r="N982" s="147"/>
      <c r="Y982" s="147"/>
      <c r="AJ982" s="147"/>
      <c r="AU982" s="147"/>
      <c r="AZ982" s="147"/>
      <c r="BC982" s="147"/>
    </row>
    <row r="983">
      <c r="J983" s="146"/>
      <c r="N983" s="147"/>
      <c r="Y983" s="147"/>
      <c r="AJ983" s="147"/>
      <c r="AU983" s="147"/>
      <c r="AZ983" s="147"/>
      <c r="BC983" s="147"/>
    </row>
    <row r="984">
      <c r="J984" s="146"/>
      <c r="N984" s="147"/>
      <c r="Y984" s="147"/>
      <c r="AJ984" s="147"/>
      <c r="AU984" s="147"/>
      <c r="AZ984" s="147"/>
      <c r="BC984" s="147"/>
    </row>
    <row r="985">
      <c r="J985" s="146"/>
      <c r="N985" s="147"/>
      <c r="Y985" s="147"/>
      <c r="AJ985" s="147"/>
      <c r="AU985" s="147"/>
      <c r="AZ985" s="147"/>
      <c r="BC985" s="147"/>
    </row>
    <row r="986">
      <c r="J986" s="146"/>
      <c r="N986" s="147"/>
      <c r="Y986" s="147"/>
      <c r="AJ986" s="147"/>
      <c r="AU986" s="147"/>
      <c r="AZ986" s="147"/>
      <c r="BC986" s="147"/>
    </row>
    <row r="987">
      <c r="J987" s="146"/>
      <c r="N987" s="147"/>
      <c r="Y987" s="147"/>
      <c r="AJ987" s="147"/>
      <c r="AU987" s="147"/>
      <c r="AZ987" s="147"/>
      <c r="BC987" s="147"/>
    </row>
    <row r="988">
      <c r="J988" s="146"/>
      <c r="N988" s="147"/>
      <c r="Y988" s="147"/>
      <c r="AJ988" s="147"/>
      <c r="AU988" s="147"/>
      <c r="AZ988" s="147"/>
      <c r="BC988" s="147"/>
    </row>
    <row r="989">
      <c r="J989" s="146"/>
      <c r="N989" s="147"/>
      <c r="Y989" s="147"/>
      <c r="AJ989" s="147"/>
      <c r="AU989" s="147"/>
      <c r="AZ989" s="147"/>
      <c r="BC989" s="147"/>
    </row>
    <row r="990">
      <c r="J990" s="146"/>
      <c r="N990" s="147"/>
      <c r="Y990" s="147"/>
      <c r="AJ990" s="147"/>
      <c r="AU990" s="147"/>
      <c r="AZ990" s="147"/>
      <c r="BC990" s="147"/>
    </row>
    <row r="991">
      <c r="J991" s="146"/>
      <c r="N991" s="147"/>
      <c r="Y991" s="147"/>
      <c r="AJ991" s="147"/>
      <c r="AU991" s="147"/>
      <c r="AZ991" s="147"/>
      <c r="BC991" s="147"/>
    </row>
    <row r="992">
      <c r="J992" s="146"/>
      <c r="N992" s="147"/>
      <c r="Y992" s="147"/>
      <c r="AJ992" s="147"/>
      <c r="AU992" s="147"/>
      <c r="AZ992" s="147"/>
      <c r="BC992" s="147"/>
    </row>
    <row r="993">
      <c r="J993" s="146"/>
      <c r="N993" s="147"/>
      <c r="Y993" s="147"/>
      <c r="AJ993" s="147"/>
      <c r="AU993" s="147"/>
      <c r="AZ993" s="147"/>
      <c r="BC993" s="147"/>
    </row>
    <row r="994">
      <c r="J994" s="146"/>
      <c r="N994" s="147"/>
      <c r="Y994" s="147"/>
      <c r="AJ994" s="147"/>
      <c r="AU994" s="147"/>
      <c r="AZ994" s="147"/>
      <c r="BC994" s="147"/>
    </row>
    <row r="995">
      <c r="J995" s="146"/>
      <c r="N995" s="147"/>
      <c r="Y995" s="147"/>
      <c r="AJ995" s="147"/>
      <c r="AU995" s="147"/>
      <c r="AZ995" s="147"/>
      <c r="BC995" s="147"/>
    </row>
    <row r="996">
      <c r="J996" s="146"/>
      <c r="N996" s="147"/>
      <c r="Y996" s="147"/>
      <c r="AJ996" s="147"/>
      <c r="AU996" s="147"/>
      <c r="AZ996" s="147"/>
      <c r="BC996" s="147"/>
    </row>
    <row r="997">
      <c r="J997" s="146"/>
      <c r="N997" s="147"/>
      <c r="Y997" s="147"/>
      <c r="AJ997" s="147"/>
      <c r="AU997" s="147"/>
      <c r="AZ997" s="147"/>
      <c r="BC997" s="147"/>
    </row>
    <row r="998">
      <c r="J998" s="146"/>
      <c r="N998" s="147"/>
      <c r="Y998" s="147"/>
      <c r="AJ998" s="147"/>
      <c r="AU998" s="147"/>
      <c r="AZ998" s="147"/>
      <c r="BC998" s="147"/>
    </row>
    <row r="999">
      <c r="J999" s="146"/>
      <c r="N999" s="147"/>
      <c r="Y999" s="147"/>
      <c r="AJ999" s="147"/>
      <c r="AU999" s="147"/>
      <c r="AZ999" s="147"/>
      <c r="BC999" s="147"/>
    </row>
  </sheetData>
  <mergeCells count="31">
    <mergeCell ref="N3:X3"/>
    <mergeCell ref="Y3:AI3"/>
    <mergeCell ref="AZ3:AZ4"/>
    <mergeCell ref="BA3:BA4"/>
    <mergeCell ref="BB3:BB4"/>
    <mergeCell ref="BC3:BC4"/>
    <mergeCell ref="A3:A5"/>
    <mergeCell ref="I4:I5"/>
    <mergeCell ref="J4:J5"/>
    <mergeCell ref="K4:K5"/>
    <mergeCell ref="B2:E2"/>
    <mergeCell ref="I2:AI2"/>
    <mergeCell ref="AJ2:AT2"/>
    <mergeCell ref="AU2:AY2"/>
    <mergeCell ref="AZ2:BB2"/>
    <mergeCell ref="BC2:BD2"/>
    <mergeCell ref="BD3:BD4"/>
    <mergeCell ref="B3:B5"/>
    <mergeCell ref="C3:C5"/>
    <mergeCell ref="D3:D5"/>
    <mergeCell ref="E3:E5"/>
    <mergeCell ref="F3:F5"/>
    <mergeCell ref="G3:G4"/>
    <mergeCell ref="H3:H5"/>
    <mergeCell ref="I3:M3"/>
    <mergeCell ref="AJ3:AO3"/>
    <mergeCell ref="AP3:AT3"/>
    <mergeCell ref="AU3:AU4"/>
    <mergeCell ref="AV3:AV4"/>
    <mergeCell ref="AX3:AX4"/>
    <mergeCell ref="AY3:AY4"/>
  </mergeCells>
  <dataValidations>
    <dataValidation type="list" allowBlank="1" showErrorMessage="1" sqref="T6:T12 Z6:Z12 AE6:AE12 O6:O17">
      <formula1>"Divider (Concrete),Divider (Planter),Pavement,Pavement (Elevated),Pevement Ramp (Elevated),Bund,Planterbox (Curb),N/A"</formula1>
    </dataValidation>
    <dataValidation type="list" allowBlank="1" showErrorMessage="1" sqref="AP8:AP11 AK6:AK12">
      <formula1>"FFL Gutter,Elevated Gutter,No Gutter,Required"</formula1>
    </dataValidation>
    <dataValidation type="list" allowBlank="1" showErrorMessage="1" sqref="Y6:Y12">
      <formula1>"South,West"</formula1>
    </dataValidation>
    <dataValidation type="list" allowBlank="1" showErrorMessage="1" sqref="R6:R12 W6:W12 AC6:AC12 AH6:AH12 AN6:AN12 AS6:AS12 AY6:AY12 M6:M21">
      <formula1>"Good,Required,Outdated,Maintiance ,N/A,Additional Required"</formula1>
    </dataValidation>
    <dataValidation type="list" allowBlank="1" showErrorMessage="1" sqref="AU6:AU12 AZ7:AZ12">
      <formula1>"Yes,No,Required,NA"</formula1>
    </dataValidation>
    <dataValidation type="list" allowBlank="1" showErrorMessage="1" sqref="J6:J21">
      <formula1>"Comercial,Residential,Main Rd,R-Conservency"</formula1>
    </dataValidation>
    <dataValidation type="list" allowBlank="1" showErrorMessage="1" sqref="BC6:BC12">
      <formula1>"LED- Pole,LED- LT Line,Solar,Sodium,Required,NA"</formula1>
    </dataValidation>
    <dataValidation type="list" allowBlank="1" showErrorMessage="1" sqref="K6:K21">
      <formula1>"Concrete,Tar,Mud,Gravell"</formula1>
    </dataValidation>
    <dataValidation type="list" allowBlank="1" showErrorMessage="1" sqref="I6:I18 I20">
      <formula1>"Yes,No,Damaged"</formula1>
    </dataValidation>
    <dataValidation type="list" allowBlank="1" showErrorMessage="1" sqref="AJ6:AJ12 N6:N21">
      <formula1>"North,East"</formula1>
    </dataValidation>
    <dataValidation type="list" allowBlank="1" showErrorMessage="1" sqref="AV6:AV12">
      <formula1>"Concrete,PVC,Stone"</formula1>
    </dataValidation>
  </dataValidation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</hyperlinks>
  <drawing r:id="rId8"/>
</worksheet>
</file>