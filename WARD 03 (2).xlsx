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Data sheet" sheetId="2" r:id="rId6"/>
    <sheet state="visible" name="Sheet5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tc={088add40-e910-4294-82cb-c74456293fcb}</author>
    <author>tc={175ed210-56b1-46f8-9eba-cffadc5b42e4}</author>
    <author>tc={287d42de-3e89-4d5a-9c5d-71c5177c6617}</author>
    <author>tc={2ef3bc06-80b6-4052-9fe8-48c1d1718116}</author>
    <author>tc={5ed0812d-30b9-4628-b884-7f9c6777b5aa}</author>
    <author>tc={6288741f-6446-455c-acc2-2977e2c20fb3}</author>
    <author>tc={6be05a9f-3bfc-4ec8-80cb-c1cb467ef696}</author>
    <author>tc={6f0a629c-de37-4534-ac28-5dfd064358e6}</author>
    <author>tc={9828eb7c-48d0-4e7d-b176-e57c97581bd7}</author>
    <author>tc={a60b46ee-a098-4b12-be91-f9f85648f27a}</author>
    <author>tc={c7e2aef1-188d-40bd-a77e-635aa5e59e2c}</author>
    <author>tc={f5c8a9f4-539f-4f16-990b-a9d019e9e284}</author>
    <author>tc={fcc44a3c-8a3f-4f37-924e-e3acf2119053}</author>
  </authors>
  <commentList>
    <comment authorId="0" xr:uid="{088add40-e910-4294-82cb-c74456293fcb}" ref="BD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hope everyone understands the difference between: LED-Pole and LED-LT Line and is reporting it as such
</t>
      </text>
    </comment>
    <comment authorId="1" xr:uid="{175ed210-56b1-46f8-9eba-cffadc5b42e4}" ref="T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Ward Surveyor: Notes= pavement required, but there is no space for pavement. Is this Concrete-SWG situation?
</t>
      </text>
    </comment>
    <comment authorId="2" xr:uid="{287d42de-3e89-4d5a-9c5d-71c5177c6617}" ref="BB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Ward surveyor: Should this be blank or n/a or required? do not leave anything empty, it causes ambiguity.
</t>
      </text>
    </comment>
    <comment authorId="3" xr:uid="{2ef3bc06-80b6-4052-9fe8-48c1d1718116}" ref="AZ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Wouldn't all of these be "Required" as UGD is not present on these roads?
</t>
      </text>
    </comment>
    <comment authorId="4" xr:uid="{5ed0812d-30b9-4628-b884-7f9c6777b5aa}" ref="AA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am guessing that this is exposed soil. Is it exposed soil or a bund. A Bund, to clarify, is an incline that is not walkable on, as found near highway survey roads.
</t>
      </text>
    </comment>
    <comment authorId="5" xr:uid="{6288741f-6446-455c-acc2-2977e2c20fb3}" ref="I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is the wrong road, it comes in north
</t>
      </text>
    </comment>
    <comment authorId="6" xr:uid="{6be05a9f-3bfc-4ec8-80cb-c1cb467ef696}" ref="AD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How can you have pavement requirement when there is no attachment width. Hypothetically, there would no place for pavers.
</t>
      </text>
    </comment>
    <comment authorId="7" xr:uid="{6f0a629c-de37-4534-ac28-5dfd064358e6}" ref="AW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if No then subsequent data should be: n/a or 0, accordingly
</t>
      </text>
    </comment>
    <comment authorId="8" xr:uid="{9828eb7c-48d0-4e7d-b176-e57c97581bd7}" ref="T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Ward Surveyor: If there is no space for pavement then I cannot put pavers. Leave this blank?
</t>
      </text>
    </comment>
    <comment authorId="9" xr:uid="{a60b46ee-a098-4b12-be91-f9f85648f27a}" ref="AD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According to entered data. There is no space, it is not Exposed soil. How can pavers be required.
</t>
      </text>
    </comment>
    <comment authorId="10" xr:uid="{c7e2aef1-188d-40bd-a77e-635aa5e59e2c}" ref="AE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Ward Surveyor: Pavement required. But there is no width in attachment 1. Therfore just leave this as 'n/a'?
</t>
      </text>
    </comment>
    <comment authorId="11" xr:uid="{f5c8a9f4-539f-4f16-990b-a9d019e9e284}" ref="AO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Ward surveyor: Is it required or no Gutter. Because some streets purposefully dont have SWG cause they are not required due to site constraints(no space for SWG).
</t>
      </text>
    </comment>
    <comment authorId="12" xr:uid="{fcc44a3c-8a3f-4f37-924e-e3acf2119053}" ref="T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Ward surveyor: Notes = pavement required. But Attactchment 1 width is not mentioned, therefore understood to be '0.' where can I find place for pavers.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tc={29b1e00c-9891-482d-afdb-3eedb9e831cb}</author>
  </authors>
  <commentList>
    <comment authorId="0" xr:uid="{29b1e00c-9891-482d-afdb-3eedb9e831cb}" ref="D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gutter req. Usually refers to smaller length roads with adequate incline. Where there is bot no space for or no need for a stormwater gutter.
</t>
      </text>
    </comment>
  </commentList>
</comments>
</file>

<file path=xl/sharedStrings.xml><?xml version="1.0" encoding="utf-8"?>
<sst xmlns="http://schemas.openxmlformats.org/spreadsheetml/2006/main" count="3351" uniqueCount="344">
  <si>
    <t>Ward No:</t>
  </si>
  <si>
    <t>Ward Name:</t>
  </si>
  <si>
    <t>Siddrameshwara badavane, Mandakibatti Layout, AK Colony</t>
  </si>
  <si>
    <t>Total Number of Roads</t>
  </si>
  <si>
    <t>nos</t>
  </si>
  <si>
    <t>Total Road Length</t>
  </si>
  <si>
    <t>Timestamp</t>
  </si>
  <si>
    <t>Email address</t>
  </si>
  <si>
    <t>Surveyor Name</t>
  </si>
  <si>
    <t>Column 58</t>
  </si>
  <si>
    <t>Road Name (Main)</t>
  </si>
  <si>
    <t>Road Name (Cross)</t>
  </si>
  <si>
    <t>Area Name</t>
  </si>
  <si>
    <t>Dist. (m)</t>
  </si>
  <si>
    <t>Location (Google Maps link)</t>
  </si>
  <si>
    <t>Road Sign</t>
  </si>
  <si>
    <t>Use</t>
  </si>
  <si>
    <t>Material</t>
  </si>
  <si>
    <t>km</t>
  </si>
  <si>
    <t>Width (m)</t>
  </si>
  <si>
    <t>Road Condition</t>
  </si>
  <si>
    <t>Side (N/E)</t>
  </si>
  <si>
    <t>Attachment 1 Type</t>
  </si>
  <si>
    <t>Attachment 1 Width (m)</t>
  </si>
  <si>
    <t>Length</t>
  </si>
  <si>
    <t>Attachment 1 Dated</t>
  </si>
  <si>
    <t>Area</t>
  </si>
  <si>
    <t>Action</t>
  </si>
  <si>
    <t>Std Rate min</t>
  </si>
  <si>
    <t>Std Rate max</t>
  </si>
  <si>
    <t>Attachment 1 Condition</t>
  </si>
  <si>
    <t>Estimation</t>
  </si>
  <si>
    <t>Attachment 1 Notes</t>
  </si>
  <si>
    <t>Notes</t>
  </si>
  <si>
    <t>Attachment 2 Type</t>
  </si>
  <si>
    <t>Attachment 2 Width (m)</t>
  </si>
  <si>
    <t>unit</t>
  </si>
  <si>
    <t>#</t>
  </si>
  <si>
    <t>m</t>
  </si>
  <si>
    <t>Attachment 2 Dated</t>
  </si>
  <si>
    <t>sqm</t>
  </si>
  <si>
    <t>Attachment 2 Condition</t>
  </si>
  <si>
    <t>INR</t>
  </si>
  <si>
    <t>Attachment 2 Notes</t>
  </si>
  <si>
    <t>I. Road</t>
  </si>
  <si>
    <t>Side (S/W)</t>
  </si>
  <si>
    <t>Attachment 1 Type (S/W)</t>
  </si>
  <si>
    <t>Attachment 1 Width (m) (S/W)</t>
  </si>
  <si>
    <t>Rd.Sign</t>
  </si>
  <si>
    <t>Attachment 1 Dated (S/W)</t>
  </si>
  <si>
    <t>Yes</t>
  </si>
  <si>
    <t>Attachment 1 Condition (S/W)</t>
  </si>
  <si>
    <t>Attachment 1 Notes (S/W)</t>
  </si>
  <si>
    <t>Attachment 2 Type (S/W)</t>
  </si>
  <si>
    <t>Attachment 2 Width (m) (S/W)</t>
  </si>
  <si>
    <t>Attachment 2 Dated (S/W)</t>
  </si>
  <si>
    <t>Attachment 2 Condition (S/W)</t>
  </si>
  <si>
    <t>Attachment 2 Notes (S/W)</t>
  </si>
  <si>
    <t>na</t>
  </si>
  <si>
    <t>SWG Side (N/E)</t>
  </si>
  <si>
    <t>SWG Type (N/E)</t>
  </si>
  <si>
    <t>SWG Width (m) (N/E)</t>
  </si>
  <si>
    <t>SWG Dated (N/E)</t>
  </si>
  <si>
    <t>No</t>
  </si>
  <si>
    <t>SWG Condition (N/E)</t>
  </si>
  <si>
    <t>SWG Notes (N/E)</t>
  </si>
  <si>
    <t>SWG Side (S/W)</t>
  </si>
  <si>
    <t>SWG Width (m) (S/W)</t>
  </si>
  <si>
    <t>SWG Dated (S/W)</t>
  </si>
  <si>
    <t>SWG Condition (S/W)</t>
  </si>
  <si>
    <t>SWG Notes (S/W)</t>
  </si>
  <si>
    <t>UGD Existing</t>
  </si>
  <si>
    <t>UGD Type</t>
  </si>
  <si>
    <t>UGD Date</t>
  </si>
  <si>
    <t>UGD Pipe Dia (mm)</t>
  </si>
  <si>
    <t>Damaged</t>
  </si>
  <si>
    <t>UGD Condition</t>
  </si>
  <si>
    <t>Jalasiri Existing</t>
  </si>
  <si>
    <t>Jalasiri Condition</t>
  </si>
  <si>
    <t>Jalasiri Note</t>
  </si>
  <si>
    <t>Light Type</t>
  </si>
  <si>
    <t>Electrical Condition</t>
  </si>
  <si>
    <t>Electrical Notes</t>
  </si>
  <si>
    <t>Road Type</t>
  </si>
  <si>
    <t>Main Rd</t>
  </si>
  <si>
    <t/>
  </si>
  <si>
    <t>Soumya s s</t>
  </si>
  <si>
    <t xml:space="preserve">1st main </t>
  </si>
  <si>
    <t>1st cross</t>
  </si>
  <si>
    <t>Azaad nagar</t>
  </si>
  <si>
    <t>https://maps.app.goo.gl/HyYPiq6CU7WYDUio7?g_st=ac</t>
  </si>
  <si>
    <t>Comercial</t>
  </si>
  <si>
    <t>Concrete</t>
  </si>
  <si>
    <t>Good</t>
  </si>
  <si>
    <t>North</t>
  </si>
  <si>
    <t>Bund</t>
  </si>
  <si>
    <t>??</t>
  </si>
  <si>
    <t>--</t>
  </si>
  <si>
    <t>Residential</t>
  </si>
  <si>
    <t>South</t>
  </si>
  <si>
    <t>Required</t>
  </si>
  <si>
    <t>Bund pavement connected to road pavement required</t>
  </si>
  <si>
    <t>Conservency</t>
  </si>
  <si>
    <t>FFL Gutter</t>
  </si>
  <si>
    <t>PVC</t>
  </si>
  <si>
    <t>Maintenance</t>
  </si>
  <si>
    <t>Jalasiri is their but no water</t>
  </si>
  <si>
    <t>LED- Pole</t>
  </si>
  <si>
    <t>Gravell</t>
  </si>
  <si>
    <t>Convert to concrete</t>
  </si>
  <si>
    <t xml:space="preserve">1st </t>
  </si>
  <si>
    <t>Bidi layout</t>
  </si>
  <si>
    <t>Mud</t>
  </si>
  <si>
    <t>https://maps.app.goo.gl/cR9D6bG4V1ae3t969</t>
  </si>
  <si>
    <t>Tar</t>
  </si>
  <si>
    <t>East</t>
  </si>
  <si>
    <t>Pavers (Elevated)</t>
  </si>
  <si>
    <t>Pavement attached to road pavement required</t>
  </si>
  <si>
    <t>White Topping</t>
  </si>
  <si>
    <t>West</t>
  </si>
  <si>
    <t>II. Attachment (N,S,E,W)</t>
  </si>
  <si>
    <t>Type (N/S) + (E/W)</t>
  </si>
  <si>
    <t>Pavers</t>
  </si>
  <si>
    <t>Jalasiri outdated</t>
  </si>
  <si>
    <t>Pavers Ramp (Elevated)</t>
  </si>
  <si>
    <t>1st main</t>
  </si>
  <si>
    <t>2nd cross</t>
  </si>
  <si>
    <t>https://maps.app.goo.gl/pLHN18cH3mcV2gzw9</t>
  </si>
  <si>
    <t>Divider (Concrete)</t>
  </si>
  <si>
    <t>Divider (Planter)</t>
  </si>
  <si>
    <t>Curb (Planterbox)</t>
  </si>
  <si>
    <t>Exposed Soil</t>
  </si>
  <si>
    <t xml:space="preserve">Soumya s s </t>
  </si>
  <si>
    <t>PER CUM</t>
  </si>
  <si>
    <t>3rd cross</t>
  </si>
  <si>
    <t>https://maps.app.goo.gl/Gp5QtpNYPznhNUFv7</t>
  </si>
  <si>
    <t>n/a</t>
  </si>
  <si>
    <t>Condition</t>
  </si>
  <si>
    <t xml:space="preserve">Jalasiri existed but water is not comming </t>
  </si>
  <si>
    <t>4th cross</t>
  </si>
  <si>
    <t>https://maps.app.goo.gl/73voYDzBPYqGWaVC6</t>
  </si>
  <si>
    <t>Additional Required</t>
  </si>
  <si>
    <t>Outdated</t>
  </si>
  <si>
    <t>III. SWG (N,S,E,W)</t>
  </si>
  <si>
    <t>Jalasiri existed but no water supply</t>
  </si>
  <si>
    <t>5th cross</t>
  </si>
  <si>
    <t>https://maps.app.goo.gl/otZnEJ3NMnsQtbne7?g_st=ac</t>
  </si>
  <si>
    <t>Elevated Gutter</t>
  </si>
  <si>
    <t>No Gutter req</t>
  </si>
  <si>
    <t>6th cross</t>
  </si>
  <si>
    <t>https://maps.app.goo.gl/ivVsEADrkyEbaTQx5</t>
  </si>
  <si>
    <t>7th cross</t>
  </si>
  <si>
    <t>IIV. UGD</t>
  </si>
  <si>
    <t>https://maps.app.goo.gl/Df5abVQ39khu3Uuh8</t>
  </si>
  <si>
    <t>Existing</t>
  </si>
  <si>
    <t>Type</t>
  </si>
  <si>
    <t>Stone</t>
  </si>
  <si>
    <t>Soumya ss</t>
  </si>
  <si>
    <t>1 st main</t>
  </si>
  <si>
    <t>8 cross</t>
  </si>
  <si>
    <t>UPVC</t>
  </si>
  <si>
    <t>https://maps.app.goo.gl/UXn4hyJBM4gBniBG7</t>
  </si>
  <si>
    <t>Jalasiri existed no water supply</t>
  </si>
  <si>
    <t xml:space="preserve">9th cross </t>
  </si>
  <si>
    <t>V. JALASIRI</t>
  </si>
  <si>
    <t>https://maps.app.goo.gl/JUJn9VHdQRsdEYSZA?g_st=ac</t>
  </si>
  <si>
    <t>VI.ELECTRICAL</t>
  </si>
  <si>
    <t>LED- LT Line</t>
  </si>
  <si>
    <t>10th cross</t>
  </si>
  <si>
    <t>https://maps.app.goo.gl/nkQ4fBa1y3aMdDz49</t>
  </si>
  <si>
    <t>Solar</t>
  </si>
  <si>
    <t>Sodium</t>
  </si>
  <si>
    <t xml:space="preserve">11th cross </t>
  </si>
  <si>
    <t>https://maps.app.goo.gl/5qn9egSj5c6xphs1A</t>
  </si>
  <si>
    <t xml:space="preserve">Jalasiri existed but no water supply </t>
  </si>
  <si>
    <t>12 cross</t>
  </si>
  <si>
    <t>https://maps.app.goo.gl/8v5xbD6h6CkqVHNF6?g_st=ac</t>
  </si>
  <si>
    <t>13 th cross</t>
  </si>
  <si>
    <t>https://maps.app.goo.gl/isNVvj3Wc2z2nD8r9</t>
  </si>
  <si>
    <t>14 th cross</t>
  </si>
  <si>
    <t xml:space="preserve">Bidi layout </t>
  </si>
  <si>
    <t>https://maps.app.goo.gl/PHKZsxb1V8Y7txZD7</t>
  </si>
  <si>
    <t xml:space="preserve">1 st main </t>
  </si>
  <si>
    <t>15 th cross</t>
  </si>
  <si>
    <t>https://maps.app.goo.gl/YiVV8djsuY1DHvJU9</t>
  </si>
  <si>
    <t>Jalasiri existed but no water</t>
  </si>
  <si>
    <t>16th cross</t>
  </si>
  <si>
    <t>https://maps.app.goo.gl/ZQsxAzmAg1afNERX9</t>
  </si>
  <si>
    <t xml:space="preserve">Prashantgouda </t>
  </si>
  <si>
    <t xml:space="preserve">1st Main </t>
  </si>
  <si>
    <t>2st cross</t>
  </si>
  <si>
    <t>Siddrameshwara badavane</t>
  </si>
  <si>
    <t>https://maps.app.goo.gl/UkQT9iL1ejTnDw2h7?g_st=ac</t>
  </si>
  <si>
    <t>Connected to concrete road</t>
  </si>
  <si>
    <t>https://maps.app.goo.gl/Eyop4MuNCTYp9V246?g_st=ac</t>
  </si>
  <si>
    <t>https://maps.app.goo.gl/fT28yezdSeraqi5F7?g_st=ac</t>
  </si>
  <si>
    <t xml:space="preserve">Siddrameshwara badavane </t>
  </si>
  <si>
    <t>https://maps.app.goo.gl/uwvqdukQZGHBhoeC8</t>
  </si>
  <si>
    <t>Prashanth gouda</t>
  </si>
  <si>
    <t>https://maps.app.goo.gl/wGrr18xVuGJtkHQo9?g_st=ac</t>
  </si>
  <si>
    <t xml:space="preserve">Prashant gouda </t>
  </si>
  <si>
    <t xml:space="preserve">Siddrameshwara </t>
  </si>
  <si>
    <t>https://maps.app.goo.gl/rcL8LVYAkqJE6gMW6</t>
  </si>
  <si>
    <t>8th cross</t>
  </si>
  <si>
    <t>https://maps.app.goo.gl/34xQrweB3GAfJnLMA</t>
  </si>
  <si>
    <t>9th cross</t>
  </si>
  <si>
    <t>https://maps.app.goo.gl/FbwqRkSNd5Ucc5Lq6?g_st=ac</t>
  </si>
  <si>
    <t>https://maps.app.goo.gl/EmzyAGQpx7a9zo39A</t>
  </si>
  <si>
    <t>11th cross</t>
  </si>
  <si>
    <t>https://maps.app.goo.gl/qYyV4pYMmyXpHWUS6</t>
  </si>
  <si>
    <t>1st main A</t>
  </si>
  <si>
    <t>https://maps.app.goo.gl/GCbNP1vpsCcVpKG18?g_st=ac</t>
  </si>
  <si>
    <t xml:space="preserve">Pavement required </t>
  </si>
  <si>
    <t xml:space="preserve">Drains required </t>
  </si>
  <si>
    <t>1st main A1</t>
  </si>
  <si>
    <t>https://maps.app.goo.gl/VexQPgpTcK9stuXc8</t>
  </si>
  <si>
    <t>Prashantgouda 0</t>
  </si>
  <si>
    <t>1st main A2</t>
  </si>
  <si>
    <t>https://maps.app.goo.gl/Gyte2Ym1A7gVH1P9A?g_st=ac</t>
  </si>
  <si>
    <t xml:space="preserve">Prashanth gouda </t>
  </si>
  <si>
    <t>1st main A3</t>
  </si>
  <si>
    <t xml:space="preserve">Mandaki batti </t>
  </si>
  <si>
    <t>https://maps.app.goo.gl/EPiDB89RWVuwzdT98?g_st=ac</t>
  </si>
  <si>
    <t>1st main A4</t>
  </si>
  <si>
    <t>https://maps.app.goo.gl/roQp3nEBCazbajW98</t>
  </si>
  <si>
    <t>1st main A5</t>
  </si>
  <si>
    <t>https://maps.app.goo.gl/xpvZkofXeCZ2MJs78?g_st=ac</t>
  </si>
  <si>
    <t>1st main A6</t>
  </si>
  <si>
    <t>https://maps.app.goo.gl/jN3HSy1G9U6NNS9G8</t>
  </si>
  <si>
    <t>1st main A7</t>
  </si>
  <si>
    <t>https://maps.app.goo.gl/CYcLL6F5vdt224Xw5</t>
  </si>
  <si>
    <t>1st main A8</t>
  </si>
  <si>
    <t>https://maps.app.goo.gl/B75DtKzRCGJ5tGgEA?g_st=ac</t>
  </si>
  <si>
    <t>Vishalaxi.B.T</t>
  </si>
  <si>
    <t>https://maps.app.goo.gl/PS2wrF9qx4FZstJ76</t>
  </si>
  <si>
    <t>Vishalaxi</t>
  </si>
  <si>
    <t>https://maps.app.goo.gl/a4nSjUo1XAt5FUAw7</t>
  </si>
  <si>
    <t>11 th cross A</t>
  </si>
  <si>
    <t>https://maps.app.goo.gl/oL9aC5k7Jtz1vfPQ9</t>
  </si>
  <si>
    <t>11th cross B</t>
  </si>
  <si>
    <t>https://maps.app.goo.gl/KHrBuuMLGfa9UZ687</t>
  </si>
  <si>
    <t>11th cross C</t>
  </si>
  <si>
    <t>https://maps.app.goo.gl/KcucurVAp9hh3eBt8?g_st=ac</t>
  </si>
  <si>
    <t>11th cross D</t>
  </si>
  <si>
    <t>https://maps.app.goo.gl/izeTrSbTBZzXycPT6?g_st=ac</t>
  </si>
  <si>
    <t>11th cross E</t>
  </si>
  <si>
    <t>https://maps.app.goo.gl/t3HGcRt7S62LG1Cz5?g_st=ac</t>
  </si>
  <si>
    <t>11th cross E1</t>
  </si>
  <si>
    <t>https://maps.app.goo.gl/TC9PFqDZiTnZ6oPM8?g_st=ac</t>
  </si>
  <si>
    <t>11th cross E2</t>
  </si>
  <si>
    <t>https://maps.app.goo.gl/MnayCo5toFbUcmhV6</t>
  </si>
  <si>
    <t>11th cross F</t>
  </si>
  <si>
    <t>https://maps.app.goo.gl/crWi5yrqaWbeEBaU7?g_st=ac</t>
  </si>
  <si>
    <t>11th cross G</t>
  </si>
  <si>
    <t>https://maps.app.goo.gl/1zeBgaueo3K66TBq6?g_st=ac</t>
  </si>
  <si>
    <t>11th cross H</t>
  </si>
  <si>
    <t>https://maps.app.goo.gl/fMTmMQq34qXsN2X99?g_st=ac</t>
  </si>
  <si>
    <t>11th cross l</t>
  </si>
  <si>
    <t>https://maps.app.goo.gl/SkBGFBNfSGrrNKU3A</t>
  </si>
  <si>
    <t>11th cross J</t>
  </si>
  <si>
    <t>https://maps.app.goo.gl/SBCHKhQhHqzrqdqU7</t>
  </si>
  <si>
    <t>11th cross K</t>
  </si>
  <si>
    <t>https://maps.app.goo.gl/i3WNH2ouwfBVYDWt8</t>
  </si>
  <si>
    <t>11th cross L</t>
  </si>
  <si>
    <t>https://maps.app.goo.gl/3TjWiCqcc9JD4RcBA</t>
  </si>
  <si>
    <t>11th cross L1</t>
  </si>
  <si>
    <t>https://maps.app.goo.gl/FL3g84qiYuzcp51V9</t>
  </si>
  <si>
    <t>11th cross L2</t>
  </si>
  <si>
    <t>https://maps.app.goo.gl/oapMWhcWAgyfquyM9</t>
  </si>
  <si>
    <t>11th cross M</t>
  </si>
  <si>
    <t>https://maps.app.goo.gl/mcX7yB8PYjhF2ggy9</t>
  </si>
  <si>
    <t>1 st cross</t>
  </si>
  <si>
    <t>Mandaki batti</t>
  </si>
  <si>
    <t>https://maps.app.goo.gl/ufy2G6jRCXpYvcDz5?g_st=ac</t>
  </si>
  <si>
    <t>https://maps.app.goo.gl/u4GpWhRS8EnWHWxE6?g_st=ac</t>
  </si>
  <si>
    <t>https://maps.app.goo.gl/uGTiYAL5Wf19aprS7?g_st=ac</t>
  </si>
  <si>
    <t>https://maps.app.goo.gl/fh3hpokbgywLHvkQ9</t>
  </si>
  <si>
    <t>https://maps.app.goo.gl/cHuE4GxaakqpvYEW7</t>
  </si>
  <si>
    <t>https://maps.app.goo.gl/e2kVtBo4TPaMp7EU6</t>
  </si>
  <si>
    <t xml:space="preserve">7th cross </t>
  </si>
  <si>
    <t>https://maps.app.goo.gl/mtVtsmUa87Xyxdc29</t>
  </si>
  <si>
    <t>8thcross</t>
  </si>
  <si>
    <t>https://maps.app.goo.gl/fYUAJmuSQKJc9c1a8?g_st=ac</t>
  </si>
  <si>
    <t>https://maps.app.goo.gl/qZJBzjRoAGoxfyQm8?g_st=ac</t>
  </si>
  <si>
    <t>https://maps.app.goo.gl/M9t8NSkvvR1vvUPQ6</t>
  </si>
  <si>
    <t>1stcross</t>
  </si>
  <si>
    <t>jogal road</t>
  </si>
  <si>
    <t>https://maps.app.goo.gl/DYAagm6T5PsLfKiw7?g_st=ac</t>
  </si>
  <si>
    <t>https://maps.app.goo.gl/qE4tQYEXiErejy1v7?g_st=ac</t>
  </si>
  <si>
    <t>https://maps.app.goo.gl/FPDDftGSHGgfQvTd6</t>
  </si>
  <si>
    <t>Jogal road</t>
  </si>
  <si>
    <t>https://maps.app.goo.gl/SmGqc1b83ge8kyDFA?g_st=ac</t>
  </si>
  <si>
    <t xml:space="preserve">4th cross </t>
  </si>
  <si>
    <t xml:space="preserve">Jogal road </t>
  </si>
  <si>
    <t>https://maps.app.goo.gl/SZdsRcoe3T88qHQM6</t>
  </si>
  <si>
    <t>https://maps.app.goo.gl/AkhPAW7KNp9c5ad78?g_st=ac</t>
  </si>
  <si>
    <t>2md main</t>
  </si>
  <si>
    <t>https://maps.app.goo.gl/UESuUgY6C9knwhBD8</t>
  </si>
  <si>
    <t>No Gutter</t>
  </si>
  <si>
    <t xml:space="preserve">2nd main </t>
  </si>
  <si>
    <t>https://maps.app.goo.gl/4uS2v85fnGf1QUBx5?g_st=ac</t>
  </si>
  <si>
    <t>2nd main</t>
  </si>
  <si>
    <t>https://maps.app.goo.gl/PHkLwbNDAqph2Bsr9?g_st=ac</t>
  </si>
  <si>
    <t xml:space="preserve">Jalasiri existed but no water supply
</t>
  </si>
  <si>
    <t>3rd main</t>
  </si>
  <si>
    <t>BIDI layout</t>
  </si>
  <si>
    <t>https://maps.app.goo.gl/x2mLwmB8hm5WCY6r5?g_st=ac</t>
  </si>
  <si>
    <t xml:space="preserve">No water supply </t>
  </si>
  <si>
    <t xml:space="preserve">BIDI layout </t>
  </si>
  <si>
    <t>https://maps.app.goo.gl/yu85disUwreHxxdV7</t>
  </si>
  <si>
    <t>2 nd cross</t>
  </si>
  <si>
    <t>https://maps.app.goo.gl/UnnfPUXHiSNP4vsh6?g_st=ac</t>
  </si>
  <si>
    <t>2nd cross(A)</t>
  </si>
  <si>
    <t>https://maps.app.goo.gl/qJi6x1mgfBpKFhSq7?g_st=ac</t>
  </si>
  <si>
    <t xml:space="preserve">3rd main </t>
  </si>
  <si>
    <t>2nd cross (B)</t>
  </si>
  <si>
    <t xml:space="preserve">BIDI LAYOUT </t>
  </si>
  <si>
    <t>https://maps.app.goo.gl/P2jErRZDpZJyRANWA</t>
  </si>
  <si>
    <t>https://maps.app.goo.gl/Bptw6KveTJPwneqFA?g_st=ac</t>
  </si>
  <si>
    <t>https://maps.app.goo.gl/wS6PLBxrSxcMopTh9</t>
  </si>
  <si>
    <t>4th main</t>
  </si>
  <si>
    <t>https://maps.app.goo.gl/9r2bAUUyUjgdLAia8?g_st=ac</t>
  </si>
  <si>
    <t>5th main</t>
  </si>
  <si>
    <t>https://maps.app.goo.gl/K7Ren2A44sdBD3zD7?g_st=ac</t>
  </si>
  <si>
    <t>https://maps.app.goo.gl/QivbM4no4QDCweAu5</t>
  </si>
  <si>
    <t>1st cross( A)</t>
  </si>
  <si>
    <t>https://maps.app.goo.gl/fQdVF1WAyhfKGtxJ7</t>
  </si>
  <si>
    <t>1st cross (A1)</t>
  </si>
  <si>
    <t>https://maps.app.goo.gl/riq7NEar7u9VGF4u6?g_st=ac</t>
  </si>
  <si>
    <t>1st cross (A2)</t>
  </si>
  <si>
    <t>https://maps.app.goo.gl/DvBJwDGgUF2LrHAb7</t>
  </si>
  <si>
    <t>1st cross (A3)</t>
  </si>
  <si>
    <t>https://maps.app.goo.gl/EnmykKyieBZT5Ly28</t>
  </si>
  <si>
    <t xml:space="preserve">Basha nagar main road </t>
  </si>
  <si>
    <t xml:space="preserve">Basha nagar </t>
  </si>
  <si>
    <t>https://maps.app.goo.gl/pC9UTLis9dueCfeE6</t>
  </si>
  <si>
    <t>Pavan M</t>
  </si>
  <si>
    <t>Curve near 1st main</t>
  </si>
  <si>
    <t>https://maps.app.goo.gl/wA45AjY3arigD9yM6</t>
  </si>
  <si>
    <t>Koli chennappa ring road</t>
  </si>
  <si>
    <t>https://maps.app.goo.gl/Mer8374bTegewqtH6</t>
  </si>
  <si>
    <t>Koli chennappa ring road A1</t>
  </si>
  <si>
    <t>https://maps.app.goo.gl/n3hYv9SPqmwJn6J89</t>
  </si>
  <si>
    <t>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</si>
</sst>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&gt;9999999]##\,##\,##\,##0.00;[&gt;99999]##\,##\,##0.00;##,##0.00"/>
    <numFmt numFmtId="165" formatCode="m/d/yyyy h:mm:ss"/>
  </numFmts>
  <fonts count="3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color rgb="FF274E13"/>
      <name val="Arial"/>
      <scheme val="minor"/>
    </font>
    <font/>
    <font>
      <color rgb="FFFF0000"/>
      <name val="Arial"/>
      <scheme val="minor"/>
    </font>
    <font>
      <color rgb="FF7F6000"/>
      <name val="Arial"/>
      <scheme val="minor"/>
    </font>
    <font>
      <color rgb="FF0000FF"/>
      <name val="Arial"/>
      <scheme val="minor"/>
    </font>
    <font>
      <u/>
      <color rgb="FF0000FF"/>
      <name val="Roboto"/>
    </font>
    <font>
      <color rgb="FF20124D"/>
      <name val="Arial"/>
      <scheme val="minor"/>
    </font>
    <font>
      <color rgb="FF351C75"/>
      <name val="Arial"/>
      <scheme val="minor"/>
    </font>
    <font>
      <color rgb="FFB7B7B7"/>
      <name val="Arial"/>
      <scheme val="minor"/>
    </font>
    <font>
      <color rgb="FFB45F06"/>
      <name val="Arial"/>
      <scheme val="minor"/>
    </font>
    <font>
      <color rgb="FFFF9900"/>
      <name val="Arial"/>
      <scheme val="minor"/>
    </font>
    <font>
      <color rgb="FF4C1130"/>
      <name val="Arial"/>
      <scheme val="minor"/>
    </font>
    <font>
      <color rgb="FF783F04"/>
      <name val="Arial"/>
      <scheme val="minor"/>
    </font>
    <font>
      <u/>
      <color rgb="FF0000FF"/>
      <name val="Roboto"/>
    </font>
    <font>
      <color rgb="FF073763"/>
      <name val="Arial"/>
      <scheme val="minor"/>
    </font>
    <font>
      <color rgb="FF38761D"/>
      <name val="Arial"/>
      <scheme val="minor"/>
    </font>
    <font>
      <color rgb="FF990000"/>
      <name val="Arial"/>
      <scheme val="minor"/>
    </font>
    <font>
      <color rgb="FFCC0000"/>
      <name val="Arial"/>
      <scheme val="minor"/>
    </font>
    <font>
      <u/>
      <color rgb="FF0000FF"/>
      <name val="Roboto"/>
    </font>
    <font>
      <color rgb="FF1C4587"/>
      <name val="Arial"/>
      <scheme val="minor"/>
    </font>
    <font>
      <color rgb="FF666666"/>
      <name val="Arial"/>
      <scheme val="minor"/>
    </font>
    <font>
      <color rgb="FF9900FF"/>
      <name val="Arial"/>
      <scheme val="minor"/>
    </font>
    <font>
      <u/>
      <color rgb="FF434343"/>
      <name val="Roboto"/>
    </font>
    <font>
      <color rgb="FF434343"/>
      <name val="Roboto"/>
    </font>
    <font>
      <color theme="1"/>
      <name val="Arial"/>
    </font>
    <font>
      <u/>
      <color rgb="FF434343"/>
      <name val="Roboto"/>
    </font>
    <font>
      <u/>
      <color rgb="FF434343"/>
      <name val="Roboto"/>
    </font>
    <font>
      <color rgb="FFFF0000"/>
      <name val="Roboto"/>
    </font>
    <font>
      <color rgb="FFFF0000"/>
      <name val="Arial"/>
    </font>
    <font>
      <u/>
      <color rgb="FF434343"/>
      <name val="Roboto"/>
    </font>
  </fonts>
  <fills count="19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F8F9FA"/>
        <bgColor rgb="FFF8F9FA"/>
      </patternFill>
    </fill>
    <fill>
      <patternFill patternType="solid">
        <fgColor rgb="FFD9D9D9"/>
        <bgColor rgb="FFD9D9D9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FF"/>
      </bottom>
    </border>
    <border>
      <left style="thin">
        <color rgb="FF000000"/>
      </left>
      <right style="thin">
        <color rgb="FF000000"/>
      </right>
      <top style="thick">
        <color rgb="FF0000FF"/>
      </top>
    </border>
    <border>
      <left style="thin">
        <color rgb="FF000000"/>
      </left>
      <right style="thin">
        <color rgb="FF000000"/>
      </right>
      <top style="thick">
        <color rgb="FF0000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FF"/>
      </left>
      <right style="thin">
        <color rgb="FF000000"/>
      </right>
      <top style="thick">
        <color rgb="FF0000FF"/>
      </top>
      <bottom style="thin">
        <color rgb="FF000000"/>
      </bottom>
    </border>
    <border>
      <left style="medium">
        <color rgb="FF0000FF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textRotation="0" vertical="center"/>
    </xf>
    <xf borderId="0" fillId="2" fontId="1" numFmtId="0" xfId="0" applyAlignment="1" applyFont="1">
      <alignment horizontal="left" readingOrder="0" shrinkToFit="0" textRotation="0" vertical="center" wrapText="1"/>
    </xf>
    <xf borderId="0" fillId="2" fontId="1" numFmtId="0" xfId="0" applyAlignment="1" applyFont="1">
      <alignment horizontal="left" readingOrder="0" textRotation="0"/>
    </xf>
    <xf borderId="1" fillId="0" fontId="2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3" fillId="0" fontId="2" numFmtId="0" xfId="0" applyAlignment="1" applyBorder="1" applyFont="1">
      <alignment horizontal="left" readingOrder="0" shrinkToFit="0" vertical="center" wrapText="1"/>
    </xf>
    <xf borderId="0" fillId="2" fontId="1" numFmtId="164" xfId="0" applyAlignment="1" applyFont="1" applyNumberFormat="1">
      <alignment horizontal="right" readingOrder="0" textRotation="0"/>
    </xf>
    <xf borderId="0" fillId="2" fontId="1" numFmtId="0" xfId="0" applyAlignment="1" applyFont="1">
      <alignment horizontal="center" textRotation="90" vertical="center"/>
    </xf>
    <xf borderId="1" fillId="2" fontId="1" numFmtId="0" xfId="0" applyAlignment="1" applyBorder="1" applyFont="1">
      <alignment horizontal="center" textRotation="90" vertical="center"/>
    </xf>
    <xf borderId="1" fillId="2" fontId="1" numFmtId="0" xfId="0" applyAlignment="1" applyBorder="1" applyFont="1">
      <alignment horizontal="center" readingOrder="0" shrinkToFit="0" textRotation="90" vertical="center" wrapText="1"/>
    </xf>
    <xf borderId="1" fillId="2" fontId="1" numFmtId="0" xfId="0" applyBorder="1" applyFont="1"/>
    <xf borderId="1" fillId="2" fontId="1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shrinkToFit="0" vertical="center" wrapText="1"/>
    </xf>
    <xf borderId="0" fillId="2" fontId="1" numFmtId="0" xfId="0" applyAlignment="1" applyFont="1">
      <alignment horizontal="center" readingOrder="0" textRotation="90" vertical="center"/>
    </xf>
    <xf borderId="1" fillId="2" fontId="1" numFmtId="0" xfId="0" applyAlignment="1" applyBorder="1" applyFont="1">
      <alignment horizontal="center" readingOrder="0" textRotation="90" vertical="center"/>
    </xf>
    <xf borderId="0" fillId="0" fontId="2" numFmtId="0" xfId="0" applyAlignment="1" applyFont="1">
      <alignment horizontal="center" readingOrder="0" textRotation="90" vertical="center"/>
    </xf>
    <xf borderId="4" fillId="0" fontId="2" numFmtId="0" xfId="0" applyAlignment="1" applyBorder="1" applyFont="1">
      <alignment horizontal="center" readingOrder="0" textRotation="90" vertical="center"/>
    </xf>
    <xf borderId="4" fillId="0" fontId="2" numFmtId="0" xfId="0" applyAlignment="1" applyBorder="1" applyFont="1">
      <alignment horizontal="center" readingOrder="0" shrinkToFit="0" textRotation="90" vertical="center" wrapText="1"/>
    </xf>
    <xf borderId="1" fillId="3" fontId="3" numFmtId="0" xfId="0" applyAlignment="1" applyBorder="1" applyFill="1" applyFont="1">
      <alignment readingOrder="0"/>
    </xf>
    <xf borderId="1" fillId="3" fontId="3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1" fillId="0" fontId="2" numFmtId="0" xfId="0" applyBorder="1" applyFont="1"/>
    <xf borderId="6" fillId="0" fontId="4" numFmtId="0" xfId="0" applyBorder="1" applyFont="1"/>
    <xf borderId="1" fillId="4" fontId="5" numFmtId="0" xfId="0" applyAlignment="1" applyBorder="1" applyFill="1" applyFont="1">
      <alignment readingOrder="0"/>
    </xf>
    <xf borderId="5" fillId="0" fontId="4" numFmtId="0" xfId="0" applyBorder="1" applyFont="1"/>
    <xf borderId="7" fillId="5" fontId="6" numFmtId="0" xfId="0" applyAlignment="1" applyBorder="1" applyFill="1" applyFont="1">
      <alignment readingOrder="0"/>
    </xf>
    <xf borderId="7" fillId="3" fontId="3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7" fillId="0" fontId="2" numFmtId="0" xfId="0" applyBorder="1" applyFont="1"/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shrinkToFit="0" wrapText="1"/>
    </xf>
    <xf borderId="8" fillId="0" fontId="2" numFmtId="0" xfId="0" applyAlignment="1" applyBorder="1" applyFont="1">
      <alignment horizontal="center" readingOrder="0" shrinkToFit="0" textRotation="90" vertical="center" wrapText="1"/>
    </xf>
    <xf borderId="5" fillId="6" fontId="7" numFmtId="0" xfId="0" applyAlignment="1" applyBorder="1" applyFill="1" applyFont="1">
      <alignment readingOrder="0"/>
    </xf>
    <xf borderId="1" fillId="0" fontId="2" numFmtId="165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5" fillId="7" fontId="3" numFmtId="0" xfId="0" applyAlignment="1" applyBorder="1" applyFill="1" applyFont="1">
      <alignment readingOrder="0"/>
    </xf>
    <xf borderId="5" fillId="0" fontId="2" numFmtId="0" xfId="0" applyBorder="1" applyFont="1"/>
    <xf borderId="2" fillId="0" fontId="8" numFmtId="0" xfId="0" applyAlignment="1" applyBorder="1" applyFont="1">
      <alignment readingOrder="0" shrinkToFit="0" vertical="center" wrapText="0"/>
    </xf>
    <xf borderId="3" fillId="3" fontId="3" numFmtId="0" xfId="0" applyAlignment="1" applyBorder="1" applyFont="1">
      <alignment readingOrder="0" shrinkToFit="0" vertical="center" wrapText="0"/>
    </xf>
    <xf borderId="1" fillId="8" fontId="9" numFmtId="0" xfId="0" applyAlignment="1" applyBorder="1" applyFill="1" applyFont="1">
      <alignment readingOrder="0" shrinkToFit="0" vertical="center" wrapText="0"/>
    </xf>
    <xf borderId="1" fillId="3" fontId="3" numFmtId="0" xfId="0" applyAlignment="1" applyBorder="1" applyFont="1">
      <alignment readingOrder="0" shrinkToFit="0" vertical="center" wrapText="0"/>
    </xf>
    <xf borderId="1" fillId="8" fontId="9" numFmtId="0" xfId="0" applyAlignment="1" applyBorder="1" applyFont="1">
      <alignment readingOrder="0"/>
    </xf>
    <xf borderId="1" fillId="0" fontId="2" numFmtId="2" xfId="0" applyAlignment="1" applyBorder="1" applyFont="1" applyNumberFormat="1">
      <alignment readingOrder="0" shrinkToFit="0" vertical="center" wrapText="0"/>
    </xf>
    <xf borderId="2" fillId="3" fontId="3" numFmtId="0" xfId="0" applyAlignment="1" applyBorder="1" applyFont="1">
      <alignment readingOrder="0" shrinkToFit="0" vertical="center" wrapText="0"/>
    </xf>
    <xf borderId="1" fillId="7" fontId="3" numFmtId="0" xfId="0" applyAlignment="1" applyBorder="1" applyFont="1">
      <alignment readingOrder="0"/>
    </xf>
    <xf borderId="3" fillId="8" fontId="10" numFmtId="0" xfId="0" applyAlignment="1" applyBorder="1" applyFont="1">
      <alignment readingOrder="0" shrinkToFit="0" vertical="center" wrapText="0"/>
    </xf>
    <xf borderId="1" fillId="9" fontId="5" numFmtId="0" xfId="0" applyAlignment="1" applyBorder="1" applyFill="1" applyFont="1">
      <alignment readingOrder="0" shrinkToFit="0" vertical="center" wrapText="0"/>
    </xf>
    <xf borderId="1" fillId="0" fontId="2" numFmtId="14" xfId="0" applyAlignment="1" applyBorder="1" applyFont="1" applyNumberFormat="1">
      <alignment horizontal="right" readingOrder="0" shrinkToFit="0" vertical="center" wrapText="0"/>
    </xf>
    <xf borderId="1" fillId="0" fontId="11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10" fontId="12" numFmtId="0" xfId="0" applyAlignment="1" applyBorder="1" applyFill="1" applyFont="1">
      <alignment readingOrder="0"/>
    </xf>
    <xf borderId="2" fillId="0" fontId="2" numFmtId="0" xfId="0" applyAlignment="1" applyBorder="1" applyFont="1">
      <alignment shrinkToFit="0" vertical="center" wrapText="0"/>
    </xf>
    <xf borderId="3" fillId="10" fontId="13" numFmtId="0" xfId="0" applyAlignment="1" applyBorder="1" applyFont="1">
      <alignment readingOrder="0" shrinkToFit="0" vertical="center" wrapText="0"/>
    </xf>
    <xf borderId="1" fillId="0" fontId="2" numFmtId="14" xfId="0" applyAlignment="1" applyBorder="1" applyFont="1" applyNumberFormat="1">
      <alignment readingOrder="0" shrinkToFit="0" vertical="center" wrapText="0"/>
    </xf>
    <xf borderId="1" fillId="4" fontId="5" numFmtId="0" xfId="0" applyAlignment="1" applyBorder="1" applyFont="1">
      <alignment readingOrder="0" shrinkToFit="0" vertical="center" wrapText="0"/>
    </xf>
    <xf borderId="7" fillId="3" fontId="3" numFmtId="0" xfId="0" applyAlignment="1" applyBorder="1" applyFont="1">
      <alignment readingOrder="0"/>
    </xf>
    <xf borderId="7" fillId="7" fontId="3" numFmtId="0" xfId="0" applyAlignment="1" applyBorder="1" applyFont="1">
      <alignment readingOrder="0"/>
    </xf>
    <xf borderId="2" fillId="0" fontId="11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horizontal="center" readingOrder="0" shrinkToFit="0" textRotation="90" vertical="center" wrapText="1"/>
    </xf>
    <xf borderId="5" fillId="3" fontId="3" numFmtId="0" xfId="0" applyAlignment="1" applyBorder="1" applyFont="1">
      <alignment readingOrder="0"/>
    </xf>
    <xf borderId="1" fillId="11" fontId="14" numFmtId="0" xfId="0" applyAlignment="1" applyBorder="1" applyFill="1" applyFont="1">
      <alignment readingOrder="0" shrinkToFit="0" vertical="center" wrapText="0"/>
    </xf>
    <xf borderId="1" fillId="10" fontId="15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165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164" xfId="0" applyAlignment="1" applyBorder="1" applyFont="1" applyNumberFormat="1">
      <alignment readingOrder="0"/>
    </xf>
    <xf borderId="1" fillId="0" fontId="2" numFmtId="164" xfId="0" applyBorder="1" applyFont="1" applyNumberFormat="1"/>
    <xf borderId="2" fillId="9" fontId="16" numFmtId="0" xfId="0" applyAlignment="1" applyBorder="1" applyFont="1">
      <alignment readingOrder="0" shrinkToFit="0" vertical="center" wrapText="0"/>
    </xf>
    <xf borderId="3" fillId="4" fontId="5" numFmtId="0" xfId="0" applyAlignment="1" applyBorder="1" applyFont="1">
      <alignment readingOrder="0" shrinkToFit="0" vertical="center" wrapText="0"/>
    </xf>
    <xf borderId="1" fillId="10" fontId="12" numFmtId="0" xfId="0" applyAlignment="1" applyBorder="1" applyFont="1">
      <alignment readingOrder="0" shrinkToFit="0" vertical="center" wrapText="0"/>
    </xf>
    <xf borderId="1" fillId="0" fontId="2" numFmtId="2" xfId="0" applyAlignment="1" applyBorder="1" applyFont="1" applyNumberFormat="1">
      <alignment readingOrder="0" shrinkToFit="0" vertical="center" wrapText="0"/>
    </xf>
    <xf borderId="1" fillId="12" fontId="17" numFmtId="0" xfId="0" applyAlignment="1" applyBorder="1" applyFill="1" applyFont="1">
      <alignment readingOrder="0"/>
    </xf>
    <xf borderId="3" fillId="6" fontId="7" numFmtId="0" xfId="0" applyAlignment="1" applyBorder="1" applyFont="1">
      <alignment readingOrder="0" shrinkToFit="0" vertical="center" wrapText="0"/>
    </xf>
    <xf borderId="1" fillId="13" fontId="18" numFmtId="0" xfId="0" applyAlignment="1" applyBorder="1" applyFill="1" applyFont="1">
      <alignment readingOrder="0" shrinkToFit="0" vertical="center" wrapText="0"/>
    </xf>
    <xf borderId="1" fillId="0" fontId="2" numFmtId="14" xfId="0" applyAlignment="1" applyBorder="1" applyFont="1" applyNumberFormat="1">
      <alignment horizontal="right"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9" fillId="5" fontId="19" numFmtId="0" xfId="0" applyAlignment="1" applyBorder="1" applyFont="1">
      <alignment readingOrder="0"/>
    </xf>
    <xf borderId="9" fillId="7" fontId="3" numFmtId="0" xfId="0" applyAlignment="1" applyBorder="1" applyFont="1">
      <alignment readingOrder="0"/>
    </xf>
    <xf borderId="2" fillId="0" fontId="2" numFmtId="0" xfId="0" applyAlignment="1" applyBorder="1" applyFont="1">
      <alignment shrinkToFit="0" vertical="center" wrapText="0"/>
    </xf>
    <xf borderId="9" fillId="0" fontId="2" numFmtId="0" xfId="0" applyBorder="1" applyFont="1"/>
    <xf borderId="3" fillId="5" fontId="20" numFmtId="0" xfId="0" applyAlignment="1" applyBorder="1" applyFont="1">
      <alignment readingOrder="0" shrinkToFit="0" vertical="center" wrapText="0"/>
    </xf>
    <xf borderId="1" fillId="0" fontId="2" numFmtId="14" xfId="0" applyAlignment="1" applyBorder="1" applyFont="1" applyNumberFormat="1">
      <alignment readingOrder="0" shrinkToFit="0" vertical="center" wrapText="0"/>
    </xf>
    <xf borderId="10" fillId="0" fontId="2" numFmtId="0" xfId="0" applyAlignment="1" applyBorder="1" applyFont="1">
      <alignment horizontal="center" readingOrder="0" textRotation="90" vertical="center"/>
    </xf>
    <xf borderId="10" fillId="0" fontId="2" numFmtId="0" xfId="0" applyAlignment="1" applyBorder="1" applyFont="1">
      <alignment horizontal="center" readingOrder="0" shrinkToFit="0" textRotation="90" vertical="center" wrapText="1"/>
    </xf>
    <xf borderId="11" fillId="3" fontId="18" numFmtId="0" xfId="0" applyAlignment="1" applyBorder="1" applyFont="1">
      <alignment readingOrder="0"/>
    </xf>
    <xf borderId="11" fillId="7" fontId="3" numFmtId="0" xfId="0" applyAlignment="1" applyBorder="1" applyFont="1">
      <alignment readingOrder="0"/>
    </xf>
    <xf borderId="11" fillId="0" fontId="2" numFmtId="0" xfId="0" applyBorder="1" applyFont="1"/>
    <xf borderId="11" fillId="0" fontId="2" numFmtId="0" xfId="0" applyAlignment="1" applyBorder="1" applyFont="1">
      <alignment readingOrder="0"/>
    </xf>
    <xf borderId="1" fillId="13" fontId="18" numFmtId="0" xfId="0" applyAlignment="1" applyBorder="1" applyFont="1">
      <alignment readingOrder="0"/>
    </xf>
    <xf borderId="2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14" fontId="3" numFmtId="0" xfId="0" applyAlignment="1" applyBorder="1" applyFill="1" applyFont="1">
      <alignment readingOrder="0"/>
    </xf>
    <xf borderId="2" fillId="0" fontId="21" numFmtId="0" xfId="0" applyAlignment="1" applyBorder="1" applyFont="1">
      <alignment readingOrder="0" shrinkToFit="0" vertical="center" wrapText="0"/>
    </xf>
    <xf borderId="1" fillId="8" fontId="2" numFmtId="0" xfId="0" applyAlignment="1" applyBorder="1" applyFont="1">
      <alignment readingOrder="0"/>
    </xf>
    <xf borderId="1" fillId="8" fontId="2" numFmtId="0" xfId="0" applyAlignment="1" applyBorder="1" applyFont="1">
      <alignment readingOrder="0" shrinkToFit="0" vertical="center" wrapText="0"/>
    </xf>
    <xf borderId="1" fillId="12" fontId="22" numFmtId="0" xfId="0" applyAlignment="1" applyBorder="1" applyFont="1">
      <alignment readingOrder="0"/>
    </xf>
    <xf borderId="1" fillId="9" fontId="5" numFmtId="0" xfId="0" applyAlignment="1" applyBorder="1" applyFont="1">
      <alignment readingOrder="0"/>
    </xf>
    <xf borderId="1" fillId="3" fontId="18" numFmtId="0" xfId="0" applyAlignment="1" applyBorder="1" applyFont="1">
      <alignment readingOrder="0" shrinkToFit="0" vertical="center" wrapText="0"/>
    </xf>
    <xf borderId="7" fillId="15" fontId="23" numFmtId="0" xfId="0" applyAlignment="1" applyBorder="1" applyFill="1" applyFont="1">
      <alignment readingOrder="0"/>
    </xf>
    <xf borderId="5" fillId="3" fontId="3" numFmtId="0" xfId="0" applyAlignment="1" applyBorder="1" applyFont="1">
      <alignment readingOrder="0"/>
    </xf>
    <xf borderId="1" fillId="4" fontId="5" numFmtId="0" xfId="0" applyAlignment="1" applyBorder="1" applyFont="1">
      <alignment readingOrder="0"/>
    </xf>
    <xf borderId="1" fillId="12" fontId="22" numFmtId="0" xfId="0" applyAlignment="1" applyBorder="1" applyFont="1">
      <alignment readingOrder="0"/>
    </xf>
    <xf borderId="1" fillId="8" fontId="24" numFmtId="0" xfId="0" applyAlignment="1" applyBorder="1" applyFont="1">
      <alignment readingOrder="0"/>
    </xf>
    <xf borderId="1" fillId="8" fontId="24" numFmtId="0" xfId="0" applyAlignment="1" applyBorder="1" applyFont="1">
      <alignment readingOrder="0"/>
    </xf>
    <xf borderId="1" fillId="10" fontId="15" numFmtId="0" xfId="0" applyAlignment="1" applyBorder="1" applyFont="1">
      <alignment readingOrder="0"/>
    </xf>
    <xf borderId="1" fillId="10" fontId="15" numFmtId="0" xfId="0" applyAlignment="1" applyBorder="1" applyFont="1">
      <alignment readingOrder="0"/>
    </xf>
    <xf borderId="9" fillId="15" fontId="23" numFmtId="0" xfId="0" applyAlignment="1" applyBorder="1" applyFont="1">
      <alignment readingOrder="0"/>
    </xf>
    <xf borderId="9" fillId="15" fontId="23" numFmtId="0" xfId="0" applyAlignment="1" applyBorder="1" applyFont="1">
      <alignment readingOrder="0"/>
    </xf>
    <xf borderId="10" fillId="0" fontId="2" numFmtId="0" xfId="0" applyAlignment="1" applyBorder="1" applyFont="1">
      <alignment horizontal="center" shrinkToFit="0" textRotation="90" vertical="center" wrapText="1"/>
    </xf>
    <xf borderId="11" fillId="3" fontId="3" numFmtId="0" xfId="0" applyAlignment="1" applyBorder="1" applyFont="1">
      <alignment readingOrder="0"/>
    </xf>
    <xf borderId="11" fillId="3" fontId="3" numFmtId="0" xfId="0" applyAlignment="1" applyBorder="1" applyFont="1">
      <alignment readingOrder="0"/>
    </xf>
    <xf borderId="1" fillId="12" fontId="7" numFmtId="0" xfId="0" applyAlignment="1" applyBorder="1" applyFont="1">
      <alignment readingOrder="0"/>
    </xf>
    <xf borderId="1" fillId="12" fontId="7" numFmtId="0" xfId="0" applyAlignment="1" applyBorder="1" applyFont="1">
      <alignment readingOrder="0"/>
    </xf>
    <xf borderId="7" fillId="4" fontId="5" numFmtId="0" xfId="0" applyAlignment="1" applyBorder="1" applyFont="1">
      <alignment readingOrder="0"/>
    </xf>
    <xf borderId="7" fillId="4" fontId="5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shrinkToFit="0" vertical="center" wrapText="0"/>
    </xf>
    <xf borderId="1" fillId="7" fontId="11" numFmtId="2" xfId="0" applyAlignment="1" applyBorder="1" applyFont="1" applyNumberFormat="1">
      <alignment readingOrder="0" shrinkToFit="0" vertical="top" wrapText="0"/>
    </xf>
    <xf borderId="1" fillId="7" fontId="11" numFmtId="0" xfId="0" applyAlignment="1" applyBorder="1" applyFont="1">
      <alignment readingOrder="0" shrinkToFit="0" vertical="top" wrapText="0"/>
    </xf>
    <xf borderId="4" fillId="4" fontId="5" numFmtId="0" xfId="0" applyAlignment="1" applyBorder="1" applyFont="1">
      <alignment readingOrder="0"/>
    </xf>
    <xf borderId="4" fillId="4" fontId="5" numFmtId="0" xfId="0" applyAlignment="1" applyBorder="1" applyFont="1">
      <alignment readingOrder="0"/>
    </xf>
    <xf borderId="4" fillId="0" fontId="2" numFmtId="0" xfId="0" applyBorder="1" applyFont="1"/>
    <xf borderId="12" fillId="3" fontId="3" numFmtId="0" xfId="0" applyAlignment="1" applyBorder="1" applyFont="1">
      <alignment readingOrder="0"/>
    </xf>
    <xf borderId="12" fillId="3" fontId="3" numFmtId="0" xfId="0" applyAlignment="1" applyBorder="1" applyFont="1">
      <alignment readingOrder="0"/>
    </xf>
    <xf borderId="12" fillId="0" fontId="2" numFmtId="0" xfId="0" applyBorder="1" applyFont="1"/>
    <xf borderId="1" fillId="5" fontId="19" numFmtId="0" xfId="0" applyAlignment="1" applyBorder="1" applyFont="1">
      <alignment readingOrder="0"/>
    </xf>
    <xf borderId="1" fillId="5" fontId="19" numFmtId="0" xfId="0" applyAlignment="1" applyBorder="1" applyFont="1">
      <alignment readingOrder="0"/>
    </xf>
    <xf borderId="4" fillId="12" fontId="7" numFmtId="0" xfId="0" applyAlignment="1" applyBorder="1" applyFont="1">
      <alignment readingOrder="0"/>
    </xf>
    <xf borderId="4" fillId="12" fontId="7" numFmtId="0" xfId="0" applyAlignment="1" applyBorder="1" applyFont="1">
      <alignment readingOrder="0"/>
    </xf>
    <xf borderId="12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2" fillId="0" fontId="25" numFmtId="0" xfId="0" applyAlignment="1" applyBorder="1" applyFont="1">
      <alignment readingOrder="0" shrinkToFit="0" vertical="center" wrapText="0"/>
    </xf>
    <xf borderId="13" fillId="10" fontId="12" numFmtId="0" xfId="0" applyAlignment="1" applyBorder="1" applyFont="1">
      <alignment readingOrder="0"/>
    </xf>
    <xf borderId="11" fillId="10" fontId="12" numFmtId="0" xfId="0" applyAlignment="1" applyBorder="1" applyFont="1">
      <alignment readingOrder="0"/>
    </xf>
    <xf borderId="14" fillId="3" fontId="3" numFmtId="0" xfId="0" applyAlignment="1" applyBorder="1" applyFont="1">
      <alignment readingOrder="0"/>
    </xf>
    <xf borderId="14" fillId="12" fontId="7" numFmtId="0" xfId="0" applyAlignment="1" applyBorder="1" applyFont="1">
      <alignment readingOrder="0"/>
    </xf>
    <xf borderId="0" fillId="0" fontId="2" numFmtId="0" xfId="0" applyAlignment="1" applyFont="1">
      <alignment horizontal="center" readingOrder="0" shrinkToFit="0" textRotation="90" vertical="center" wrapText="1"/>
    </xf>
    <xf borderId="1" fillId="8" fontId="10" numFmtId="0" xfId="0" applyAlignment="1" applyBorder="1" applyFont="1">
      <alignment readingOrder="0"/>
    </xf>
    <xf borderId="0" fillId="8" fontId="10" numFmtId="0" xfId="0" applyAlignment="1" applyFont="1">
      <alignment readingOrder="0"/>
    </xf>
    <xf borderId="1" fillId="6" fontId="7" numFmtId="0" xfId="0" applyAlignment="1" applyBorder="1" applyFont="1">
      <alignment readingOrder="0"/>
    </xf>
    <xf borderId="0" fillId="6" fontId="7" numFmtId="0" xfId="0" applyAlignment="1" applyFont="1">
      <alignment readingOrder="0"/>
    </xf>
    <xf borderId="1" fillId="10" fontId="13" numFmtId="0" xfId="0" applyAlignment="1" applyBorder="1" applyFont="1">
      <alignment readingOrder="0"/>
    </xf>
    <xf borderId="0" fillId="10" fontId="13" numFmtId="0" xfId="0" applyAlignment="1" applyFont="1">
      <alignment readingOrder="0"/>
    </xf>
    <xf borderId="1" fillId="5" fontId="20" numFmtId="0" xfId="0" applyAlignment="1" applyBorder="1" applyFont="1">
      <alignment readingOrder="0"/>
    </xf>
    <xf borderId="0" fillId="5" fontId="20" numFmtId="0" xfId="0" applyAlignment="1" applyFont="1">
      <alignment readingOrder="0"/>
    </xf>
    <xf borderId="0" fillId="9" fontId="5" numFmtId="0" xfId="0" applyAlignment="1" applyFont="1">
      <alignment readingOrder="0"/>
    </xf>
    <xf borderId="0" fillId="15" fontId="23" numFmtId="0" xfId="0" applyAlignment="1" applyFont="1">
      <alignment readingOrder="0"/>
    </xf>
    <xf borderId="0" fillId="15" fontId="23" numFmtId="0" xfId="0" applyAlignment="1" applyFont="1">
      <alignment readingOrder="0"/>
    </xf>
    <xf borderId="1" fillId="15" fontId="23" numFmtId="0" xfId="0" applyAlignment="1" applyBorder="1" applyFont="1">
      <alignment readingOrder="0" shrinkToFit="0" vertical="top" wrapText="0"/>
    </xf>
    <xf borderId="1" fillId="0" fontId="11" numFmtId="0" xfId="0" applyAlignment="1" applyBorder="1" applyFont="1">
      <alignment horizontal="right" readingOrder="0" shrinkToFit="0" vertical="center" wrapText="0"/>
    </xf>
    <xf borderId="1" fillId="9" fontId="11" numFmtId="0" xfId="0" applyAlignment="1" applyBorder="1" applyFont="1">
      <alignment readingOrder="0" shrinkToFit="0" vertical="center" wrapText="0"/>
    </xf>
    <xf borderId="1" fillId="9" fontId="2" numFmtId="0" xfId="0" applyAlignment="1" applyBorder="1" applyFont="1">
      <alignment readingOrder="0" shrinkToFit="0" vertical="center" wrapText="0"/>
    </xf>
    <xf borderId="1" fillId="9" fontId="2" numFmtId="0" xfId="0" applyAlignment="1" applyBorder="1" applyFont="1">
      <alignment shrinkToFit="0" vertical="center" wrapText="0"/>
    </xf>
    <xf borderId="2" fillId="15" fontId="23" numFmtId="0" xfId="0" applyAlignment="1" applyBorder="1" applyFont="1">
      <alignment readingOrder="0" shrinkToFit="0" vertical="top" wrapText="0"/>
    </xf>
    <xf borderId="1" fillId="15" fontId="23" numFmtId="0" xfId="0" applyAlignment="1" applyBorder="1" applyFont="1">
      <alignment horizontal="right" readingOrder="0" shrinkToFit="0" vertical="top" wrapText="0"/>
    </xf>
    <xf borderId="1" fillId="0" fontId="2" numFmtId="2" xfId="0" applyAlignment="1" applyBorder="1" applyFont="1" applyNumberFormat="1">
      <alignment shrinkToFit="0" vertical="center" wrapText="0"/>
    </xf>
    <xf borderId="2" fillId="4" fontId="5" numFmtId="0" xfId="0" applyAlignment="1" applyBorder="1" applyFont="1">
      <alignment readingOrder="0" shrinkToFit="0" vertical="center" wrapText="0"/>
    </xf>
    <xf borderId="1" fillId="9" fontId="5" numFmtId="0" xfId="0" applyAlignment="1" applyBorder="1" applyFont="1">
      <alignment horizontal="right" readingOrder="0" shrinkToFit="0" vertical="center" wrapText="0"/>
    </xf>
    <xf borderId="1" fillId="0" fontId="2" numFmtId="0" xfId="0" applyAlignment="1" applyBorder="1" applyFont="1">
      <alignment horizontal="right" shrinkToFit="0" vertical="center" wrapText="0"/>
    </xf>
    <xf borderId="1" fillId="16" fontId="2" numFmtId="0" xfId="0" applyAlignment="1" applyBorder="1" applyFill="1" applyFont="1">
      <alignment readingOrder="0" shrinkToFit="0" vertical="center" wrapText="0"/>
    </xf>
    <xf borderId="1" fillId="17" fontId="26" numFmtId="165" xfId="0" applyAlignment="1" applyBorder="1" applyFill="1" applyFont="1" applyNumberFormat="1">
      <alignment horizontal="right" shrinkToFit="0" vertical="center" wrapText="0"/>
    </xf>
    <xf borderId="1" fillId="17" fontId="27" numFmtId="0" xfId="0" applyAlignment="1" applyBorder="1" applyFont="1">
      <alignment shrinkToFit="0" vertical="center" wrapText="0"/>
    </xf>
    <xf borderId="1" fillId="17" fontId="26" numFmtId="0" xfId="0" applyAlignment="1" applyBorder="1" applyFont="1">
      <alignment readingOrder="0" shrinkToFit="0" vertical="center" wrapText="0"/>
    </xf>
    <xf borderId="1" fillId="17" fontId="26" numFmtId="0" xfId="0" applyAlignment="1" applyBorder="1" applyFont="1">
      <alignment shrinkToFit="0" vertical="center" wrapText="0"/>
    </xf>
    <xf borderId="1" fillId="17" fontId="26" numFmtId="0" xfId="0" applyAlignment="1" applyBorder="1" applyFont="1">
      <alignment horizontal="right" shrinkToFit="0" vertical="center" wrapText="0"/>
    </xf>
    <xf borderId="2" fillId="17" fontId="28" numFmtId="0" xfId="0" applyAlignment="1" applyBorder="1" applyFont="1">
      <alignment shrinkToFit="0" vertical="center" wrapText="0"/>
    </xf>
    <xf borderId="1" fillId="17" fontId="26" numFmtId="2" xfId="0" applyAlignment="1" applyBorder="1" applyFont="1" applyNumberFormat="1">
      <alignment shrinkToFit="0" vertical="center" wrapText="0"/>
    </xf>
    <xf borderId="1" fillId="17" fontId="27" numFmtId="0" xfId="0" applyAlignment="1" applyBorder="1" applyFont="1">
      <alignment shrinkToFit="0" vertical="center" wrapText="0"/>
    </xf>
    <xf borderId="2" fillId="17" fontId="27" numFmtId="0" xfId="0" applyAlignment="1" applyBorder="1" applyFont="1">
      <alignment shrinkToFit="0" vertical="center" wrapText="0"/>
    </xf>
    <xf borderId="1" fillId="12" fontId="7" numFmtId="0" xfId="0" applyAlignment="1" applyBorder="1" applyFont="1">
      <alignment readingOrder="0" shrinkToFit="0" vertical="center" wrapText="0"/>
    </xf>
    <xf borderId="1" fillId="17" fontId="26" numFmtId="0" xfId="0" applyAlignment="1" applyBorder="1" applyFont="1">
      <alignment horizontal="right" shrinkToFit="0" vertical="center" wrapText="0"/>
    </xf>
    <xf borderId="1" fillId="7" fontId="26" numFmtId="165" xfId="0" applyAlignment="1" applyBorder="1" applyFont="1" applyNumberFormat="1">
      <alignment horizontal="right" shrinkToFit="0" vertical="center" wrapText="0"/>
    </xf>
    <xf borderId="1" fillId="7" fontId="27" numFmtId="0" xfId="0" applyAlignment="1" applyBorder="1" applyFont="1">
      <alignment shrinkToFit="0" vertical="center" wrapText="0"/>
    </xf>
    <xf borderId="1" fillId="7" fontId="26" numFmtId="0" xfId="0" applyAlignment="1" applyBorder="1" applyFont="1">
      <alignment readingOrder="0" shrinkToFit="0" vertical="center" wrapText="0"/>
    </xf>
    <xf borderId="1" fillId="7" fontId="26" numFmtId="0" xfId="0" applyAlignment="1" applyBorder="1" applyFont="1">
      <alignment shrinkToFit="0" vertical="center" wrapText="0"/>
    </xf>
    <xf borderId="1" fillId="7" fontId="26" numFmtId="0" xfId="0" applyAlignment="1" applyBorder="1" applyFont="1">
      <alignment horizontal="right" shrinkToFit="0" vertical="center" wrapText="0"/>
    </xf>
    <xf borderId="2" fillId="7" fontId="29" numFmtId="0" xfId="0" applyAlignment="1" applyBorder="1" applyFont="1">
      <alignment shrinkToFit="0" vertical="center" wrapText="0"/>
    </xf>
    <xf borderId="1" fillId="7" fontId="26" numFmtId="2" xfId="0" applyAlignment="1" applyBorder="1" applyFont="1" applyNumberFormat="1">
      <alignment shrinkToFit="0" vertical="center" wrapText="0"/>
    </xf>
    <xf borderId="1" fillId="7" fontId="27" numFmtId="0" xfId="0" applyAlignment="1" applyBorder="1" applyFont="1">
      <alignment shrinkToFit="0" vertical="center" wrapText="0"/>
    </xf>
    <xf borderId="2" fillId="7" fontId="27" numFmtId="0" xfId="0" applyAlignment="1" applyBorder="1" applyFont="1">
      <alignment shrinkToFit="0" vertical="center" wrapText="0"/>
    </xf>
    <xf borderId="1" fillId="7" fontId="26" numFmtId="0" xfId="0" applyAlignment="1" applyBorder="1" applyFont="1">
      <alignment horizontal="right" shrinkToFit="0" vertical="center" wrapText="0"/>
    </xf>
    <xf borderId="1" fillId="9" fontId="30" numFmtId="0" xfId="0" applyAlignment="1" applyBorder="1" applyFont="1">
      <alignment shrinkToFit="0" vertical="center" wrapText="0"/>
    </xf>
    <xf borderId="1" fillId="7" fontId="26" numFmtId="0" xfId="0" applyAlignment="1" applyBorder="1" applyFont="1">
      <alignment shrinkToFit="0" vertical="center" wrapText="0"/>
    </xf>
    <xf borderId="1" fillId="9" fontId="31" numFmtId="0" xfId="0" applyAlignment="1" applyBorder="1" applyFont="1">
      <alignment readingOrder="0" shrinkToFit="0" vertical="center" wrapText="0"/>
    </xf>
    <xf borderId="1" fillId="15" fontId="23" numFmtId="0" xfId="0" applyAlignment="1" applyBorder="1" applyFont="1">
      <alignment readingOrder="0" shrinkToFit="0" vertical="center" wrapText="0"/>
    </xf>
    <xf borderId="1" fillId="0" fontId="11" numFmtId="2" xfId="0" applyAlignment="1" applyBorder="1" applyFont="1" applyNumberFormat="1">
      <alignment readingOrder="0" shrinkToFit="0" vertical="center" wrapText="0"/>
    </xf>
    <xf borderId="2" fillId="9" fontId="5" numFmtId="0" xfId="0" applyAlignment="1" applyBorder="1" applyFont="1">
      <alignment readingOrder="0" shrinkToFit="0" vertical="center" wrapText="0"/>
    </xf>
    <xf borderId="2" fillId="10" fontId="12" numFmtId="0" xfId="0" applyAlignment="1" applyBorder="1" applyFont="1">
      <alignment readingOrder="0" shrinkToFit="0" vertical="center" wrapText="0"/>
    </xf>
    <xf borderId="1" fillId="18" fontId="23" numFmtId="0" xfId="0" applyAlignment="1" applyBorder="1" applyFill="1" applyFont="1">
      <alignment readingOrder="0" shrinkToFit="0" vertical="center" wrapText="0"/>
    </xf>
    <xf borderId="3" fillId="7" fontId="26" numFmtId="0" xfId="0" applyAlignment="1" applyBorder="1" applyFont="1">
      <alignment shrinkToFit="0" vertical="center" wrapText="0"/>
    </xf>
    <xf borderId="2" fillId="7" fontId="26" numFmtId="0" xfId="0" applyAlignment="1" applyBorder="1" applyFont="1">
      <alignment shrinkToFit="0" vertical="center" wrapText="0"/>
    </xf>
    <xf borderId="2" fillId="7" fontId="26" numFmtId="0" xfId="0" applyAlignment="1" applyBorder="1" applyFont="1">
      <alignment shrinkToFit="0" vertical="center" wrapText="0"/>
    </xf>
    <xf borderId="1" fillId="9" fontId="26" numFmtId="0" xfId="0" applyAlignment="1" applyBorder="1" applyFont="1">
      <alignment horizontal="right" shrinkToFit="0" vertical="center" wrapText="0"/>
    </xf>
    <xf borderId="1" fillId="9" fontId="27" numFmtId="0" xfId="0" applyAlignment="1" applyBorder="1" applyFont="1">
      <alignment shrinkToFit="0" vertical="center" wrapText="0"/>
    </xf>
    <xf borderId="1" fillId="9" fontId="26" numFmtId="0" xfId="0" applyAlignment="1" applyBorder="1" applyFont="1">
      <alignment readingOrder="0" shrinkToFit="0" vertical="center" wrapText="0"/>
    </xf>
    <xf borderId="1" fillId="9" fontId="26" numFmtId="0" xfId="0" applyAlignment="1" applyBorder="1" applyFont="1">
      <alignment shrinkToFit="0" vertical="center" wrapText="0"/>
    </xf>
    <xf borderId="2" fillId="9" fontId="32" numFmtId="0" xfId="0" applyAlignment="1" applyBorder="1" applyFont="1">
      <alignment shrinkToFit="0" vertical="center" wrapText="0"/>
    </xf>
    <xf borderId="3" fillId="9" fontId="26" numFmtId="0" xfId="0" applyAlignment="1" applyBorder="1" applyFont="1">
      <alignment shrinkToFit="0" vertical="center" wrapText="0"/>
    </xf>
    <xf borderId="1" fillId="9" fontId="26" numFmtId="0" xfId="0" applyAlignment="1" applyBorder="1" applyFont="1">
      <alignment horizontal="right" readingOrder="0" shrinkToFit="0" vertical="center" wrapText="0"/>
    </xf>
    <xf borderId="2" fillId="9" fontId="26" numFmtId="0" xfId="0" applyAlignment="1" applyBorder="1" applyFont="1">
      <alignment shrinkToFit="0" vertical="center" wrapText="0"/>
    </xf>
    <xf borderId="2" fillId="9" fontId="27" numFmtId="0" xfId="0" applyAlignment="1" applyBorder="1" applyFont="1">
      <alignment shrinkToFit="0" vertical="center" wrapText="0"/>
    </xf>
    <xf borderId="1" fillId="9" fontId="2" numFmtId="0" xfId="0" applyBorder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6CFE0"/>
          <bgColor rgb="FFD6CFE0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7">
    <tableStyle count="2" pivot="0" name="Data sheet-style">
      <tableStyleElement dxfId="1" type="firstRowStripe"/>
      <tableStyleElement dxfId="2" type="secondRowStripe"/>
    </tableStyle>
    <tableStyle count="2" pivot="0" name="Data sheet-style 2">
      <tableStyleElement dxfId="1" type="firstRowStripe"/>
      <tableStyleElement dxfId="2" type="secondRowStripe"/>
    </tableStyle>
    <tableStyle count="2" pivot="0" name="Data sheet-style 3">
      <tableStyleElement dxfId="2" type="firstRowStripe"/>
      <tableStyleElement dxfId="1" type="secondRowStripe"/>
    </tableStyle>
    <tableStyle count="2" pivot="0" name="Data sheet-style 4">
      <tableStyleElement dxfId="2" type="firstRowStripe"/>
      <tableStyleElement dxfId="1" type="secondRowStripe"/>
    </tableStyle>
    <tableStyle count="2" pivot="0" name="Data sheet-style 5">
      <tableStyleElement dxfId="2" type="firstRowStripe"/>
      <tableStyleElement dxfId="1" type="secondRowStripe"/>
    </tableStyle>
    <tableStyle count="5" pivot="0" name="Form responses 1-style">
      <tableStyleElement dxfId="3" type="headerRow"/>
      <tableStyleElement dxfId="1" type="firstRowStripe"/>
      <tableStyleElement dxfId="2" type="secondRowStripe"/>
      <tableStyleElement dxfId="4" type="totalRow"/>
      <tableStyleElement dxfId="5" size="0" type="wholeTable"/>
    </tableStyle>
    <tableStyle count="2" pivot="0" name="Data sheet-style 6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amarth Sir Office" id="{c77c5b73-fd74-4281-9d41-49773fd5f131}" providerId="google-sheets"/>
</x18tc:personList>
</file>

<file path=xl/tables/table1.xml><?xml version="1.0" encoding="utf-8"?>
<table xmlns="http://schemas.openxmlformats.org/spreadsheetml/2006/main" totalsRowCount="1" ref="A1:BF111" displayName="Form_Responses" name="Form_Responses" id="3">
  <tableColumns count="58">
    <tableColumn name="Timestamp" id="1"/>
    <tableColumn name="Email address" id="2"/>
    <tableColumn name="Surveyor Name" id="3"/>
    <tableColumn totalsRowLabel="94" name="Column 58" id="4"/>
    <tableColumn name="Road Name (Main)" id="5"/>
    <tableColumn name="Road Name (Cross)" id="6"/>
    <tableColumn name="Area Name" id="7"/>
    <tableColumn totalsRowFunction="custom" name="Dist. (m)" id="8"/>
    <tableColumn name="Location (Google Maps link)" id="9"/>
    <tableColumn name="Road Sign" id="10"/>
    <tableColumn name="Use" id="11"/>
    <tableColumn name="Material" id="12"/>
    <tableColumn totalsRowLabel="na" name="Width (m)" id="13"/>
    <tableColumn name="Road Condition" id="14"/>
    <tableColumn name="Side (N/E)" id="15"/>
    <tableColumn name="Attachment 1 Type" id="16"/>
    <tableColumn name="Attachment 1 Width (m)" id="17"/>
    <tableColumn name="Attachment 1 Dated" id="18"/>
    <tableColumn name="Attachment 1 Condition" id="19"/>
    <tableColumn name="Attachment 1 Notes" id="20"/>
    <tableColumn name="Attachment 2 Type" id="21"/>
    <tableColumn name="Attachment 2 Width (m)" id="22"/>
    <tableColumn name="Attachment 2 Dated" id="23"/>
    <tableColumn name="Attachment 2 Condition" id="24"/>
    <tableColumn name="Attachment 2 Notes" id="25"/>
    <tableColumn name="Side (S/W)" id="26"/>
    <tableColumn name="Attachment 1 Type (S/W)" id="27"/>
    <tableColumn name="Attachment 1 Width (m) (S/W)" id="28"/>
    <tableColumn name="Attachment 1 Dated (S/W)" id="29"/>
    <tableColumn name="Attachment 1 Condition (S/W)" id="30"/>
    <tableColumn name="Attachment 1 Notes (S/W)" id="31"/>
    <tableColumn name="Attachment 2 Type (S/W)" id="32"/>
    <tableColumn name="Attachment 2 Width (m) (S/W)" id="33"/>
    <tableColumn name="Attachment 2 Dated (S/W)" id="34"/>
    <tableColumn name="Attachment 2 Condition (S/W)" id="35"/>
    <tableColumn name="Attachment 2 Notes (S/W)" id="36"/>
    <tableColumn name="SWG Side (N/E)" id="37"/>
    <tableColumn name="SWG Type (N/E)" id="38"/>
    <tableColumn name="SWG Width (m) (N/E)" id="39"/>
    <tableColumn name="SWG Dated (N/E)" id="40"/>
    <tableColumn name="SWG Condition (N/E)" id="41"/>
    <tableColumn name="SWG Notes (N/E)" id="42"/>
    <tableColumn name="SWG Side (S/W)" id="43"/>
    <tableColumn name="SWG Width (m) (S/W)" id="44"/>
    <tableColumn name="SWG Dated (S/W)" id="45"/>
    <tableColumn name="SWG Condition (S/W)" id="46"/>
    <tableColumn name="SWG Notes (S/W)" id="47"/>
    <tableColumn name="UGD Existing" id="48"/>
    <tableColumn name="UGD Type" id="49"/>
    <tableColumn name="UGD Date" id="50"/>
    <tableColumn name="UGD Pipe Dia (mm)" id="51"/>
    <tableColumn name="UGD Condition" id="52"/>
    <tableColumn name="Jalasiri Existing" id="53"/>
    <tableColumn name="Jalasiri Condition" id="54"/>
    <tableColumn name="Jalasiri Note" id="55"/>
    <tableColumn name="Light Type" id="56"/>
    <tableColumn name="Electrical Condition" id="57"/>
    <tableColumn name="Electrical Notes" id="58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headerRowCount="0" ref="D7:E9" displayName="Table_1" name="Table_1" id="1">
  <tableColumns count="2">
    <tableColumn name="Column1" id="1"/>
    <tableColumn name="Column2" id="2"/>
  </tableColumns>
  <tableStyleInfo name="Data sheet-style" showColumnStripes="0" showFirstColumn="1" showLastColumn="1" showRowStripes="1"/>
</table>
</file>

<file path=xl/tables/table3.xml><?xml version="1.0" encoding="utf-8"?>
<table xmlns="http://schemas.openxmlformats.org/spreadsheetml/2006/main" headerRowCount="0" ref="D12:D13" displayName="Table_2" name="Table_2" id="2">
  <tableColumns count="1">
    <tableColumn name="Column1" id="1"/>
  </tableColumns>
  <tableStyleInfo name="Data sheet-style 2" showColumnStripes="0" showFirstColumn="1" showLastColumn="1" showRowStripes="1"/>
</table>
</file>

<file path=xl/tables/table4.xml><?xml version="1.0" encoding="utf-8"?>
<table xmlns="http://schemas.openxmlformats.org/spreadsheetml/2006/main" headerRowCount="0" ref="D19:E24" displayName="Table_3" name="Table_3" id="4">
  <tableColumns count="2">
    <tableColumn name="Column1" id="1"/>
    <tableColumn name="Column2" id="2"/>
  </tableColumns>
  <tableStyleInfo name="Data sheet-style 3" showColumnStripes="0" showFirstColumn="1" showLastColumn="1" showRowStripes="1"/>
</table>
</file>

<file path=xl/tables/table5.xml><?xml version="1.0" encoding="utf-8"?>
<table xmlns="http://schemas.openxmlformats.org/spreadsheetml/2006/main" headerRowCount="0" ref="D29:E35" displayName="Table_4" name="Table_4" id="5">
  <tableColumns count="2">
    <tableColumn name="Column1" id="1"/>
    <tableColumn name="Column2" id="2"/>
  </tableColumns>
  <tableStyleInfo name="Data sheet-style 4" showColumnStripes="0" showFirstColumn="1" showLastColumn="1" showRowStripes="1"/>
</table>
</file>

<file path=xl/tables/table6.xml><?xml version="1.0" encoding="utf-8"?>
<table xmlns="http://schemas.openxmlformats.org/spreadsheetml/2006/main" headerRowCount="0" ref="D36:E71" displayName="Table_5" name="Table_5" id="6">
  <tableColumns count="2">
    <tableColumn name="Column1" id="1"/>
    <tableColumn name="Column2" id="2"/>
  </tableColumns>
  <tableStyleInfo name="Data sheet-style 5" showColumnStripes="0" showFirstColumn="1" showLastColumn="1" showRowStripes="1"/>
</table>
</file>

<file path=xl/tables/table7.xml><?xml version="1.0" encoding="utf-8"?>
<table xmlns="http://schemas.openxmlformats.org/spreadsheetml/2006/main" headerRowCount="0" ref="D73:E85" displayName="Table_6" name="Table_6" id="7">
  <tableColumns count="2">
    <tableColumn name="Column1" id="1"/>
    <tableColumn name="Column2" id="2"/>
  </tableColumns>
  <tableStyleInfo name="Data sheet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T85" dT="2026-07-27T07:43:16.00" personId="{c77c5b73-fd74-4281-9d41-49773fd5f131}" id="{9828eb7c-48d0-4e7d-b176-e57c97581bd7}" done="0">
    <x18tc:text xml:space="preserve">Ward Surveyor: If there is no space for pavement then I cannot put pavers. Leave this blank?</x18tc:text>
  </x18tc:threadedComment>
  <x18tc:threadedComment ref="AD18" dT="2026-07-26T15:16:34.00" personId="{c77c5b73-fd74-4281-9d41-49773fd5f131}" id="{a60b46ee-a098-4b12-be91-f9f85648f27a}" done="0">
    <x18tc:text xml:space="preserve">According to entered data. There is no space, it is not Exposed soil. How can pavers be required.</x18tc:text>
  </x18tc:threadedComment>
  <x18tc:threadedComment ref="BB29" dT="2026-07-27T08:17:57.00" personId="{c77c5b73-fd74-4281-9d41-49773fd5f131}" id="{287d42de-3e89-4d5a-9c5d-71c5177c6617}" done="0">
    <x18tc:text xml:space="preserve">Ward surveyor: Should this be blank or n/a or required? do not leave anything empty, it causes ambiguity.</x18tc:text>
  </x18tc:threadedComment>
  <x18tc:threadedComment ref="T39" dT="2026-07-27T07:47:03.00" personId="{c77c5b73-fd74-4281-9d41-49773fd5f131}" id="{fcc44a3c-8a3f-4f37-924e-e3acf2119053}" done="0">
    <x18tc:text xml:space="preserve">Ward surveyor: Notes = pavement required. But Attactchment 1 width is not mentioned, therefore understood to be '0.' where can I find place for pavers.</x18tc:text>
  </x18tc:threadedComment>
  <x18tc:threadedComment ref="AW19" dT="2026-07-26T19:44:05.00" personId="{c77c5b73-fd74-4281-9d41-49773fd5f131}" id="{6f0a629c-de37-4534-ac28-5dfd064358e6}" done="0">
    <x18tc:text xml:space="preserve">if No then subsequent data should be: n/a or 0, accordingly</x18tc:text>
  </x18tc:threadedComment>
  <x18tc:threadedComment ref="AO73" dT="2026-07-27T08:11:26.00" personId="{c77c5b73-fd74-4281-9d41-49773fd5f131}" id="{f5c8a9f4-539f-4f16-990b-a9d019e9e284}" done="0">
    <x18tc:text xml:space="preserve">Ward surveyor: Is it required or no Gutter. Because some streets purposefully dont have SWG cause they are not required due to site constraints(no space for SWG).</x18tc:text>
  </x18tc:threadedComment>
  <x18tc:threadedComment ref="BD8" dT="2026-07-26T19:41:26.00" personId="{c77c5b73-fd74-4281-9d41-49773fd5f131}" id="{088add40-e910-4294-82cb-c74456293fcb}" done="0">
    <x18tc:text xml:space="preserve">I hope everyone understands the difference between: LED-Pole and LED-LT Line and is reporting it as such</x18tc:text>
  </x18tc:threadedComment>
  <x18tc:threadedComment ref="AE58" dT="2026-07-27T07:49:21.00" personId="{c77c5b73-fd74-4281-9d41-49773fd5f131}" id="{c7e2aef1-188d-40bd-a77e-635aa5e59e2c}" done="0">
    <x18tc:text xml:space="preserve">Ward Surveyor: Pavement required. But there is no width in attachment 1. Therfore just leave this as 'n/a'?</x18tc:text>
  </x18tc:threadedComment>
  <x18tc:threadedComment ref="I3" dT="2026-07-28T05:58:27.00" personId="{c77c5b73-fd74-4281-9d41-49773fd5f131}" id="{6288741f-6446-455c-acc2-2977e2c20fb3}" done="0">
    <x18tc:text xml:space="preserve">this is the wrong road, it comes in north</x18tc:text>
  </x18tc:threadedComment>
  <x18tc:threadedComment ref="AA7" dT="2026-07-26T19:50:10.00" personId="{c77c5b73-fd74-4281-9d41-49773fd5f131}" id="{5ed0812d-30b9-4628-b884-7f9c6777b5aa}" done="0">
    <x18tc:text xml:space="preserve">I am guessing that this is exposed soil. Is it exposed soil or a bund. A Bund, to clarify, is an incline that is not walkable on, as found near highway survey roads.</x18tc:text>
  </x18tc:threadedComment>
  <x18tc:threadedComment ref="AZ29" dT="2026-07-26T19:45:39.00" personId="{c77c5b73-fd74-4281-9d41-49773fd5f131}" id="{2ef3bc06-80b6-4052-9fe8-48c1d1718116}" done="0">
    <x18tc:text xml:space="preserve">Wouldn't all of these be "Required" as UGD is not present on these roads?</x18tc:text>
  </x18tc:threadedComment>
  <x18tc:threadedComment ref="AD76" dT="2026-07-26T19:51:15.00" personId="{c77c5b73-fd74-4281-9d41-49773fd5f131}" id="{6be05a9f-3bfc-4ec8-80cb-c1cb467ef696}" done="0">
    <x18tc:text xml:space="preserve">How can you have pavement requirement when there is no attachment width. Hypothetically, there would no place for pavers.</x18tc:text>
  </x18tc:threadedComment>
  <x18tc:threadedComment ref="T77" dT="2026-07-27T07:39:40.00" personId="{c77c5b73-fd74-4281-9d41-49773fd5f131}" id="{175ed210-56b1-46f8-9eba-cffadc5b42e4}" done="0">
    <x18tc:text xml:space="preserve">Ward Surveyor: Notes= pavement required, but there is no space for pavement. Is this Concrete-SWG situation?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37" dT="2026-07-26T20:41:48.00" personId="{c77c5b73-fd74-4281-9d41-49773fd5f131}" id="{29b1e00c-9891-482d-afdb-3eedb9e831cb}" done="0">
    <x18tc:text xml:space="preserve">no gutter req. Usually refers to smaller length roads with adequate incline. Where there is bot no space for or no need for a stormwater gutter.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PS2wrF9qx4FZstJ76" TargetMode="External"/><Relationship Id="rId42" Type="http://schemas.openxmlformats.org/officeDocument/2006/relationships/hyperlink" Target="https://maps.app.goo.gl/oL9aC5k7Jtz1vfPQ9" TargetMode="External"/><Relationship Id="rId41" Type="http://schemas.openxmlformats.org/officeDocument/2006/relationships/hyperlink" Target="https://maps.app.goo.gl/a4nSjUo1XAt5FUAw7" TargetMode="External"/><Relationship Id="rId44" Type="http://schemas.openxmlformats.org/officeDocument/2006/relationships/hyperlink" Target="https://maps.app.goo.gl/KcucurVAp9hh3eBt8?g_st=ac" TargetMode="External"/><Relationship Id="rId43" Type="http://schemas.openxmlformats.org/officeDocument/2006/relationships/hyperlink" Target="https://maps.app.goo.gl/KHrBuuMLGfa9UZ687" TargetMode="External"/><Relationship Id="rId46" Type="http://schemas.openxmlformats.org/officeDocument/2006/relationships/hyperlink" Target="https://maps.app.goo.gl/t3HGcRt7S62LG1Cz5?g_st=ac" TargetMode="External"/><Relationship Id="rId45" Type="http://schemas.openxmlformats.org/officeDocument/2006/relationships/hyperlink" Target="https://maps.app.goo.gl/izeTrSbTBZzXycPT6?g_st=ac" TargetMode="External"/><Relationship Id="rId48" Type="http://schemas.openxmlformats.org/officeDocument/2006/relationships/hyperlink" Target="https://maps.app.goo.gl/MnayCo5toFbUcmhV6" TargetMode="External"/><Relationship Id="rId47" Type="http://schemas.openxmlformats.org/officeDocument/2006/relationships/hyperlink" Target="https://maps.app.goo.gl/TC9PFqDZiTnZ6oPM8?g_st=ac" TargetMode="External"/><Relationship Id="rId49" Type="http://schemas.openxmlformats.org/officeDocument/2006/relationships/hyperlink" Target="https://maps.app.goo.gl/crWi5yrqaWbeEBaU7?g_st=ac" TargetMode="External"/><Relationship Id="rId31" Type="http://schemas.openxmlformats.org/officeDocument/2006/relationships/hyperlink" Target="https://maps.app.goo.gl/GCbNP1vpsCcVpKG18?g_st=ac" TargetMode="External"/><Relationship Id="rId30" Type="http://schemas.openxmlformats.org/officeDocument/2006/relationships/hyperlink" Target="https://maps.app.goo.gl/qYyV4pYMmyXpHWUS6" TargetMode="External"/><Relationship Id="rId33" Type="http://schemas.openxmlformats.org/officeDocument/2006/relationships/hyperlink" Target="https://maps.app.goo.gl/Gyte2Ym1A7gVH1P9A?g_st=ac" TargetMode="External"/><Relationship Id="rId32" Type="http://schemas.openxmlformats.org/officeDocument/2006/relationships/hyperlink" Target="https://maps.app.goo.gl/VexQPgpTcK9stuXc8" TargetMode="External"/><Relationship Id="rId35" Type="http://schemas.openxmlformats.org/officeDocument/2006/relationships/hyperlink" Target="https://maps.app.goo.gl/roQp3nEBCazbajW98" TargetMode="External"/><Relationship Id="rId34" Type="http://schemas.openxmlformats.org/officeDocument/2006/relationships/hyperlink" Target="https://maps.app.goo.gl/EPiDB89RWVuwzdT98?g_st=ac" TargetMode="External"/><Relationship Id="rId37" Type="http://schemas.openxmlformats.org/officeDocument/2006/relationships/hyperlink" Target="https://maps.app.goo.gl/jN3HSy1G9U6NNS9G8" TargetMode="External"/><Relationship Id="rId36" Type="http://schemas.openxmlformats.org/officeDocument/2006/relationships/hyperlink" Target="https://maps.app.goo.gl/xpvZkofXeCZ2MJs78?g_st=ac" TargetMode="External"/><Relationship Id="rId39" Type="http://schemas.openxmlformats.org/officeDocument/2006/relationships/hyperlink" Target="https://maps.app.goo.gl/B75DtKzRCGJ5tGgEA?g_st=ac" TargetMode="External"/><Relationship Id="rId38" Type="http://schemas.openxmlformats.org/officeDocument/2006/relationships/hyperlink" Target="https://maps.app.goo.gl/CYcLL6F5vdt224Xw5" TargetMode="External"/><Relationship Id="rId20" Type="http://schemas.openxmlformats.org/officeDocument/2006/relationships/hyperlink" Target="https://maps.app.goo.gl/ZQsxAzmAg1afNERX9" TargetMode="External"/><Relationship Id="rId22" Type="http://schemas.openxmlformats.org/officeDocument/2006/relationships/hyperlink" Target="https://maps.app.goo.gl/Eyop4MuNCTYp9V246?g_st=ac" TargetMode="External"/><Relationship Id="rId21" Type="http://schemas.openxmlformats.org/officeDocument/2006/relationships/hyperlink" Target="https://maps.app.goo.gl/UkQT9iL1ejTnDw2h7?g_st=ac" TargetMode="External"/><Relationship Id="rId24" Type="http://schemas.openxmlformats.org/officeDocument/2006/relationships/hyperlink" Target="https://maps.app.goo.gl/uwvqdukQZGHBhoeC8" TargetMode="External"/><Relationship Id="rId23" Type="http://schemas.openxmlformats.org/officeDocument/2006/relationships/hyperlink" Target="https://maps.app.goo.gl/fT28yezdSeraqi5F7?g_st=ac" TargetMode="External"/><Relationship Id="rId26" Type="http://schemas.openxmlformats.org/officeDocument/2006/relationships/hyperlink" Target="https://maps.app.goo.gl/rcL8LVYAkqJE6gMW6" TargetMode="External"/><Relationship Id="rId25" Type="http://schemas.openxmlformats.org/officeDocument/2006/relationships/hyperlink" Target="https://maps.app.goo.gl/wGrr18xVuGJtkHQo9?g_st=ac" TargetMode="External"/><Relationship Id="rId28" Type="http://schemas.openxmlformats.org/officeDocument/2006/relationships/hyperlink" Target="https://maps.app.goo.gl/FbwqRkSNd5Ucc5Lq6?g_st=ac" TargetMode="External"/><Relationship Id="rId27" Type="http://schemas.openxmlformats.org/officeDocument/2006/relationships/hyperlink" Target="https://maps.app.goo.gl/34xQrweB3GAfJnLMA" TargetMode="External"/><Relationship Id="rId29" Type="http://schemas.openxmlformats.org/officeDocument/2006/relationships/hyperlink" Target="https://maps.app.goo.gl/EmzyAGQpx7a9zo39A" TargetMode="External"/><Relationship Id="rId95" Type="http://schemas.openxmlformats.org/officeDocument/2006/relationships/hyperlink" Target="https://maps.app.goo.gl/n3hYv9SPqmwJn6J89" TargetMode="External"/><Relationship Id="rId94" Type="http://schemas.openxmlformats.org/officeDocument/2006/relationships/hyperlink" Target="https://maps.app.goo.gl/Mer8374bTegewqtH6" TargetMode="External"/><Relationship Id="rId97" Type="http://schemas.openxmlformats.org/officeDocument/2006/relationships/vmlDrawing" Target="../drawings/vmlDrawing1.vml"/><Relationship Id="rId96" Type="http://schemas.openxmlformats.org/officeDocument/2006/relationships/drawing" Target="../drawings/drawing1.xml"/><Relationship Id="rId11" Type="http://schemas.openxmlformats.org/officeDocument/2006/relationships/hyperlink" Target="https://maps.app.goo.gl/Df5abVQ39khu3Uuh8" TargetMode="External"/><Relationship Id="rId99" Type="http://schemas.openxmlformats.org/officeDocument/2006/relationships/table" Target="../tables/table1.xml"/><Relationship Id="rId10" Type="http://schemas.openxmlformats.org/officeDocument/2006/relationships/hyperlink" Target="https://maps.app.goo.gl/ivVsEADrkyEbaTQx5" TargetMode="External"/><Relationship Id="rId13" Type="http://schemas.openxmlformats.org/officeDocument/2006/relationships/hyperlink" Target="https://maps.app.goo.gl/JUJn9VHdQRsdEYSZA?g_st=ac" TargetMode="External"/><Relationship Id="rId12" Type="http://schemas.openxmlformats.org/officeDocument/2006/relationships/hyperlink" Target="https://maps.app.goo.gl/UXn4hyJBM4gBniBG7" TargetMode="External"/><Relationship Id="rId91" Type="http://schemas.openxmlformats.org/officeDocument/2006/relationships/hyperlink" Target="https://maps.app.goo.gl/EnmykKyieBZT5Ly28" TargetMode="External"/><Relationship Id="rId90" Type="http://schemas.openxmlformats.org/officeDocument/2006/relationships/hyperlink" Target="https://maps.app.goo.gl/DvBJwDGgUF2LrHAb7" TargetMode="External"/><Relationship Id="rId93" Type="http://schemas.openxmlformats.org/officeDocument/2006/relationships/hyperlink" Target="https://maps.app.goo.gl/wA45AjY3arigD9yM6" TargetMode="External"/><Relationship Id="rId92" Type="http://schemas.openxmlformats.org/officeDocument/2006/relationships/hyperlink" Target="https://maps.app.goo.gl/pC9UTLis9dueCfeE6" TargetMode="External"/><Relationship Id="rId15" Type="http://schemas.openxmlformats.org/officeDocument/2006/relationships/hyperlink" Target="https://maps.app.goo.gl/5qn9egSj5c6xphs1A" TargetMode="External"/><Relationship Id="rId14" Type="http://schemas.openxmlformats.org/officeDocument/2006/relationships/hyperlink" Target="https://maps.app.goo.gl/nkQ4fBa1y3aMdDz49" TargetMode="External"/><Relationship Id="rId17" Type="http://schemas.openxmlformats.org/officeDocument/2006/relationships/hyperlink" Target="https://maps.app.goo.gl/isNVvj3Wc2z2nD8r9" TargetMode="External"/><Relationship Id="rId16" Type="http://schemas.openxmlformats.org/officeDocument/2006/relationships/hyperlink" Target="https://maps.app.goo.gl/8v5xbD6h6CkqVHNF6?g_st=ac" TargetMode="External"/><Relationship Id="rId19" Type="http://schemas.openxmlformats.org/officeDocument/2006/relationships/hyperlink" Target="https://maps.app.goo.gl/YiVV8djsuY1DHvJU9" TargetMode="External"/><Relationship Id="rId18" Type="http://schemas.openxmlformats.org/officeDocument/2006/relationships/hyperlink" Target="https://maps.app.goo.gl/PHKZsxb1V8Y7txZD7" TargetMode="External"/><Relationship Id="rId84" Type="http://schemas.openxmlformats.org/officeDocument/2006/relationships/hyperlink" Target="https://maps.app.goo.gl/wS6PLBxrSxcMopTh9" TargetMode="External"/><Relationship Id="rId83" Type="http://schemas.openxmlformats.org/officeDocument/2006/relationships/hyperlink" Target="https://maps.app.goo.gl/Bptw6KveTJPwneqFA?g_st=ac" TargetMode="External"/><Relationship Id="rId86" Type="http://schemas.openxmlformats.org/officeDocument/2006/relationships/hyperlink" Target="https://maps.app.goo.gl/K7Ren2A44sdBD3zD7?g_st=ac" TargetMode="External"/><Relationship Id="rId85" Type="http://schemas.openxmlformats.org/officeDocument/2006/relationships/hyperlink" Target="https://maps.app.goo.gl/9r2bAUUyUjgdLAia8?g_st=ac" TargetMode="External"/><Relationship Id="rId88" Type="http://schemas.openxmlformats.org/officeDocument/2006/relationships/hyperlink" Target="https://maps.app.goo.gl/fQdVF1WAyhfKGtxJ7" TargetMode="External"/><Relationship Id="rId87" Type="http://schemas.openxmlformats.org/officeDocument/2006/relationships/hyperlink" Target="https://maps.app.goo.gl/QivbM4no4QDCweAu5" TargetMode="External"/><Relationship Id="rId89" Type="http://schemas.openxmlformats.org/officeDocument/2006/relationships/hyperlink" Target="https://maps.app.goo.gl/riq7NEar7u9VGF4u6?g_st=ac" TargetMode="External"/><Relationship Id="rId80" Type="http://schemas.openxmlformats.org/officeDocument/2006/relationships/hyperlink" Target="https://maps.app.goo.gl/UnnfPUXHiSNP4vsh6?g_st=ac" TargetMode="External"/><Relationship Id="rId82" Type="http://schemas.openxmlformats.org/officeDocument/2006/relationships/hyperlink" Target="https://maps.app.goo.gl/P2jErRZDpZJyRANWA" TargetMode="External"/><Relationship Id="rId81" Type="http://schemas.openxmlformats.org/officeDocument/2006/relationships/hyperlink" Target="https://maps.app.goo.gl/qJi6x1mgfBpKFhSq7?g_st=ac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maps.app.goo.gl/HyYPiq6CU7WYDUio7?g_st=ac" TargetMode="External"/><Relationship Id="rId9" Type="http://schemas.openxmlformats.org/officeDocument/2006/relationships/hyperlink" Target="https://maps.app.goo.gl/otZnEJ3NMnsQtbne7?g_st=ac" TargetMode="External"/><Relationship Id="rId5" Type="http://schemas.openxmlformats.org/officeDocument/2006/relationships/hyperlink" Target="https://maps.app.goo.gl/cR9D6bG4V1ae3t969" TargetMode="External"/><Relationship Id="rId6" Type="http://schemas.openxmlformats.org/officeDocument/2006/relationships/hyperlink" Target="https://maps.app.goo.gl/pLHN18cH3mcV2gzw9" TargetMode="External"/><Relationship Id="rId7" Type="http://schemas.openxmlformats.org/officeDocument/2006/relationships/hyperlink" Target="https://maps.app.goo.gl/Gp5QtpNYPznhNUFv7" TargetMode="External"/><Relationship Id="rId8" Type="http://schemas.openxmlformats.org/officeDocument/2006/relationships/hyperlink" Target="https://maps.app.goo.gl/73voYDzBPYqGWaVC6" TargetMode="External"/><Relationship Id="rId73" Type="http://schemas.openxmlformats.org/officeDocument/2006/relationships/hyperlink" Target="https://maps.app.goo.gl/SZdsRcoe3T88qHQM6" TargetMode="External"/><Relationship Id="rId72" Type="http://schemas.openxmlformats.org/officeDocument/2006/relationships/hyperlink" Target="https://maps.app.goo.gl/SmGqc1b83ge8kyDFA?g_st=ac" TargetMode="External"/><Relationship Id="rId75" Type="http://schemas.openxmlformats.org/officeDocument/2006/relationships/hyperlink" Target="https://maps.app.goo.gl/UESuUgY6C9knwhBD8" TargetMode="External"/><Relationship Id="rId74" Type="http://schemas.openxmlformats.org/officeDocument/2006/relationships/hyperlink" Target="https://maps.app.goo.gl/AkhPAW7KNp9c5ad78?g_st=ac" TargetMode="External"/><Relationship Id="rId77" Type="http://schemas.openxmlformats.org/officeDocument/2006/relationships/hyperlink" Target="https://maps.app.goo.gl/PHkLwbNDAqph2Bsr9?g_st=ac" TargetMode="External"/><Relationship Id="rId76" Type="http://schemas.openxmlformats.org/officeDocument/2006/relationships/hyperlink" Target="https://maps.app.goo.gl/4uS2v85fnGf1QUBx5?g_st=ac" TargetMode="External"/><Relationship Id="rId79" Type="http://schemas.openxmlformats.org/officeDocument/2006/relationships/hyperlink" Target="https://maps.app.goo.gl/yu85disUwreHxxdV7" TargetMode="External"/><Relationship Id="rId78" Type="http://schemas.openxmlformats.org/officeDocument/2006/relationships/hyperlink" Target="https://maps.app.goo.gl/x2mLwmB8hm5WCY6r5?g_st=ac" TargetMode="External"/><Relationship Id="rId71" Type="http://schemas.openxmlformats.org/officeDocument/2006/relationships/hyperlink" Target="https://maps.app.goo.gl/FPDDftGSHGgfQvTd6" TargetMode="External"/><Relationship Id="rId70" Type="http://schemas.openxmlformats.org/officeDocument/2006/relationships/hyperlink" Target="https://maps.app.goo.gl/qE4tQYEXiErejy1v7?g_st=ac" TargetMode="External"/><Relationship Id="rId62" Type="http://schemas.openxmlformats.org/officeDocument/2006/relationships/hyperlink" Target="https://maps.app.goo.gl/fh3hpokbgywLHvkQ9" TargetMode="External"/><Relationship Id="rId61" Type="http://schemas.openxmlformats.org/officeDocument/2006/relationships/hyperlink" Target="https://maps.app.goo.gl/uGTiYAL5Wf19aprS7?g_st=ac" TargetMode="External"/><Relationship Id="rId64" Type="http://schemas.openxmlformats.org/officeDocument/2006/relationships/hyperlink" Target="https://maps.app.goo.gl/e2kVtBo4TPaMp7EU6" TargetMode="External"/><Relationship Id="rId63" Type="http://schemas.openxmlformats.org/officeDocument/2006/relationships/hyperlink" Target="https://maps.app.goo.gl/cHuE4GxaakqpvYEW7" TargetMode="External"/><Relationship Id="rId66" Type="http://schemas.openxmlformats.org/officeDocument/2006/relationships/hyperlink" Target="https://maps.app.goo.gl/fYUAJmuSQKJc9c1a8?g_st=ac" TargetMode="External"/><Relationship Id="rId65" Type="http://schemas.openxmlformats.org/officeDocument/2006/relationships/hyperlink" Target="https://maps.app.goo.gl/mtVtsmUa87Xyxdc29" TargetMode="External"/><Relationship Id="rId68" Type="http://schemas.openxmlformats.org/officeDocument/2006/relationships/hyperlink" Target="https://maps.app.goo.gl/M9t8NSkvvR1vvUPQ6" TargetMode="External"/><Relationship Id="rId67" Type="http://schemas.openxmlformats.org/officeDocument/2006/relationships/hyperlink" Target="https://maps.app.goo.gl/qZJBzjRoAGoxfyQm8?g_st=ac" TargetMode="External"/><Relationship Id="rId60" Type="http://schemas.openxmlformats.org/officeDocument/2006/relationships/hyperlink" Target="https://maps.app.goo.gl/u4GpWhRS8EnWHWxE6?g_st=ac" TargetMode="External"/><Relationship Id="rId69" Type="http://schemas.openxmlformats.org/officeDocument/2006/relationships/hyperlink" Target="https://maps.app.goo.gl/DYAagm6T5PsLfKiw7?g_st=ac" TargetMode="External"/><Relationship Id="rId51" Type="http://schemas.openxmlformats.org/officeDocument/2006/relationships/hyperlink" Target="https://maps.app.goo.gl/fMTmMQq34qXsN2X99?g_st=ac" TargetMode="External"/><Relationship Id="rId50" Type="http://schemas.openxmlformats.org/officeDocument/2006/relationships/hyperlink" Target="https://maps.app.goo.gl/1zeBgaueo3K66TBq6?g_st=ac" TargetMode="External"/><Relationship Id="rId53" Type="http://schemas.openxmlformats.org/officeDocument/2006/relationships/hyperlink" Target="https://maps.app.goo.gl/SBCHKhQhHqzrqdqU7" TargetMode="External"/><Relationship Id="rId52" Type="http://schemas.openxmlformats.org/officeDocument/2006/relationships/hyperlink" Target="https://maps.app.goo.gl/SkBGFBNfSGrrNKU3A" TargetMode="External"/><Relationship Id="rId55" Type="http://schemas.openxmlformats.org/officeDocument/2006/relationships/hyperlink" Target="https://maps.app.goo.gl/3TjWiCqcc9JD4RcBA" TargetMode="External"/><Relationship Id="rId54" Type="http://schemas.openxmlformats.org/officeDocument/2006/relationships/hyperlink" Target="https://maps.app.goo.gl/i3WNH2ouwfBVYDWt8" TargetMode="External"/><Relationship Id="rId57" Type="http://schemas.openxmlformats.org/officeDocument/2006/relationships/hyperlink" Target="https://maps.app.goo.gl/oapMWhcWAgyfquyM9" TargetMode="External"/><Relationship Id="rId56" Type="http://schemas.openxmlformats.org/officeDocument/2006/relationships/hyperlink" Target="https://maps.app.goo.gl/FL3g84qiYuzcp51V9" TargetMode="External"/><Relationship Id="rId59" Type="http://schemas.openxmlformats.org/officeDocument/2006/relationships/hyperlink" Target="https://maps.app.goo.gl/ufy2G6jRCXpYvcDz5?g_st=ac" TargetMode="External"/><Relationship Id="rId58" Type="http://schemas.openxmlformats.org/officeDocument/2006/relationships/hyperlink" Target="https://maps.app.goo.gl/mcX7yB8PYjhF2ggy9" TargetMode="External"/></Relationships>
</file>

<file path=xl/worksheets/_rels/sheet2.xml.rels><?xml version="1.0" encoding="UTF-8" standalone="yes"?><Relationships xmlns="http://schemas.openxmlformats.org/package/2006/relationships"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3" width="18.88"/>
    <col customWidth="1" min="4" max="4" width="3.5"/>
    <col customWidth="1" min="5" max="5" width="10.88"/>
    <col customWidth="1" min="6" max="6" width="12.63"/>
    <col customWidth="1" min="7" max="7" width="12.5"/>
    <col customWidth="1" min="8" max="8" width="9.25"/>
    <col customWidth="1" min="9" max="9" width="53.13"/>
    <col customWidth="1" min="10" max="10" width="10.0"/>
    <col customWidth="1" min="11" max="11" width="10.63"/>
    <col customWidth="1" min="12" max="12" width="11.88"/>
    <col customWidth="1" min="13" max="13" width="10.13"/>
    <col customWidth="1" min="14" max="14" width="12.5"/>
    <col customWidth="1" min="15" max="15" width="9.75"/>
    <col customWidth="1" min="16" max="20" width="15.63"/>
    <col customWidth="1" hidden="1" min="21" max="25" width="15.63"/>
    <col customWidth="1" min="26" max="26" width="9.75"/>
    <col customWidth="1" min="27" max="31" width="15.5"/>
    <col customWidth="1" hidden="1" min="32" max="36" width="15.5"/>
    <col customWidth="1" min="37" max="37" width="12.63"/>
    <col customWidth="1" min="38" max="42" width="13.25"/>
    <col customWidth="1" min="43" max="43" width="12.63"/>
    <col customWidth="1" min="44" max="47" width="13.25"/>
    <col customWidth="1" min="48" max="55" width="13.0"/>
    <col customWidth="1" min="56" max="57" width="12.5"/>
    <col customWidth="1" hidden="1" min="58" max="64" width="18.88"/>
  </cols>
  <sheetData>
    <row r="1" ht="25.5" customHeight="1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5" t="s">
        <v>14</v>
      </c>
      <c r="J1" s="6" t="s">
        <v>15</v>
      </c>
      <c r="K1" s="4" t="s">
        <v>16</v>
      </c>
      <c r="L1" s="4" t="s">
        <v>17</v>
      </c>
      <c r="M1" s="4" t="s">
        <v>19</v>
      </c>
      <c r="N1" s="5" t="s">
        <v>20</v>
      </c>
      <c r="O1" s="6" t="s">
        <v>21</v>
      </c>
      <c r="P1" s="4" t="s">
        <v>22</v>
      </c>
      <c r="Q1" s="4" t="s">
        <v>23</v>
      </c>
      <c r="R1" s="13" t="s">
        <v>25</v>
      </c>
      <c r="S1" s="4" t="s">
        <v>30</v>
      </c>
      <c r="T1" s="4" t="s">
        <v>32</v>
      </c>
      <c r="U1" s="4" t="s">
        <v>34</v>
      </c>
      <c r="V1" s="4" t="s">
        <v>35</v>
      </c>
      <c r="W1" s="4" t="s">
        <v>39</v>
      </c>
      <c r="X1" s="4" t="s">
        <v>41</v>
      </c>
      <c r="Y1" s="5" t="s">
        <v>43</v>
      </c>
      <c r="Z1" s="6" t="s">
        <v>45</v>
      </c>
      <c r="AA1" s="4" t="s">
        <v>46</v>
      </c>
      <c r="AB1" s="4" t="s">
        <v>47</v>
      </c>
      <c r="AC1" s="4" t="s">
        <v>49</v>
      </c>
      <c r="AD1" s="4" t="s">
        <v>51</v>
      </c>
      <c r="AE1" s="4" t="s">
        <v>52</v>
      </c>
      <c r="AF1" s="4" t="s">
        <v>53</v>
      </c>
      <c r="AG1" s="4" t="s">
        <v>54</v>
      </c>
      <c r="AH1" s="4" t="s">
        <v>55</v>
      </c>
      <c r="AI1" s="4" t="s">
        <v>56</v>
      </c>
      <c r="AJ1" s="5" t="s">
        <v>57</v>
      </c>
      <c r="AK1" s="6" t="s">
        <v>59</v>
      </c>
      <c r="AL1" s="4" t="s">
        <v>60</v>
      </c>
      <c r="AM1" s="4" t="s">
        <v>61</v>
      </c>
      <c r="AN1" s="4" t="s">
        <v>62</v>
      </c>
      <c r="AO1" s="4" t="s">
        <v>64</v>
      </c>
      <c r="AP1" s="5" t="s">
        <v>65</v>
      </c>
      <c r="AQ1" s="6" t="s">
        <v>66</v>
      </c>
      <c r="AR1" s="4" t="s">
        <v>67</v>
      </c>
      <c r="AS1" s="4" t="s">
        <v>68</v>
      </c>
      <c r="AT1" s="4" t="s">
        <v>69</v>
      </c>
      <c r="AU1" s="5" t="s">
        <v>70</v>
      </c>
      <c r="AV1" s="6" t="s">
        <v>71</v>
      </c>
      <c r="AW1" s="4" t="s">
        <v>72</v>
      </c>
      <c r="AX1" s="4" t="s">
        <v>73</v>
      </c>
      <c r="AY1" s="4" t="s">
        <v>74</v>
      </c>
      <c r="AZ1" s="5" t="s">
        <v>76</v>
      </c>
      <c r="BA1" s="6" t="s">
        <v>77</v>
      </c>
      <c r="BB1" s="4" t="s">
        <v>78</v>
      </c>
      <c r="BC1" s="5" t="s">
        <v>79</v>
      </c>
      <c r="BD1" s="6" t="s">
        <v>80</v>
      </c>
      <c r="BE1" s="4" t="s">
        <v>81</v>
      </c>
      <c r="BF1" s="31" t="s">
        <v>82</v>
      </c>
      <c r="BG1" s="32"/>
      <c r="BH1" s="32"/>
      <c r="BI1" s="32"/>
      <c r="BJ1" s="32"/>
      <c r="BK1" s="32"/>
      <c r="BL1" s="32"/>
    </row>
    <row r="2" ht="12.0" customHeight="1">
      <c r="A2" s="35">
        <v>46225.489715868054</v>
      </c>
      <c r="B2" s="36" t="s">
        <v>85</v>
      </c>
      <c r="C2" s="36" t="s">
        <v>86</v>
      </c>
      <c r="D2" s="36">
        <v>1.0</v>
      </c>
      <c r="E2" s="36" t="s">
        <v>87</v>
      </c>
      <c r="F2" s="36" t="s">
        <v>88</v>
      </c>
      <c r="G2" s="36" t="s">
        <v>89</v>
      </c>
      <c r="H2" s="36">
        <v>263.0</v>
      </c>
      <c r="I2" s="39" t="s">
        <v>90</v>
      </c>
      <c r="J2" s="40" t="s">
        <v>50</v>
      </c>
      <c r="K2" s="41" t="s">
        <v>91</v>
      </c>
      <c r="L2" s="42" t="s">
        <v>92</v>
      </c>
      <c r="M2" s="44">
        <v>5.5</v>
      </c>
      <c r="N2" s="45" t="s">
        <v>93</v>
      </c>
      <c r="O2" s="47" t="s">
        <v>94</v>
      </c>
      <c r="P2" s="48" t="s">
        <v>95</v>
      </c>
      <c r="Q2" s="48" t="s">
        <v>96</v>
      </c>
      <c r="R2" s="49">
        <v>45495.0</v>
      </c>
      <c r="S2" s="42" t="s">
        <v>93</v>
      </c>
      <c r="T2" s="50" t="s">
        <v>97</v>
      </c>
      <c r="U2" s="51"/>
      <c r="V2" s="51"/>
      <c r="W2" s="51"/>
      <c r="X2" s="51"/>
      <c r="Y2" s="53"/>
      <c r="Z2" s="54" t="s">
        <v>99</v>
      </c>
      <c r="AA2" s="48" t="s">
        <v>95</v>
      </c>
      <c r="AB2" s="36">
        <v>1.25</v>
      </c>
      <c r="AC2" s="55">
        <v>45495.0</v>
      </c>
      <c r="AD2" s="56" t="s">
        <v>100</v>
      </c>
      <c r="AE2" s="36" t="s">
        <v>101</v>
      </c>
      <c r="AF2" s="51"/>
      <c r="AG2" s="51"/>
      <c r="AH2" s="51"/>
      <c r="AI2" s="51"/>
      <c r="AJ2" s="53"/>
      <c r="AK2" s="47" t="s">
        <v>94</v>
      </c>
      <c r="AL2" s="42" t="s">
        <v>103</v>
      </c>
      <c r="AM2" s="36">
        <v>0.9</v>
      </c>
      <c r="AN2" s="55">
        <v>45495.0</v>
      </c>
      <c r="AO2" s="42" t="s">
        <v>93</v>
      </c>
      <c r="AP2" s="59" t="s">
        <v>97</v>
      </c>
      <c r="AQ2" s="54" t="s">
        <v>99</v>
      </c>
      <c r="AR2" s="36">
        <v>1.0</v>
      </c>
      <c r="AS2" s="55">
        <v>45495.0</v>
      </c>
      <c r="AT2" s="42" t="s">
        <v>93</v>
      </c>
      <c r="AU2" s="59" t="s">
        <v>97</v>
      </c>
      <c r="AV2" s="40" t="s">
        <v>50</v>
      </c>
      <c r="AW2" s="62" t="s">
        <v>104</v>
      </c>
      <c r="AX2" s="55">
        <v>45495.0</v>
      </c>
      <c r="AY2" s="36">
        <v>0.15</v>
      </c>
      <c r="AZ2" s="45" t="s">
        <v>93</v>
      </c>
      <c r="BA2" s="40" t="s">
        <v>50</v>
      </c>
      <c r="BB2" s="63" t="s">
        <v>105</v>
      </c>
      <c r="BC2" s="64" t="s">
        <v>106</v>
      </c>
      <c r="BD2" s="40" t="s">
        <v>107</v>
      </c>
      <c r="BE2" s="42" t="s">
        <v>93</v>
      </c>
      <c r="BF2" s="65"/>
      <c r="BG2" s="23"/>
      <c r="BH2" s="23"/>
      <c r="BI2" s="23"/>
      <c r="BJ2" s="23"/>
      <c r="BK2" s="23"/>
      <c r="BL2" s="23"/>
    </row>
    <row r="3" ht="12.0" customHeight="1">
      <c r="A3" s="66">
        <v>46225.495746203705</v>
      </c>
      <c r="B3" s="67" t="s">
        <v>85</v>
      </c>
      <c r="C3" s="67" t="s">
        <v>86</v>
      </c>
      <c r="D3" s="67">
        <v>2.0</v>
      </c>
      <c r="E3" s="67" t="s">
        <v>110</v>
      </c>
      <c r="F3" s="67" t="s">
        <v>88</v>
      </c>
      <c r="G3" s="67" t="s">
        <v>111</v>
      </c>
      <c r="H3" s="67">
        <v>119.0</v>
      </c>
      <c r="I3" s="70" t="s">
        <v>113</v>
      </c>
      <c r="J3" s="71" t="s">
        <v>63</v>
      </c>
      <c r="K3" s="72" t="s">
        <v>98</v>
      </c>
      <c r="L3" s="42" t="s">
        <v>92</v>
      </c>
      <c r="M3" s="73">
        <v>4.0</v>
      </c>
      <c r="N3" s="45" t="s">
        <v>93</v>
      </c>
      <c r="O3" s="75" t="s">
        <v>115</v>
      </c>
      <c r="P3" s="76" t="s">
        <v>116</v>
      </c>
      <c r="Q3" s="73">
        <v>0.6</v>
      </c>
      <c r="R3" s="77">
        <v>45495.0</v>
      </c>
      <c r="S3" s="56" t="s">
        <v>100</v>
      </c>
      <c r="T3" s="67" t="s">
        <v>117</v>
      </c>
      <c r="U3" s="78"/>
      <c r="V3" s="78"/>
      <c r="W3" s="78"/>
      <c r="X3" s="78"/>
      <c r="Y3" s="81"/>
      <c r="Z3" s="83" t="s">
        <v>119</v>
      </c>
      <c r="AA3" s="76" t="s">
        <v>116</v>
      </c>
      <c r="AB3" s="67">
        <v>0.6</v>
      </c>
      <c r="AC3" s="84">
        <v>45495.0</v>
      </c>
      <c r="AD3" s="56" t="s">
        <v>100</v>
      </c>
      <c r="AE3" s="50" t="s">
        <v>97</v>
      </c>
      <c r="AF3" s="78"/>
      <c r="AG3" s="78"/>
      <c r="AH3" s="78"/>
      <c r="AI3" s="78"/>
      <c r="AJ3" s="81"/>
      <c r="AK3" s="75" t="s">
        <v>115</v>
      </c>
      <c r="AL3" s="42" t="s">
        <v>103</v>
      </c>
      <c r="AM3" s="67">
        <v>0.6</v>
      </c>
      <c r="AN3" s="84">
        <v>45495.0</v>
      </c>
      <c r="AO3" s="42" t="s">
        <v>93</v>
      </c>
      <c r="AP3" s="59" t="s">
        <v>97</v>
      </c>
      <c r="AQ3" s="83" t="s">
        <v>119</v>
      </c>
      <c r="AR3" s="67">
        <v>0.6</v>
      </c>
      <c r="AS3" s="84">
        <v>45495.0</v>
      </c>
      <c r="AT3" s="42" t="s">
        <v>93</v>
      </c>
      <c r="AU3" s="59" t="s">
        <v>97</v>
      </c>
      <c r="AV3" s="40" t="s">
        <v>50</v>
      </c>
      <c r="AW3" s="62" t="s">
        <v>104</v>
      </c>
      <c r="AX3" s="84">
        <v>45495.0</v>
      </c>
      <c r="AY3" s="67">
        <v>0.15</v>
      </c>
      <c r="AZ3" s="45" t="s">
        <v>93</v>
      </c>
      <c r="BA3" s="40" t="s">
        <v>50</v>
      </c>
      <c r="BB3" s="63" t="s">
        <v>105</v>
      </c>
      <c r="BC3" s="92" t="s">
        <v>123</v>
      </c>
      <c r="BD3" s="40" t="s">
        <v>107</v>
      </c>
      <c r="BE3" s="42" t="s">
        <v>93</v>
      </c>
      <c r="BF3" s="93"/>
      <c r="BG3" s="23"/>
      <c r="BH3" s="23"/>
      <c r="BI3" s="23"/>
      <c r="BJ3" s="23"/>
      <c r="BK3" s="23"/>
      <c r="BL3" s="23"/>
    </row>
    <row r="4" ht="12.0" customHeight="1">
      <c r="A4" s="66">
        <v>46225.4989568287</v>
      </c>
      <c r="B4" s="67" t="s">
        <v>85</v>
      </c>
      <c r="C4" s="67" t="s">
        <v>86</v>
      </c>
      <c r="D4" s="67">
        <v>3.0</v>
      </c>
      <c r="E4" s="67" t="s">
        <v>125</v>
      </c>
      <c r="F4" s="67" t="s">
        <v>126</v>
      </c>
      <c r="G4" s="67" t="s">
        <v>111</v>
      </c>
      <c r="H4" s="67">
        <v>74.0</v>
      </c>
      <c r="I4" s="95" t="s">
        <v>127</v>
      </c>
      <c r="J4" s="40" t="s">
        <v>50</v>
      </c>
      <c r="K4" s="72" t="s">
        <v>98</v>
      </c>
      <c r="L4" s="42" t="s">
        <v>92</v>
      </c>
      <c r="M4" s="73">
        <v>4.0</v>
      </c>
      <c r="N4" s="45" t="s">
        <v>93</v>
      </c>
      <c r="O4" s="47" t="s">
        <v>94</v>
      </c>
      <c r="P4" s="97" t="s">
        <v>128</v>
      </c>
      <c r="Q4" s="73">
        <v>0.9</v>
      </c>
      <c r="R4" s="77">
        <v>45495.0</v>
      </c>
      <c r="S4" s="42" t="s">
        <v>93</v>
      </c>
      <c r="T4" s="50" t="s">
        <v>97</v>
      </c>
      <c r="U4" s="78"/>
      <c r="V4" s="78"/>
      <c r="W4" s="78"/>
      <c r="X4" s="78"/>
      <c r="Y4" s="81"/>
      <c r="Z4" s="54" t="s">
        <v>99</v>
      </c>
      <c r="AA4" s="97" t="s">
        <v>128</v>
      </c>
      <c r="AB4" s="67">
        <v>0.9</v>
      </c>
      <c r="AC4" s="84">
        <v>45495.0</v>
      </c>
      <c r="AD4" s="42" t="s">
        <v>93</v>
      </c>
      <c r="AE4" s="50" t="s">
        <v>97</v>
      </c>
      <c r="AF4" s="78"/>
      <c r="AG4" s="78"/>
      <c r="AH4" s="78"/>
      <c r="AI4" s="78"/>
      <c r="AJ4" s="81"/>
      <c r="AK4" s="47" t="s">
        <v>94</v>
      </c>
      <c r="AL4" s="42" t="s">
        <v>103</v>
      </c>
      <c r="AM4" s="67">
        <v>0.9</v>
      </c>
      <c r="AN4" s="84">
        <v>45495.0</v>
      </c>
      <c r="AO4" s="42" t="s">
        <v>93</v>
      </c>
      <c r="AP4" s="59" t="s">
        <v>97</v>
      </c>
      <c r="AQ4" s="54" t="s">
        <v>99</v>
      </c>
      <c r="AR4" s="67">
        <v>0.9</v>
      </c>
      <c r="AS4" s="84">
        <v>45495.0</v>
      </c>
      <c r="AT4" s="42" t="s">
        <v>93</v>
      </c>
      <c r="AU4" s="59" t="s">
        <v>97</v>
      </c>
      <c r="AV4" s="40" t="s">
        <v>50</v>
      </c>
      <c r="AW4" s="62" t="s">
        <v>104</v>
      </c>
      <c r="AX4" s="84">
        <v>45495.0</v>
      </c>
      <c r="AY4" s="67">
        <v>0.15</v>
      </c>
      <c r="AZ4" s="45" t="s">
        <v>93</v>
      </c>
      <c r="BA4" s="40" t="s">
        <v>50</v>
      </c>
      <c r="BB4" s="63" t="s">
        <v>105</v>
      </c>
      <c r="BC4" s="59" t="s">
        <v>97</v>
      </c>
      <c r="BD4" s="40" t="s">
        <v>107</v>
      </c>
      <c r="BE4" s="42" t="s">
        <v>93</v>
      </c>
      <c r="BF4" s="93"/>
      <c r="BG4" s="23"/>
      <c r="BH4" s="23"/>
      <c r="BI4" s="23"/>
      <c r="BJ4" s="23"/>
      <c r="BK4" s="23"/>
      <c r="BL4" s="23"/>
    </row>
    <row r="5" ht="12.0" customHeight="1">
      <c r="A5" s="66">
        <v>46225.50226469907</v>
      </c>
      <c r="B5" s="67" t="s">
        <v>85</v>
      </c>
      <c r="C5" s="67" t="s">
        <v>132</v>
      </c>
      <c r="D5" s="36">
        <v>4.0</v>
      </c>
      <c r="E5" s="67" t="s">
        <v>125</v>
      </c>
      <c r="F5" s="67" t="s">
        <v>134</v>
      </c>
      <c r="G5" s="67" t="s">
        <v>111</v>
      </c>
      <c r="H5" s="67">
        <v>71.0</v>
      </c>
      <c r="I5" s="95" t="s">
        <v>135</v>
      </c>
      <c r="J5" s="40" t="s">
        <v>50</v>
      </c>
      <c r="K5" s="72" t="s">
        <v>98</v>
      </c>
      <c r="L5" s="42" t="s">
        <v>92</v>
      </c>
      <c r="M5" s="73">
        <v>4.3</v>
      </c>
      <c r="N5" s="45" t="s">
        <v>93</v>
      </c>
      <c r="O5" s="47" t="s">
        <v>94</v>
      </c>
      <c r="P5" s="100" t="s">
        <v>122</v>
      </c>
      <c r="Q5" s="73">
        <v>1.0</v>
      </c>
      <c r="R5" s="77">
        <v>45495.0</v>
      </c>
      <c r="S5" s="42" t="s">
        <v>93</v>
      </c>
      <c r="T5" s="50" t="s">
        <v>97</v>
      </c>
      <c r="U5" s="78"/>
      <c r="V5" s="78"/>
      <c r="W5" s="78"/>
      <c r="X5" s="78"/>
      <c r="Y5" s="81"/>
      <c r="Z5" s="54" t="s">
        <v>99</v>
      </c>
      <c r="AA5" s="97" t="s">
        <v>128</v>
      </c>
      <c r="AB5" s="67">
        <v>1.0</v>
      </c>
      <c r="AC5" s="84">
        <v>45495.0</v>
      </c>
      <c r="AD5" s="42" t="s">
        <v>93</v>
      </c>
      <c r="AE5" s="50" t="s">
        <v>97</v>
      </c>
      <c r="AF5" s="78"/>
      <c r="AG5" s="78"/>
      <c r="AH5" s="78"/>
      <c r="AI5" s="78"/>
      <c r="AJ5" s="81"/>
      <c r="AK5" s="47" t="s">
        <v>94</v>
      </c>
      <c r="AL5" s="42" t="s">
        <v>103</v>
      </c>
      <c r="AM5" s="67">
        <v>0.9</v>
      </c>
      <c r="AN5" s="84">
        <v>45129.0</v>
      </c>
      <c r="AO5" s="42" t="s">
        <v>93</v>
      </c>
      <c r="AP5" s="59" t="s">
        <v>97</v>
      </c>
      <c r="AQ5" s="54" t="s">
        <v>99</v>
      </c>
      <c r="AR5" s="67">
        <v>0.9</v>
      </c>
      <c r="AS5" s="84">
        <v>45129.0</v>
      </c>
      <c r="AT5" s="42" t="s">
        <v>93</v>
      </c>
      <c r="AU5" s="59" t="s">
        <v>97</v>
      </c>
      <c r="AV5" s="40" t="s">
        <v>50</v>
      </c>
      <c r="AW5" s="62" t="s">
        <v>104</v>
      </c>
      <c r="AX5" s="84">
        <v>45495.0</v>
      </c>
      <c r="AY5" s="67">
        <v>0.15</v>
      </c>
      <c r="AZ5" s="45" t="s">
        <v>93</v>
      </c>
      <c r="BA5" s="40" t="s">
        <v>50</v>
      </c>
      <c r="BB5" s="63" t="s">
        <v>105</v>
      </c>
      <c r="BC5" s="92" t="s">
        <v>138</v>
      </c>
      <c r="BD5" s="40" t="s">
        <v>107</v>
      </c>
      <c r="BE5" s="42" t="s">
        <v>93</v>
      </c>
      <c r="BF5" s="93"/>
      <c r="BG5" s="23"/>
      <c r="BH5" s="23"/>
      <c r="BI5" s="23"/>
      <c r="BJ5" s="23"/>
      <c r="BK5" s="23"/>
      <c r="BL5" s="23"/>
    </row>
    <row r="6" ht="12.0" customHeight="1">
      <c r="A6" s="66">
        <v>46225.50528001157</v>
      </c>
      <c r="B6" s="67" t="s">
        <v>85</v>
      </c>
      <c r="C6" s="67" t="s">
        <v>86</v>
      </c>
      <c r="D6" s="67">
        <v>5.0</v>
      </c>
      <c r="E6" s="67" t="s">
        <v>125</v>
      </c>
      <c r="F6" s="67" t="s">
        <v>139</v>
      </c>
      <c r="G6" s="67" t="s">
        <v>111</v>
      </c>
      <c r="H6" s="67">
        <v>76.0</v>
      </c>
      <c r="I6" s="95" t="s">
        <v>140</v>
      </c>
      <c r="J6" s="40" t="s">
        <v>50</v>
      </c>
      <c r="K6" s="72" t="s">
        <v>98</v>
      </c>
      <c r="L6" s="42" t="s">
        <v>92</v>
      </c>
      <c r="M6" s="73">
        <v>4.2</v>
      </c>
      <c r="N6" s="45" t="s">
        <v>93</v>
      </c>
      <c r="O6" s="47" t="s">
        <v>94</v>
      </c>
      <c r="P6" s="100" t="s">
        <v>122</v>
      </c>
      <c r="Q6" s="73">
        <v>1.3</v>
      </c>
      <c r="R6" s="77">
        <v>45495.0</v>
      </c>
      <c r="S6" s="42" t="s">
        <v>93</v>
      </c>
      <c r="T6" s="50" t="s">
        <v>97</v>
      </c>
      <c r="U6" s="78"/>
      <c r="V6" s="78"/>
      <c r="W6" s="78"/>
      <c r="X6" s="78"/>
      <c r="Y6" s="81"/>
      <c r="Z6" s="54" t="s">
        <v>99</v>
      </c>
      <c r="AA6" s="100" t="s">
        <v>122</v>
      </c>
      <c r="AB6" s="67">
        <v>1.3</v>
      </c>
      <c r="AC6" s="84">
        <v>45495.0</v>
      </c>
      <c r="AD6" s="42" t="s">
        <v>93</v>
      </c>
      <c r="AE6" s="50" t="s">
        <v>97</v>
      </c>
      <c r="AF6" s="78"/>
      <c r="AG6" s="78"/>
      <c r="AH6" s="78"/>
      <c r="AI6" s="78"/>
      <c r="AJ6" s="81"/>
      <c r="AK6" s="47" t="s">
        <v>94</v>
      </c>
      <c r="AL6" s="42" t="s">
        <v>103</v>
      </c>
      <c r="AM6" s="67">
        <v>0.9</v>
      </c>
      <c r="AN6" s="84">
        <v>45495.0</v>
      </c>
      <c r="AO6" s="42" t="s">
        <v>93</v>
      </c>
      <c r="AP6" s="59" t="s">
        <v>97</v>
      </c>
      <c r="AQ6" s="54" t="s">
        <v>99</v>
      </c>
      <c r="AR6" s="67">
        <v>0.9</v>
      </c>
      <c r="AS6" s="84">
        <v>45495.0</v>
      </c>
      <c r="AT6" s="42" t="s">
        <v>93</v>
      </c>
      <c r="AU6" s="59" t="s">
        <v>97</v>
      </c>
      <c r="AV6" s="40" t="s">
        <v>50</v>
      </c>
      <c r="AW6" s="62" t="s">
        <v>104</v>
      </c>
      <c r="AX6" s="84">
        <v>45495.0</v>
      </c>
      <c r="AY6" s="67">
        <v>0.15</v>
      </c>
      <c r="AZ6" s="45" t="s">
        <v>93</v>
      </c>
      <c r="BA6" s="40" t="s">
        <v>50</v>
      </c>
      <c r="BB6" s="63" t="s">
        <v>105</v>
      </c>
      <c r="BC6" s="92" t="s">
        <v>144</v>
      </c>
      <c r="BD6" s="40" t="s">
        <v>107</v>
      </c>
      <c r="BE6" s="42" t="s">
        <v>93</v>
      </c>
      <c r="BF6" s="93"/>
      <c r="BG6" s="23"/>
      <c r="BH6" s="23"/>
      <c r="BI6" s="23"/>
      <c r="BJ6" s="23"/>
      <c r="BK6" s="23"/>
      <c r="BL6" s="23"/>
    </row>
    <row r="7" ht="12.0" customHeight="1">
      <c r="A7" s="66">
        <v>46225.508904270835</v>
      </c>
      <c r="B7" s="67" t="s">
        <v>85</v>
      </c>
      <c r="C7" s="67" t="s">
        <v>86</v>
      </c>
      <c r="D7" s="67">
        <v>6.0</v>
      </c>
      <c r="E7" s="67" t="s">
        <v>125</v>
      </c>
      <c r="F7" s="67" t="s">
        <v>145</v>
      </c>
      <c r="G7" s="67" t="s">
        <v>111</v>
      </c>
      <c r="H7" s="67">
        <v>111.0</v>
      </c>
      <c r="I7" s="95" t="s">
        <v>146</v>
      </c>
      <c r="J7" s="40" t="s">
        <v>50</v>
      </c>
      <c r="K7" s="72" t="s">
        <v>98</v>
      </c>
      <c r="L7" s="42" t="s">
        <v>92</v>
      </c>
      <c r="M7" s="73">
        <v>4.3</v>
      </c>
      <c r="N7" s="45" t="s">
        <v>93</v>
      </c>
      <c r="O7" s="47" t="s">
        <v>94</v>
      </c>
      <c r="P7" s="48" t="s">
        <v>95</v>
      </c>
      <c r="Q7" s="73">
        <v>1.0</v>
      </c>
      <c r="R7" s="77">
        <v>45495.0</v>
      </c>
      <c r="S7" s="42" t="s">
        <v>93</v>
      </c>
      <c r="T7" s="50" t="s">
        <v>97</v>
      </c>
      <c r="U7" s="78"/>
      <c r="V7" s="78"/>
      <c r="W7" s="78"/>
      <c r="X7" s="78"/>
      <c r="Y7" s="81"/>
      <c r="Z7" s="54" t="s">
        <v>99</v>
      </c>
      <c r="AA7" s="48" t="s">
        <v>95</v>
      </c>
      <c r="AB7" s="67">
        <v>1.0</v>
      </c>
      <c r="AC7" s="84">
        <v>45495.0</v>
      </c>
      <c r="AD7" s="42" t="s">
        <v>93</v>
      </c>
      <c r="AE7" s="50" t="s">
        <v>97</v>
      </c>
      <c r="AF7" s="78"/>
      <c r="AG7" s="78"/>
      <c r="AH7" s="78"/>
      <c r="AI7" s="78"/>
      <c r="AJ7" s="81"/>
      <c r="AK7" s="47" t="s">
        <v>94</v>
      </c>
      <c r="AL7" s="42" t="s">
        <v>103</v>
      </c>
      <c r="AM7" s="67">
        <v>0.9</v>
      </c>
      <c r="AN7" s="84">
        <v>45495.0</v>
      </c>
      <c r="AO7" s="42" t="s">
        <v>93</v>
      </c>
      <c r="AP7" s="59" t="s">
        <v>97</v>
      </c>
      <c r="AQ7" s="54" t="s">
        <v>99</v>
      </c>
      <c r="AR7" s="67">
        <v>0.9</v>
      </c>
      <c r="AS7" s="84">
        <v>45495.0</v>
      </c>
      <c r="AT7" s="42" t="s">
        <v>93</v>
      </c>
      <c r="AU7" s="59" t="s">
        <v>97</v>
      </c>
      <c r="AV7" s="40" t="s">
        <v>50</v>
      </c>
      <c r="AW7" s="62" t="s">
        <v>104</v>
      </c>
      <c r="AX7" s="84">
        <v>45495.0</v>
      </c>
      <c r="AY7" s="67">
        <v>0.15</v>
      </c>
      <c r="AZ7" s="45" t="s">
        <v>93</v>
      </c>
      <c r="BA7" s="40" t="s">
        <v>50</v>
      </c>
      <c r="BB7" s="63" t="s">
        <v>105</v>
      </c>
      <c r="BC7" s="92" t="s">
        <v>144</v>
      </c>
      <c r="BD7" s="40" t="s">
        <v>107</v>
      </c>
      <c r="BE7" s="42" t="s">
        <v>93</v>
      </c>
      <c r="BF7" s="93"/>
      <c r="BG7" s="23"/>
      <c r="BH7" s="23"/>
      <c r="BI7" s="23"/>
      <c r="BJ7" s="23"/>
      <c r="BK7" s="23"/>
      <c r="BL7" s="23"/>
    </row>
    <row r="8" ht="12.0" customHeight="1">
      <c r="A8" s="66">
        <v>46225.52658016204</v>
      </c>
      <c r="B8" s="67" t="s">
        <v>85</v>
      </c>
      <c r="C8" s="67" t="s">
        <v>86</v>
      </c>
      <c r="D8" s="67">
        <v>7.0</v>
      </c>
      <c r="E8" s="67" t="s">
        <v>125</v>
      </c>
      <c r="F8" s="67" t="s">
        <v>149</v>
      </c>
      <c r="G8" s="67" t="s">
        <v>111</v>
      </c>
      <c r="H8" s="67">
        <v>273.0</v>
      </c>
      <c r="I8" s="95" t="s">
        <v>150</v>
      </c>
      <c r="J8" s="40" t="s">
        <v>50</v>
      </c>
      <c r="K8" s="72" t="s">
        <v>98</v>
      </c>
      <c r="L8" s="42" t="s">
        <v>92</v>
      </c>
      <c r="M8" s="73">
        <v>5.5</v>
      </c>
      <c r="N8" s="45" t="s">
        <v>93</v>
      </c>
      <c r="O8" s="47" t="s">
        <v>94</v>
      </c>
      <c r="P8" s="97" t="s">
        <v>128</v>
      </c>
      <c r="Q8" s="73">
        <v>2.0</v>
      </c>
      <c r="R8" s="118">
        <v>2024.0</v>
      </c>
      <c r="S8" s="42" t="s">
        <v>93</v>
      </c>
      <c r="T8" s="50" t="s">
        <v>97</v>
      </c>
      <c r="U8" s="78"/>
      <c r="V8" s="78"/>
      <c r="W8" s="78"/>
      <c r="X8" s="78"/>
      <c r="Y8" s="81"/>
      <c r="Z8" s="54" t="s">
        <v>99</v>
      </c>
      <c r="AA8" s="97" t="s">
        <v>128</v>
      </c>
      <c r="AB8" s="67">
        <v>2.0</v>
      </c>
      <c r="AC8" s="67">
        <v>2024.0</v>
      </c>
      <c r="AD8" s="42" t="s">
        <v>93</v>
      </c>
      <c r="AE8" s="50" t="s">
        <v>97</v>
      </c>
      <c r="AF8" s="78"/>
      <c r="AG8" s="78"/>
      <c r="AH8" s="78"/>
      <c r="AI8" s="78"/>
      <c r="AJ8" s="81"/>
      <c r="AK8" s="47" t="s">
        <v>94</v>
      </c>
      <c r="AL8" s="42" t="s">
        <v>103</v>
      </c>
      <c r="AM8" s="67">
        <v>0.9</v>
      </c>
      <c r="AN8" s="67">
        <v>2024.0</v>
      </c>
      <c r="AO8" s="42" t="s">
        <v>93</v>
      </c>
      <c r="AP8" s="59" t="s">
        <v>97</v>
      </c>
      <c r="AQ8" s="54" t="s">
        <v>99</v>
      </c>
      <c r="AR8" s="67">
        <v>0.9</v>
      </c>
      <c r="AS8" s="67">
        <v>2024.0</v>
      </c>
      <c r="AT8" s="42" t="s">
        <v>93</v>
      </c>
      <c r="AU8" s="59" t="s">
        <v>97</v>
      </c>
      <c r="AV8" s="40" t="s">
        <v>50</v>
      </c>
      <c r="AW8" s="62" t="s">
        <v>104</v>
      </c>
      <c r="AX8" s="67">
        <v>2024.0</v>
      </c>
      <c r="AY8" s="67">
        <v>0.15</v>
      </c>
      <c r="AZ8" s="45" t="s">
        <v>93</v>
      </c>
      <c r="BA8" s="40" t="s">
        <v>50</v>
      </c>
      <c r="BB8" s="63" t="s">
        <v>105</v>
      </c>
      <c r="BC8" s="92" t="s">
        <v>144</v>
      </c>
      <c r="BD8" s="40" t="s">
        <v>107</v>
      </c>
      <c r="BE8" s="42" t="s">
        <v>93</v>
      </c>
      <c r="BF8" s="78"/>
      <c r="BG8" s="23"/>
      <c r="BH8" s="23"/>
      <c r="BI8" s="23"/>
      <c r="BJ8" s="23"/>
      <c r="BK8" s="23"/>
      <c r="BL8" s="23"/>
    </row>
    <row r="9" ht="12.0" customHeight="1">
      <c r="A9" s="66">
        <v>46225.53027869213</v>
      </c>
      <c r="B9" s="67" t="s">
        <v>85</v>
      </c>
      <c r="C9" s="67" t="s">
        <v>86</v>
      </c>
      <c r="D9" s="67">
        <v>8.0</v>
      </c>
      <c r="E9" s="67" t="s">
        <v>110</v>
      </c>
      <c r="F9" s="67" t="s">
        <v>151</v>
      </c>
      <c r="G9" s="67" t="s">
        <v>111</v>
      </c>
      <c r="H9" s="67">
        <v>114.0</v>
      </c>
      <c r="I9" s="95" t="s">
        <v>153</v>
      </c>
      <c r="J9" s="40" t="s">
        <v>50</v>
      </c>
      <c r="K9" s="72" t="s">
        <v>98</v>
      </c>
      <c r="L9" s="42" t="s">
        <v>92</v>
      </c>
      <c r="M9" s="73">
        <v>4.1</v>
      </c>
      <c r="N9" s="45" t="s">
        <v>93</v>
      </c>
      <c r="O9" s="47" t="s">
        <v>94</v>
      </c>
      <c r="P9" s="48" t="s">
        <v>95</v>
      </c>
      <c r="Q9" s="119">
        <v>0.0</v>
      </c>
      <c r="R9" s="118">
        <v>2024.0</v>
      </c>
      <c r="S9" s="56" t="s">
        <v>100</v>
      </c>
      <c r="T9" s="50" t="s">
        <v>97</v>
      </c>
      <c r="U9" s="78"/>
      <c r="V9" s="78"/>
      <c r="W9" s="78"/>
      <c r="X9" s="78"/>
      <c r="Y9" s="81"/>
      <c r="Z9" s="54" t="s">
        <v>99</v>
      </c>
      <c r="AA9" s="48" t="s">
        <v>95</v>
      </c>
      <c r="AB9" s="120">
        <v>0.0</v>
      </c>
      <c r="AC9" s="67">
        <v>2014.0</v>
      </c>
      <c r="AD9" s="56" t="s">
        <v>100</v>
      </c>
      <c r="AE9" s="50" t="s">
        <v>97</v>
      </c>
      <c r="AF9" s="78"/>
      <c r="AG9" s="78"/>
      <c r="AH9" s="78"/>
      <c r="AI9" s="78"/>
      <c r="AJ9" s="81"/>
      <c r="AK9" s="47" t="s">
        <v>94</v>
      </c>
      <c r="AL9" s="42" t="s">
        <v>103</v>
      </c>
      <c r="AM9" s="67">
        <v>0.9</v>
      </c>
      <c r="AN9" s="67">
        <v>2014.0</v>
      </c>
      <c r="AO9" s="42" t="s">
        <v>93</v>
      </c>
      <c r="AP9" s="59" t="s">
        <v>97</v>
      </c>
      <c r="AQ9" s="54" t="s">
        <v>99</v>
      </c>
      <c r="AR9" s="67">
        <v>0.9</v>
      </c>
      <c r="AS9" s="67">
        <v>2024.0</v>
      </c>
      <c r="AT9" s="42" t="s">
        <v>93</v>
      </c>
      <c r="AU9" s="59" t="s">
        <v>97</v>
      </c>
      <c r="AV9" s="40" t="s">
        <v>50</v>
      </c>
      <c r="AW9" s="62" t="s">
        <v>104</v>
      </c>
      <c r="AX9" s="67">
        <v>2014.0</v>
      </c>
      <c r="AY9" s="67">
        <v>0.15</v>
      </c>
      <c r="AZ9" s="45" t="s">
        <v>93</v>
      </c>
      <c r="BA9" s="40" t="s">
        <v>50</v>
      </c>
      <c r="BB9" s="63" t="s">
        <v>105</v>
      </c>
      <c r="BC9" s="92" t="s">
        <v>144</v>
      </c>
      <c r="BD9" s="40" t="s">
        <v>107</v>
      </c>
      <c r="BE9" s="42" t="s">
        <v>93</v>
      </c>
      <c r="BF9" s="78"/>
      <c r="BG9" s="23"/>
      <c r="BH9" s="23"/>
      <c r="BI9" s="23"/>
      <c r="BJ9" s="23"/>
      <c r="BK9" s="23"/>
      <c r="BL9" s="23"/>
    </row>
    <row r="10" ht="12.0" customHeight="1">
      <c r="A10" s="66">
        <v>46225.533150856485</v>
      </c>
      <c r="B10" s="67" t="s">
        <v>85</v>
      </c>
      <c r="C10" s="67" t="s">
        <v>157</v>
      </c>
      <c r="D10" s="36">
        <v>9.0</v>
      </c>
      <c r="E10" s="67" t="s">
        <v>158</v>
      </c>
      <c r="F10" s="67" t="s">
        <v>159</v>
      </c>
      <c r="G10" s="67" t="s">
        <v>111</v>
      </c>
      <c r="H10" s="67">
        <v>115.0</v>
      </c>
      <c r="I10" s="95" t="s">
        <v>161</v>
      </c>
      <c r="J10" s="40" t="s">
        <v>50</v>
      </c>
      <c r="K10" s="72" t="s">
        <v>98</v>
      </c>
      <c r="L10" s="42" t="s">
        <v>92</v>
      </c>
      <c r="M10" s="73">
        <v>4.3</v>
      </c>
      <c r="N10" s="45" t="s">
        <v>93</v>
      </c>
      <c r="O10" s="47" t="s">
        <v>94</v>
      </c>
      <c r="P10" s="97" t="s">
        <v>128</v>
      </c>
      <c r="Q10" s="73">
        <v>0.7</v>
      </c>
      <c r="R10" s="118">
        <v>2025.0</v>
      </c>
      <c r="S10" s="42" t="s">
        <v>93</v>
      </c>
      <c r="T10" s="50" t="s">
        <v>97</v>
      </c>
      <c r="U10" s="78"/>
      <c r="V10" s="78"/>
      <c r="W10" s="78"/>
      <c r="X10" s="78"/>
      <c r="Y10" s="81"/>
      <c r="Z10" s="54" t="s">
        <v>99</v>
      </c>
      <c r="AA10" s="97" t="s">
        <v>128</v>
      </c>
      <c r="AB10" s="67">
        <v>0.9</v>
      </c>
      <c r="AC10" s="67">
        <v>2024.0</v>
      </c>
      <c r="AD10" s="78"/>
      <c r="AE10" s="50" t="s">
        <v>97</v>
      </c>
      <c r="AF10" s="78"/>
      <c r="AG10" s="78"/>
      <c r="AH10" s="78"/>
      <c r="AI10" s="78"/>
      <c r="AJ10" s="81"/>
      <c r="AK10" s="47" t="s">
        <v>94</v>
      </c>
      <c r="AL10" s="42" t="s">
        <v>103</v>
      </c>
      <c r="AM10" s="67">
        <v>0.9</v>
      </c>
      <c r="AN10" s="67">
        <v>2024.0</v>
      </c>
      <c r="AO10" s="42" t="s">
        <v>93</v>
      </c>
      <c r="AP10" s="59" t="s">
        <v>97</v>
      </c>
      <c r="AQ10" s="54" t="s">
        <v>99</v>
      </c>
      <c r="AR10" s="67">
        <v>0.9</v>
      </c>
      <c r="AS10" s="67">
        <v>2024.0</v>
      </c>
      <c r="AT10" s="42" t="s">
        <v>93</v>
      </c>
      <c r="AU10" s="59" t="s">
        <v>97</v>
      </c>
      <c r="AV10" s="40" t="s">
        <v>50</v>
      </c>
      <c r="AW10" s="62" t="s">
        <v>104</v>
      </c>
      <c r="AX10" s="67">
        <v>2014.0</v>
      </c>
      <c r="AY10" s="67">
        <v>0.15</v>
      </c>
      <c r="AZ10" s="45" t="s">
        <v>93</v>
      </c>
      <c r="BA10" s="40" t="s">
        <v>50</v>
      </c>
      <c r="BB10" s="63" t="s">
        <v>105</v>
      </c>
      <c r="BC10" s="92" t="s">
        <v>162</v>
      </c>
      <c r="BD10" s="40" t="s">
        <v>107</v>
      </c>
      <c r="BE10" s="42" t="s">
        <v>93</v>
      </c>
      <c r="BF10" s="78"/>
      <c r="BG10" s="23"/>
      <c r="BH10" s="23"/>
      <c r="BI10" s="23"/>
      <c r="BJ10" s="23"/>
      <c r="BK10" s="23"/>
      <c r="BL10" s="23"/>
    </row>
    <row r="11" ht="12.0" customHeight="1">
      <c r="A11" s="66">
        <v>46225.535786504624</v>
      </c>
      <c r="B11" s="67" t="s">
        <v>85</v>
      </c>
      <c r="C11" s="67" t="s">
        <v>86</v>
      </c>
      <c r="D11" s="67">
        <v>10.0</v>
      </c>
      <c r="E11" s="67" t="s">
        <v>87</v>
      </c>
      <c r="F11" s="67" t="s">
        <v>163</v>
      </c>
      <c r="G11" s="67" t="s">
        <v>111</v>
      </c>
      <c r="H11" s="67">
        <v>121.0</v>
      </c>
      <c r="I11" s="133" t="s">
        <v>165</v>
      </c>
      <c r="J11" s="40" t="s">
        <v>50</v>
      </c>
      <c r="K11" s="72" t="s">
        <v>98</v>
      </c>
      <c r="L11" s="42" t="s">
        <v>92</v>
      </c>
      <c r="M11" s="73">
        <v>4.2</v>
      </c>
      <c r="N11" s="45" t="s">
        <v>93</v>
      </c>
      <c r="O11" s="47" t="s">
        <v>94</v>
      </c>
      <c r="P11" s="48" t="s">
        <v>95</v>
      </c>
      <c r="Q11" s="73">
        <v>0.9</v>
      </c>
      <c r="R11" s="118">
        <v>2024.0</v>
      </c>
      <c r="S11" s="42" t="s">
        <v>93</v>
      </c>
      <c r="T11" s="50" t="s">
        <v>97</v>
      </c>
      <c r="U11" s="78"/>
      <c r="V11" s="78"/>
      <c r="W11" s="78"/>
      <c r="X11" s="78"/>
      <c r="Y11" s="81"/>
      <c r="Z11" s="54" t="s">
        <v>99</v>
      </c>
      <c r="AA11" s="48" t="s">
        <v>95</v>
      </c>
      <c r="AB11" s="67">
        <v>0.9</v>
      </c>
      <c r="AC11" s="67">
        <v>2024.0</v>
      </c>
      <c r="AD11" s="42" t="s">
        <v>93</v>
      </c>
      <c r="AE11" s="50" t="s">
        <v>97</v>
      </c>
      <c r="AF11" s="78"/>
      <c r="AG11" s="78"/>
      <c r="AH11" s="78"/>
      <c r="AI11" s="78"/>
      <c r="AJ11" s="81"/>
      <c r="AK11" s="47" t="s">
        <v>94</v>
      </c>
      <c r="AL11" s="42" t="s">
        <v>103</v>
      </c>
      <c r="AM11" s="67">
        <v>0.9</v>
      </c>
      <c r="AN11" s="67">
        <v>2024.0</v>
      </c>
      <c r="AO11" s="42" t="s">
        <v>93</v>
      </c>
      <c r="AP11" s="59" t="s">
        <v>97</v>
      </c>
      <c r="AQ11" s="54" t="s">
        <v>99</v>
      </c>
      <c r="AR11" s="67">
        <v>0.9</v>
      </c>
      <c r="AS11" s="67">
        <v>2024.0</v>
      </c>
      <c r="AT11" s="42" t="s">
        <v>93</v>
      </c>
      <c r="AU11" s="59" t="s">
        <v>97</v>
      </c>
      <c r="AV11" s="40" t="s">
        <v>50</v>
      </c>
      <c r="AW11" s="62" t="s">
        <v>104</v>
      </c>
      <c r="AX11" s="67">
        <v>2024.0</v>
      </c>
      <c r="AY11" s="67">
        <v>0.15</v>
      </c>
      <c r="AZ11" s="45" t="s">
        <v>93</v>
      </c>
      <c r="BA11" s="40" t="s">
        <v>50</v>
      </c>
      <c r="BB11" s="63" t="s">
        <v>105</v>
      </c>
      <c r="BC11" s="92" t="s">
        <v>144</v>
      </c>
      <c r="BD11" s="40" t="s">
        <v>107</v>
      </c>
      <c r="BE11" s="42" t="s">
        <v>93</v>
      </c>
      <c r="BF11" s="78"/>
      <c r="BG11" s="23"/>
      <c r="BH11" s="23"/>
      <c r="BI11" s="23"/>
      <c r="BJ11" s="23"/>
      <c r="BK11" s="23"/>
      <c r="BL11" s="23"/>
    </row>
    <row r="12" ht="12.0" customHeight="1">
      <c r="A12" s="66">
        <v>46225.545876805554</v>
      </c>
      <c r="B12" s="67" t="s">
        <v>85</v>
      </c>
      <c r="C12" s="67" t="s">
        <v>86</v>
      </c>
      <c r="D12" s="67">
        <v>11.0</v>
      </c>
      <c r="E12" s="67" t="s">
        <v>125</v>
      </c>
      <c r="F12" s="67" t="s">
        <v>168</v>
      </c>
      <c r="G12" s="67" t="s">
        <v>111</v>
      </c>
      <c r="H12" s="67">
        <v>301.0</v>
      </c>
      <c r="I12" s="133" t="s">
        <v>169</v>
      </c>
      <c r="J12" s="40" t="s">
        <v>50</v>
      </c>
      <c r="K12" s="72" t="s">
        <v>98</v>
      </c>
      <c r="L12" s="42" t="s">
        <v>92</v>
      </c>
      <c r="M12" s="73">
        <v>6.2</v>
      </c>
      <c r="N12" s="45" t="s">
        <v>93</v>
      </c>
      <c r="O12" s="47" t="s">
        <v>94</v>
      </c>
      <c r="P12" s="97" t="s">
        <v>128</v>
      </c>
      <c r="Q12" s="73">
        <v>2.7</v>
      </c>
      <c r="R12" s="118">
        <v>2024.0</v>
      </c>
      <c r="S12" s="42" t="s">
        <v>93</v>
      </c>
      <c r="T12" s="50" t="s">
        <v>97</v>
      </c>
      <c r="U12" s="78"/>
      <c r="V12" s="78"/>
      <c r="W12" s="78"/>
      <c r="X12" s="78"/>
      <c r="Y12" s="81"/>
      <c r="Z12" s="54" t="s">
        <v>99</v>
      </c>
      <c r="AA12" s="97" t="s">
        <v>128</v>
      </c>
      <c r="AB12" s="67">
        <v>0.5</v>
      </c>
      <c r="AC12" s="67">
        <v>2024.0</v>
      </c>
      <c r="AD12" s="56" t="s">
        <v>100</v>
      </c>
      <c r="AE12" s="50" t="s">
        <v>97</v>
      </c>
      <c r="AF12" s="78"/>
      <c r="AG12" s="78"/>
      <c r="AH12" s="78"/>
      <c r="AI12" s="78"/>
      <c r="AJ12" s="81"/>
      <c r="AK12" s="47" t="s">
        <v>94</v>
      </c>
      <c r="AL12" s="42" t="s">
        <v>103</v>
      </c>
      <c r="AM12" s="67">
        <v>0.9</v>
      </c>
      <c r="AN12" s="67">
        <v>2024.0</v>
      </c>
      <c r="AO12" s="42" t="s">
        <v>93</v>
      </c>
      <c r="AP12" s="59" t="s">
        <v>97</v>
      </c>
      <c r="AQ12" s="54" t="s">
        <v>99</v>
      </c>
      <c r="AR12" s="67">
        <v>0.9</v>
      </c>
      <c r="AS12" s="67">
        <v>2024.0</v>
      </c>
      <c r="AT12" s="42" t="s">
        <v>93</v>
      </c>
      <c r="AU12" s="59" t="s">
        <v>97</v>
      </c>
      <c r="AV12" s="40" t="s">
        <v>50</v>
      </c>
      <c r="AW12" s="62" t="s">
        <v>104</v>
      </c>
      <c r="AX12" s="67">
        <v>2024.0</v>
      </c>
      <c r="AY12" s="67">
        <v>0.15</v>
      </c>
      <c r="AZ12" s="45" t="s">
        <v>93</v>
      </c>
      <c r="BA12" s="40" t="s">
        <v>50</v>
      </c>
      <c r="BB12" s="63" t="s">
        <v>105</v>
      </c>
      <c r="BC12" s="92" t="s">
        <v>144</v>
      </c>
      <c r="BD12" s="40" t="s">
        <v>107</v>
      </c>
      <c r="BE12" s="42" t="s">
        <v>93</v>
      </c>
      <c r="BF12" s="78"/>
      <c r="BG12" s="23"/>
      <c r="BH12" s="23"/>
      <c r="BI12" s="23"/>
      <c r="BJ12" s="23"/>
      <c r="BK12" s="23"/>
      <c r="BL12" s="23"/>
    </row>
    <row r="13" ht="12.0" customHeight="1">
      <c r="A13" s="66">
        <v>46225.54934376157</v>
      </c>
      <c r="B13" s="67" t="s">
        <v>85</v>
      </c>
      <c r="C13" s="67" t="s">
        <v>86</v>
      </c>
      <c r="D13" s="36">
        <v>12.0</v>
      </c>
      <c r="E13" s="67" t="s">
        <v>87</v>
      </c>
      <c r="F13" s="67" t="s">
        <v>172</v>
      </c>
      <c r="G13" s="67" t="s">
        <v>111</v>
      </c>
      <c r="H13" s="67">
        <v>125.0</v>
      </c>
      <c r="I13" s="95" t="s">
        <v>173</v>
      </c>
      <c r="J13" s="40" t="s">
        <v>50</v>
      </c>
      <c r="K13" s="72" t="s">
        <v>98</v>
      </c>
      <c r="L13" s="42" t="s">
        <v>92</v>
      </c>
      <c r="M13" s="73">
        <v>4.5</v>
      </c>
      <c r="N13" s="45" t="s">
        <v>93</v>
      </c>
      <c r="O13" s="47" t="s">
        <v>94</v>
      </c>
      <c r="P13" s="48" t="s">
        <v>95</v>
      </c>
      <c r="Q13" s="73">
        <v>0.9</v>
      </c>
      <c r="R13" s="118">
        <v>2024.0</v>
      </c>
      <c r="S13" s="56" t="s">
        <v>100</v>
      </c>
      <c r="T13" s="50" t="s">
        <v>97</v>
      </c>
      <c r="U13" s="78"/>
      <c r="V13" s="78"/>
      <c r="W13" s="78"/>
      <c r="X13" s="78"/>
      <c r="Y13" s="81"/>
      <c r="Z13" s="54" t="s">
        <v>99</v>
      </c>
      <c r="AA13" s="48" t="s">
        <v>95</v>
      </c>
      <c r="AB13" s="67">
        <v>0.9</v>
      </c>
      <c r="AC13" s="67">
        <v>2024.0</v>
      </c>
      <c r="AD13" s="42" t="s">
        <v>93</v>
      </c>
      <c r="AE13" s="50" t="s">
        <v>97</v>
      </c>
      <c r="AF13" s="78"/>
      <c r="AG13" s="78"/>
      <c r="AH13" s="78"/>
      <c r="AI13" s="78"/>
      <c r="AJ13" s="81"/>
      <c r="AK13" s="47" t="s">
        <v>94</v>
      </c>
      <c r="AL13" s="42" t="s">
        <v>103</v>
      </c>
      <c r="AM13" s="67">
        <v>0.9</v>
      </c>
      <c r="AN13" s="67">
        <v>2024.0</v>
      </c>
      <c r="AO13" s="42" t="s">
        <v>93</v>
      </c>
      <c r="AP13" s="59" t="s">
        <v>97</v>
      </c>
      <c r="AQ13" s="54" t="s">
        <v>99</v>
      </c>
      <c r="AR13" s="67">
        <v>0.9</v>
      </c>
      <c r="AS13" s="67">
        <v>2024.0</v>
      </c>
      <c r="AT13" s="42" t="s">
        <v>93</v>
      </c>
      <c r="AU13" s="59" t="s">
        <v>97</v>
      </c>
      <c r="AV13" s="40" t="s">
        <v>50</v>
      </c>
      <c r="AW13" s="62" t="s">
        <v>104</v>
      </c>
      <c r="AX13" s="67">
        <v>2024.0</v>
      </c>
      <c r="AY13" s="67">
        <v>0.15</v>
      </c>
      <c r="AZ13" s="45" t="s">
        <v>93</v>
      </c>
      <c r="BA13" s="40" t="s">
        <v>50</v>
      </c>
      <c r="BB13" s="42" t="s">
        <v>93</v>
      </c>
      <c r="BC13" s="92" t="s">
        <v>174</v>
      </c>
      <c r="BD13" s="40" t="s">
        <v>107</v>
      </c>
      <c r="BE13" s="42" t="s">
        <v>93</v>
      </c>
      <c r="BF13" s="78"/>
      <c r="BG13" s="23"/>
      <c r="BH13" s="23"/>
      <c r="BI13" s="23"/>
      <c r="BJ13" s="23"/>
      <c r="BK13" s="23"/>
      <c r="BL13" s="23"/>
    </row>
    <row r="14" ht="12.0" customHeight="1">
      <c r="A14" s="66">
        <v>46225.55166582176</v>
      </c>
      <c r="B14" s="67" t="s">
        <v>85</v>
      </c>
      <c r="C14" s="67" t="s">
        <v>86</v>
      </c>
      <c r="D14" s="67">
        <v>13.0</v>
      </c>
      <c r="E14" s="67" t="s">
        <v>158</v>
      </c>
      <c r="F14" s="67" t="s">
        <v>175</v>
      </c>
      <c r="G14" s="67" t="s">
        <v>111</v>
      </c>
      <c r="H14" s="67">
        <v>130.0</v>
      </c>
      <c r="I14" s="95" t="s">
        <v>176</v>
      </c>
      <c r="J14" s="40" t="s">
        <v>50</v>
      </c>
      <c r="K14" s="72" t="s">
        <v>98</v>
      </c>
      <c r="L14" s="42" t="s">
        <v>92</v>
      </c>
      <c r="M14" s="73">
        <v>4.0</v>
      </c>
      <c r="N14" s="45" t="s">
        <v>93</v>
      </c>
      <c r="O14" s="47" t="s">
        <v>94</v>
      </c>
      <c r="P14" s="97" t="s">
        <v>128</v>
      </c>
      <c r="Q14" s="73">
        <v>1.3</v>
      </c>
      <c r="R14" s="118">
        <v>2024.0</v>
      </c>
      <c r="S14" s="42" t="s">
        <v>93</v>
      </c>
      <c r="T14" s="50" t="s">
        <v>97</v>
      </c>
      <c r="U14" s="78"/>
      <c r="V14" s="78"/>
      <c r="W14" s="78"/>
      <c r="X14" s="78"/>
      <c r="Y14" s="81"/>
      <c r="Z14" s="54" t="s">
        <v>99</v>
      </c>
      <c r="AA14" s="97" t="s">
        <v>128</v>
      </c>
      <c r="AB14" s="67">
        <v>1.3</v>
      </c>
      <c r="AC14" s="67">
        <v>2024.0</v>
      </c>
      <c r="AD14" s="42" t="s">
        <v>93</v>
      </c>
      <c r="AE14" s="50" t="s">
        <v>97</v>
      </c>
      <c r="AF14" s="78"/>
      <c r="AG14" s="78"/>
      <c r="AH14" s="78"/>
      <c r="AI14" s="78"/>
      <c r="AJ14" s="81"/>
      <c r="AK14" s="47" t="s">
        <v>94</v>
      </c>
      <c r="AL14" s="42" t="s">
        <v>103</v>
      </c>
      <c r="AM14" s="67">
        <v>1.3</v>
      </c>
      <c r="AN14" s="67">
        <v>2024.0</v>
      </c>
      <c r="AO14" s="42" t="s">
        <v>93</v>
      </c>
      <c r="AP14" s="59" t="s">
        <v>97</v>
      </c>
      <c r="AQ14" s="54" t="s">
        <v>99</v>
      </c>
      <c r="AR14" s="67">
        <v>0.9</v>
      </c>
      <c r="AS14" s="67">
        <v>2024.0</v>
      </c>
      <c r="AT14" s="42" t="s">
        <v>93</v>
      </c>
      <c r="AU14" s="59" t="s">
        <v>97</v>
      </c>
      <c r="AV14" s="40" t="s">
        <v>50</v>
      </c>
      <c r="AW14" s="62" t="s">
        <v>104</v>
      </c>
      <c r="AX14" s="67">
        <v>2024.0</v>
      </c>
      <c r="AY14" s="67">
        <v>0.15</v>
      </c>
      <c r="AZ14" s="45" t="s">
        <v>93</v>
      </c>
      <c r="BA14" s="40" t="s">
        <v>50</v>
      </c>
      <c r="BB14" s="63" t="s">
        <v>105</v>
      </c>
      <c r="BC14" s="92" t="s">
        <v>144</v>
      </c>
      <c r="BD14" s="40" t="s">
        <v>107</v>
      </c>
      <c r="BE14" s="42" t="s">
        <v>93</v>
      </c>
      <c r="BF14" s="78"/>
      <c r="BG14" s="23"/>
      <c r="BH14" s="23"/>
      <c r="BI14" s="23"/>
      <c r="BJ14" s="23"/>
      <c r="BK14" s="23"/>
      <c r="BL14" s="23"/>
    </row>
    <row r="15" ht="12.0" customHeight="1">
      <c r="A15" s="66">
        <v>46225.55448545139</v>
      </c>
      <c r="B15" s="67" t="s">
        <v>85</v>
      </c>
      <c r="C15" s="67" t="s">
        <v>157</v>
      </c>
      <c r="D15" s="67">
        <v>14.0</v>
      </c>
      <c r="E15" s="67" t="s">
        <v>125</v>
      </c>
      <c r="F15" s="67" t="s">
        <v>177</v>
      </c>
      <c r="G15" s="67" t="s">
        <v>111</v>
      </c>
      <c r="H15" s="67">
        <v>126.0</v>
      </c>
      <c r="I15" s="95" t="s">
        <v>178</v>
      </c>
      <c r="J15" s="40" t="s">
        <v>50</v>
      </c>
      <c r="K15" s="72" t="s">
        <v>98</v>
      </c>
      <c r="L15" s="42" t="s">
        <v>92</v>
      </c>
      <c r="M15" s="73">
        <v>5.0</v>
      </c>
      <c r="N15" s="45" t="s">
        <v>93</v>
      </c>
      <c r="O15" s="47" t="s">
        <v>94</v>
      </c>
      <c r="P15" s="97" t="s">
        <v>128</v>
      </c>
      <c r="Q15" s="73">
        <v>0.9</v>
      </c>
      <c r="R15" s="118">
        <v>2024.0</v>
      </c>
      <c r="S15" s="42" t="s">
        <v>93</v>
      </c>
      <c r="T15" s="50" t="s">
        <v>97</v>
      </c>
      <c r="U15" s="78"/>
      <c r="V15" s="78"/>
      <c r="W15" s="78"/>
      <c r="X15" s="78"/>
      <c r="Y15" s="81"/>
      <c r="Z15" s="54" t="s">
        <v>99</v>
      </c>
      <c r="AA15" s="97" t="s">
        <v>128</v>
      </c>
      <c r="AB15" s="67">
        <v>0.9</v>
      </c>
      <c r="AC15" s="67">
        <v>2024.0</v>
      </c>
      <c r="AD15" s="42" t="s">
        <v>93</v>
      </c>
      <c r="AE15" s="50" t="s">
        <v>97</v>
      </c>
      <c r="AF15" s="78"/>
      <c r="AG15" s="78"/>
      <c r="AH15" s="78"/>
      <c r="AI15" s="78"/>
      <c r="AJ15" s="81"/>
      <c r="AK15" s="47" t="s">
        <v>94</v>
      </c>
      <c r="AL15" s="42" t="s">
        <v>103</v>
      </c>
      <c r="AM15" s="67">
        <v>0.7</v>
      </c>
      <c r="AN15" s="67">
        <v>2024.0</v>
      </c>
      <c r="AO15" s="42" t="s">
        <v>93</v>
      </c>
      <c r="AP15" s="59" t="s">
        <v>97</v>
      </c>
      <c r="AQ15" s="54" t="s">
        <v>99</v>
      </c>
      <c r="AR15" s="67">
        <v>0.7</v>
      </c>
      <c r="AS15" s="67">
        <v>2014.0</v>
      </c>
      <c r="AT15" s="42" t="s">
        <v>93</v>
      </c>
      <c r="AU15" s="59" t="s">
        <v>97</v>
      </c>
      <c r="AV15" s="40" t="s">
        <v>50</v>
      </c>
      <c r="AW15" s="62" t="s">
        <v>104</v>
      </c>
      <c r="AX15" s="67">
        <v>2024.0</v>
      </c>
      <c r="AY15" s="67">
        <v>0.15</v>
      </c>
      <c r="AZ15" s="45" t="s">
        <v>93</v>
      </c>
      <c r="BA15" s="40" t="s">
        <v>50</v>
      </c>
      <c r="BB15" s="63" t="s">
        <v>105</v>
      </c>
      <c r="BC15" s="92" t="s">
        <v>144</v>
      </c>
      <c r="BD15" s="40" t="s">
        <v>107</v>
      </c>
      <c r="BE15" s="42" t="s">
        <v>93</v>
      </c>
      <c r="BF15" s="78"/>
      <c r="BG15" s="23"/>
      <c r="BH15" s="23"/>
      <c r="BI15" s="23"/>
      <c r="BJ15" s="23"/>
      <c r="BK15" s="23"/>
      <c r="BL15" s="23"/>
    </row>
    <row r="16" ht="12.0" customHeight="1">
      <c r="A16" s="66">
        <v>46225.55705503472</v>
      </c>
      <c r="B16" s="67" t="s">
        <v>85</v>
      </c>
      <c r="C16" s="67" t="s">
        <v>86</v>
      </c>
      <c r="D16" s="36">
        <v>15.0</v>
      </c>
      <c r="E16" s="67" t="s">
        <v>87</v>
      </c>
      <c r="F16" s="67" t="s">
        <v>179</v>
      </c>
      <c r="G16" s="67" t="s">
        <v>180</v>
      </c>
      <c r="H16" s="67">
        <v>134.0</v>
      </c>
      <c r="I16" s="95" t="s">
        <v>181</v>
      </c>
      <c r="J16" s="40" t="s">
        <v>50</v>
      </c>
      <c r="K16" s="72" t="s">
        <v>98</v>
      </c>
      <c r="L16" s="42" t="s">
        <v>92</v>
      </c>
      <c r="M16" s="73">
        <v>4.1</v>
      </c>
      <c r="N16" s="45" t="s">
        <v>93</v>
      </c>
      <c r="O16" s="47" t="s">
        <v>94</v>
      </c>
      <c r="P16" s="97" t="s">
        <v>128</v>
      </c>
      <c r="Q16" s="73">
        <v>0.8</v>
      </c>
      <c r="R16" s="118">
        <v>2024.0</v>
      </c>
      <c r="S16" s="42" t="s">
        <v>93</v>
      </c>
      <c r="T16" s="50" t="s">
        <v>97</v>
      </c>
      <c r="U16" s="78"/>
      <c r="V16" s="78"/>
      <c r="W16" s="78"/>
      <c r="X16" s="78"/>
      <c r="Y16" s="81"/>
      <c r="Z16" s="54" t="s">
        <v>99</v>
      </c>
      <c r="AA16" s="97" t="s">
        <v>128</v>
      </c>
      <c r="AB16" s="67">
        <v>0.8</v>
      </c>
      <c r="AC16" s="67">
        <v>2024.0</v>
      </c>
      <c r="AD16" s="42" t="s">
        <v>93</v>
      </c>
      <c r="AE16" s="50" t="s">
        <v>97</v>
      </c>
      <c r="AF16" s="78"/>
      <c r="AG16" s="78"/>
      <c r="AH16" s="78"/>
      <c r="AI16" s="78"/>
      <c r="AJ16" s="81"/>
      <c r="AK16" s="47" t="s">
        <v>94</v>
      </c>
      <c r="AL16" s="42" t="s">
        <v>103</v>
      </c>
      <c r="AM16" s="67">
        <v>0.7</v>
      </c>
      <c r="AN16" s="67">
        <v>2024.0</v>
      </c>
      <c r="AO16" s="42" t="s">
        <v>93</v>
      </c>
      <c r="AP16" s="59" t="s">
        <v>97</v>
      </c>
      <c r="AQ16" s="54" t="s">
        <v>99</v>
      </c>
      <c r="AR16" s="67">
        <v>0.7</v>
      </c>
      <c r="AS16" s="67">
        <v>2024.0</v>
      </c>
      <c r="AT16" s="42" t="s">
        <v>93</v>
      </c>
      <c r="AU16" s="59" t="s">
        <v>97</v>
      </c>
      <c r="AV16" s="40" t="s">
        <v>50</v>
      </c>
      <c r="AW16" s="62" t="s">
        <v>104</v>
      </c>
      <c r="AX16" s="67">
        <v>2024.0</v>
      </c>
      <c r="AY16" s="67">
        <v>0.15</v>
      </c>
      <c r="AZ16" s="45" t="s">
        <v>93</v>
      </c>
      <c r="BA16" s="40" t="s">
        <v>50</v>
      </c>
      <c r="BB16" s="42" t="s">
        <v>93</v>
      </c>
      <c r="BC16" s="92" t="s">
        <v>144</v>
      </c>
      <c r="BD16" s="40" t="s">
        <v>107</v>
      </c>
      <c r="BE16" s="42" t="s">
        <v>93</v>
      </c>
      <c r="BF16" s="78"/>
      <c r="BG16" s="23"/>
      <c r="BH16" s="23"/>
      <c r="BI16" s="23"/>
      <c r="BJ16" s="23"/>
      <c r="BK16" s="23"/>
      <c r="BL16" s="23"/>
    </row>
    <row r="17" ht="12.0" customHeight="1">
      <c r="A17" s="66">
        <v>46225.55945083333</v>
      </c>
      <c r="B17" s="67" t="s">
        <v>85</v>
      </c>
      <c r="C17" s="67" t="s">
        <v>86</v>
      </c>
      <c r="D17" s="67">
        <v>16.0</v>
      </c>
      <c r="E17" s="67" t="s">
        <v>182</v>
      </c>
      <c r="F17" s="67" t="s">
        <v>183</v>
      </c>
      <c r="G17" s="67" t="s">
        <v>111</v>
      </c>
      <c r="H17" s="67">
        <v>134.0</v>
      </c>
      <c r="I17" s="95" t="s">
        <v>184</v>
      </c>
      <c r="J17" s="40" t="s">
        <v>50</v>
      </c>
      <c r="K17" s="72" t="s">
        <v>98</v>
      </c>
      <c r="L17" s="42" t="s">
        <v>92</v>
      </c>
      <c r="M17" s="73">
        <v>4.1</v>
      </c>
      <c r="N17" s="45" t="s">
        <v>93</v>
      </c>
      <c r="O17" s="47" t="s">
        <v>94</v>
      </c>
      <c r="P17" s="97" t="s">
        <v>128</v>
      </c>
      <c r="Q17" s="73">
        <v>0.6</v>
      </c>
      <c r="R17" s="118">
        <v>2024.0</v>
      </c>
      <c r="S17" s="42" t="s">
        <v>93</v>
      </c>
      <c r="T17" s="50" t="s">
        <v>97</v>
      </c>
      <c r="U17" s="78"/>
      <c r="V17" s="78"/>
      <c r="W17" s="78"/>
      <c r="X17" s="78"/>
      <c r="Y17" s="81"/>
      <c r="Z17" s="54" t="s">
        <v>99</v>
      </c>
      <c r="AA17" s="97" t="s">
        <v>128</v>
      </c>
      <c r="AB17" s="67">
        <v>0.6</v>
      </c>
      <c r="AC17" s="67">
        <v>2024.0</v>
      </c>
      <c r="AD17" s="42" t="s">
        <v>93</v>
      </c>
      <c r="AE17" s="50" t="s">
        <v>97</v>
      </c>
      <c r="AF17" s="78"/>
      <c r="AG17" s="78"/>
      <c r="AH17" s="78"/>
      <c r="AI17" s="78"/>
      <c r="AJ17" s="81"/>
      <c r="AK17" s="47" t="s">
        <v>94</v>
      </c>
      <c r="AL17" s="42" t="s">
        <v>103</v>
      </c>
      <c r="AM17" s="67">
        <v>0.6</v>
      </c>
      <c r="AN17" s="67">
        <v>2024.0</v>
      </c>
      <c r="AO17" s="42" t="s">
        <v>93</v>
      </c>
      <c r="AP17" s="59" t="s">
        <v>97</v>
      </c>
      <c r="AQ17" s="54" t="s">
        <v>99</v>
      </c>
      <c r="AR17" s="67">
        <v>0.5</v>
      </c>
      <c r="AS17" s="67">
        <v>2024.0</v>
      </c>
      <c r="AT17" s="42" t="s">
        <v>93</v>
      </c>
      <c r="AU17" s="59" t="s">
        <v>97</v>
      </c>
      <c r="AV17" s="40" t="s">
        <v>50</v>
      </c>
      <c r="AW17" s="62" t="s">
        <v>104</v>
      </c>
      <c r="AX17" s="67">
        <v>2014.0</v>
      </c>
      <c r="AY17" s="67">
        <v>0.15</v>
      </c>
      <c r="AZ17" s="45" t="s">
        <v>93</v>
      </c>
      <c r="BA17" s="40" t="s">
        <v>50</v>
      </c>
      <c r="BB17" s="42" t="s">
        <v>93</v>
      </c>
      <c r="BC17" s="92" t="s">
        <v>185</v>
      </c>
      <c r="BD17" s="40" t="s">
        <v>107</v>
      </c>
      <c r="BE17" s="42" t="s">
        <v>93</v>
      </c>
      <c r="BF17" s="78"/>
      <c r="BG17" s="23"/>
      <c r="BH17" s="23"/>
      <c r="BI17" s="23"/>
      <c r="BJ17" s="23"/>
      <c r="BK17" s="23"/>
      <c r="BL17" s="23"/>
    </row>
    <row r="18" ht="12.0" customHeight="1">
      <c r="A18" s="66">
        <v>46225.5621316551</v>
      </c>
      <c r="B18" s="67" t="s">
        <v>85</v>
      </c>
      <c r="C18" s="67" t="s">
        <v>86</v>
      </c>
      <c r="D18" s="67">
        <v>17.0</v>
      </c>
      <c r="E18" s="67" t="s">
        <v>158</v>
      </c>
      <c r="F18" s="67" t="s">
        <v>186</v>
      </c>
      <c r="G18" s="67" t="s">
        <v>111</v>
      </c>
      <c r="H18" s="67">
        <v>138.0</v>
      </c>
      <c r="I18" s="95" t="s">
        <v>187</v>
      </c>
      <c r="J18" s="71" t="s">
        <v>63</v>
      </c>
      <c r="K18" s="72" t="s">
        <v>98</v>
      </c>
      <c r="L18" s="42" t="s">
        <v>92</v>
      </c>
      <c r="M18" s="73">
        <v>2.8</v>
      </c>
      <c r="N18" s="45" t="s">
        <v>93</v>
      </c>
      <c r="O18" s="47" t="s">
        <v>94</v>
      </c>
      <c r="P18" s="150" t="s">
        <v>136</v>
      </c>
      <c r="Q18" s="119">
        <v>0.0</v>
      </c>
      <c r="R18" s="151" t="s">
        <v>58</v>
      </c>
      <c r="S18" s="56" t="s">
        <v>100</v>
      </c>
      <c r="T18" s="50" t="s">
        <v>97</v>
      </c>
      <c r="U18" s="78"/>
      <c r="V18" s="78"/>
      <c r="W18" s="78"/>
      <c r="X18" s="78"/>
      <c r="Y18" s="81"/>
      <c r="Z18" s="54" t="s">
        <v>99</v>
      </c>
      <c r="AA18" s="152" t="s">
        <v>58</v>
      </c>
      <c r="AB18" s="153">
        <v>0.0</v>
      </c>
      <c r="AC18" s="154"/>
      <c r="AD18" s="153" t="s">
        <v>100</v>
      </c>
      <c r="AE18" s="154"/>
      <c r="AF18" s="78"/>
      <c r="AG18" s="78"/>
      <c r="AH18" s="78"/>
      <c r="AI18" s="78"/>
      <c r="AJ18" s="81"/>
      <c r="AK18" s="47" t="s">
        <v>94</v>
      </c>
      <c r="AL18" s="42" t="s">
        <v>103</v>
      </c>
      <c r="AM18" s="67">
        <v>0.9</v>
      </c>
      <c r="AN18" s="67">
        <v>2023.0</v>
      </c>
      <c r="AO18" s="42" t="s">
        <v>93</v>
      </c>
      <c r="AP18" s="59" t="s">
        <v>97</v>
      </c>
      <c r="AQ18" s="54" t="s">
        <v>99</v>
      </c>
      <c r="AR18" s="67">
        <v>0.9</v>
      </c>
      <c r="AS18" s="67">
        <v>2023.0</v>
      </c>
      <c r="AT18" s="42" t="s">
        <v>93</v>
      </c>
      <c r="AU18" s="59" t="s">
        <v>97</v>
      </c>
      <c r="AV18" s="40" t="s">
        <v>50</v>
      </c>
      <c r="AW18" s="62" t="s">
        <v>104</v>
      </c>
      <c r="AX18" s="67">
        <v>2024.0</v>
      </c>
      <c r="AY18" s="67">
        <v>0.15</v>
      </c>
      <c r="AZ18" s="45" t="s">
        <v>93</v>
      </c>
      <c r="BA18" s="40" t="s">
        <v>50</v>
      </c>
      <c r="BB18" s="63" t="s">
        <v>105</v>
      </c>
      <c r="BC18" s="59" t="s">
        <v>97</v>
      </c>
      <c r="BD18" s="40" t="s">
        <v>107</v>
      </c>
      <c r="BE18" s="42" t="s">
        <v>93</v>
      </c>
      <c r="BF18" s="78"/>
      <c r="BG18" s="23"/>
      <c r="BH18" s="23"/>
      <c r="BI18" s="23"/>
      <c r="BJ18" s="23"/>
      <c r="BK18" s="23"/>
      <c r="BL18" s="23"/>
    </row>
    <row r="19" ht="12.0" customHeight="1">
      <c r="A19" s="66">
        <v>46227.51722383102</v>
      </c>
      <c r="B19" s="67" t="s">
        <v>85</v>
      </c>
      <c r="C19" s="67" t="s">
        <v>188</v>
      </c>
      <c r="D19" s="67">
        <v>18.0</v>
      </c>
      <c r="E19" s="67" t="s">
        <v>189</v>
      </c>
      <c r="F19" s="67" t="s">
        <v>190</v>
      </c>
      <c r="G19" s="67" t="s">
        <v>191</v>
      </c>
      <c r="H19" s="67">
        <v>136.0</v>
      </c>
      <c r="I19" s="95" t="s">
        <v>192</v>
      </c>
      <c r="J19" s="40" t="s">
        <v>50</v>
      </c>
      <c r="K19" s="72" t="s">
        <v>98</v>
      </c>
      <c r="L19" s="42" t="s">
        <v>92</v>
      </c>
      <c r="M19" s="73">
        <v>1.2</v>
      </c>
      <c r="N19" s="45" t="s">
        <v>93</v>
      </c>
      <c r="O19" s="47" t="s">
        <v>94</v>
      </c>
      <c r="P19" s="150" t="s">
        <v>136</v>
      </c>
      <c r="Q19" s="119">
        <v>0.0</v>
      </c>
      <c r="R19" s="118">
        <v>2020.0</v>
      </c>
      <c r="S19" s="42" t="s">
        <v>93</v>
      </c>
      <c r="T19" s="50" t="s">
        <v>97</v>
      </c>
      <c r="U19" s="78"/>
      <c r="V19" s="78"/>
      <c r="W19" s="78"/>
      <c r="X19" s="78"/>
      <c r="Y19" s="81"/>
      <c r="Z19" s="54" t="s">
        <v>99</v>
      </c>
      <c r="AA19" s="150" t="s">
        <v>136</v>
      </c>
      <c r="AB19" s="120">
        <v>0.0</v>
      </c>
      <c r="AC19" s="151" t="s">
        <v>58</v>
      </c>
      <c r="AD19" s="150" t="s">
        <v>136</v>
      </c>
      <c r="AE19" s="67" t="s">
        <v>193</v>
      </c>
      <c r="AF19" s="78"/>
      <c r="AG19" s="78"/>
      <c r="AH19" s="78"/>
      <c r="AI19" s="78"/>
      <c r="AJ19" s="81"/>
      <c r="AK19" s="47" t="s">
        <v>94</v>
      </c>
      <c r="AL19" s="42" t="s">
        <v>103</v>
      </c>
      <c r="AM19" s="67">
        <v>0.6</v>
      </c>
      <c r="AN19" s="67">
        <v>2020.0</v>
      </c>
      <c r="AO19" s="42" t="s">
        <v>93</v>
      </c>
      <c r="AP19" s="59" t="s">
        <v>97</v>
      </c>
      <c r="AQ19" s="54" t="s">
        <v>99</v>
      </c>
      <c r="AR19" s="67">
        <v>0.6</v>
      </c>
      <c r="AS19" s="67">
        <v>2020.0</v>
      </c>
      <c r="AT19" s="42" t="s">
        <v>93</v>
      </c>
      <c r="AU19" s="59" t="s">
        <v>97</v>
      </c>
      <c r="AV19" s="71" t="s">
        <v>63</v>
      </c>
      <c r="AW19" s="150" t="s">
        <v>136</v>
      </c>
      <c r="AX19" s="151" t="s">
        <v>58</v>
      </c>
      <c r="AY19" s="50">
        <v>0.0</v>
      </c>
      <c r="AZ19" s="155" t="s">
        <v>136</v>
      </c>
      <c r="BA19" s="40" t="s">
        <v>50</v>
      </c>
      <c r="BB19" s="63" t="s">
        <v>105</v>
      </c>
      <c r="BC19" s="92" t="s">
        <v>144</v>
      </c>
      <c r="BD19" s="40" t="s">
        <v>107</v>
      </c>
      <c r="BE19" s="42" t="s">
        <v>93</v>
      </c>
      <c r="BF19" s="78"/>
      <c r="BG19" s="23"/>
      <c r="BH19" s="23"/>
      <c r="BI19" s="23"/>
      <c r="BJ19" s="23"/>
      <c r="BK19" s="23"/>
      <c r="BL19" s="23"/>
    </row>
    <row r="20" ht="12.0" customHeight="1">
      <c r="A20" s="66">
        <v>46227.520755844904</v>
      </c>
      <c r="B20" s="67" t="s">
        <v>85</v>
      </c>
      <c r="C20" s="67" t="s">
        <v>188</v>
      </c>
      <c r="D20" s="36">
        <v>19.0</v>
      </c>
      <c r="E20" s="67" t="s">
        <v>125</v>
      </c>
      <c r="F20" s="67" t="s">
        <v>134</v>
      </c>
      <c r="G20" s="67" t="s">
        <v>191</v>
      </c>
      <c r="H20" s="67">
        <v>130.0</v>
      </c>
      <c r="I20" s="95" t="s">
        <v>194</v>
      </c>
      <c r="J20" s="40" t="s">
        <v>50</v>
      </c>
      <c r="K20" s="72" t="s">
        <v>98</v>
      </c>
      <c r="L20" s="42" t="s">
        <v>92</v>
      </c>
      <c r="M20" s="73">
        <v>3.0</v>
      </c>
      <c r="N20" s="45" t="s">
        <v>93</v>
      </c>
      <c r="O20" s="47" t="s">
        <v>94</v>
      </c>
      <c r="P20" s="150" t="s">
        <v>136</v>
      </c>
      <c r="Q20" s="119">
        <v>0.0</v>
      </c>
      <c r="R20" s="118">
        <v>2020.0</v>
      </c>
      <c r="S20" s="42" t="s">
        <v>93</v>
      </c>
      <c r="T20" s="67" t="s">
        <v>193</v>
      </c>
      <c r="U20" s="78"/>
      <c r="V20" s="78"/>
      <c r="W20" s="78"/>
      <c r="X20" s="78"/>
      <c r="Y20" s="81"/>
      <c r="Z20" s="54" t="s">
        <v>99</v>
      </c>
      <c r="AA20" s="150" t="s">
        <v>136</v>
      </c>
      <c r="AB20" s="120">
        <v>0.0</v>
      </c>
      <c r="AC20" s="151" t="s">
        <v>58</v>
      </c>
      <c r="AD20" s="150" t="s">
        <v>136</v>
      </c>
      <c r="AE20" s="50" t="s">
        <v>97</v>
      </c>
      <c r="AF20" s="78"/>
      <c r="AG20" s="78"/>
      <c r="AH20" s="78"/>
      <c r="AI20" s="78"/>
      <c r="AJ20" s="81"/>
      <c r="AK20" s="47" t="s">
        <v>94</v>
      </c>
      <c r="AL20" s="42" t="s">
        <v>103</v>
      </c>
      <c r="AM20" s="67">
        <v>0.6</v>
      </c>
      <c r="AN20" s="67">
        <v>2020.0</v>
      </c>
      <c r="AO20" s="42" t="s">
        <v>93</v>
      </c>
      <c r="AP20" s="59" t="s">
        <v>97</v>
      </c>
      <c r="AQ20" s="54" t="s">
        <v>99</v>
      </c>
      <c r="AR20" s="50">
        <v>0.0</v>
      </c>
      <c r="AS20" s="67">
        <v>2020.0</v>
      </c>
      <c r="AT20" s="42" t="s">
        <v>93</v>
      </c>
      <c r="AU20" s="59" t="s">
        <v>97</v>
      </c>
      <c r="AV20" s="71" t="s">
        <v>63</v>
      </c>
      <c r="AW20" s="150" t="s">
        <v>136</v>
      </c>
      <c r="AX20" s="151" t="s">
        <v>58</v>
      </c>
      <c r="AY20" s="50">
        <v>0.0</v>
      </c>
      <c r="AZ20" s="155" t="s">
        <v>136</v>
      </c>
      <c r="BA20" s="40" t="s">
        <v>50</v>
      </c>
      <c r="BB20" s="63" t="s">
        <v>105</v>
      </c>
      <c r="BC20" s="59" t="s">
        <v>97</v>
      </c>
      <c r="BD20" s="40" t="s">
        <v>107</v>
      </c>
      <c r="BE20" s="42" t="s">
        <v>93</v>
      </c>
      <c r="BF20" s="78"/>
      <c r="BG20" s="23"/>
      <c r="BH20" s="23"/>
      <c r="BI20" s="23"/>
      <c r="BJ20" s="23"/>
      <c r="BK20" s="23"/>
      <c r="BL20" s="23"/>
    </row>
    <row r="21" ht="12.0" customHeight="1">
      <c r="A21" s="66">
        <v>46227.528021446764</v>
      </c>
      <c r="B21" s="67" t="s">
        <v>85</v>
      </c>
      <c r="C21" s="67" t="s">
        <v>188</v>
      </c>
      <c r="D21" s="67">
        <v>20.0</v>
      </c>
      <c r="E21" s="67" t="s">
        <v>125</v>
      </c>
      <c r="F21" s="67" t="s">
        <v>139</v>
      </c>
      <c r="G21" s="67" t="s">
        <v>191</v>
      </c>
      <c r="H21" s="67">
        <v>119.0</v>
      </c>
      <c r="I21" s="95" t="s">
        <v>195</v>
      </c>
      <c r="J21" s="40" t="s">
        <v>50</v>
      </c>
      <c r="K21" s="72" t="s">
        <v>98</v>
      </c>
      <c r="L21" s="42" t="s">
        <v>92</v>
      </c>
      <c r="M21" s="73">
        <v>2.5</v>
      </c>
      <c r="N21" s="45" t="s">
        <v>93</v>
      </c>
      <c r="O21" s="47" t="s">
        <v>94</v>
      </c>
      <c r="P21" s="150" t="s">
        <v>136</v>
      </c>
      <c r="Q21" s="119">
        <v>0.0</v>
      </c>
      <c r="R21" s="156" t="s">
        <v>136</v>
      </c>
      <c r="S21" s="150" t="s">
        <v>136</v>
      </c>
      <c r="T21" s="50" t="s">
        <v>97</v>
      </c>
      <c r="U21" s="78"/>
      <c r="V21" s="78"/>
      <c r="W21" s="78"/>
      <c r="X21" s="78"/>
      <c r="Y21" s="81"/>
      <c r="Z21" s="54" t="s">
        <v>99</v>
      </c>
      <c r="AA21" s="150" t="s">
        <v>136</v>
      </c>
      <c r="AB21" s="120">
        <v>0.0</v>
      </c>
      <c r="AC21" s="151" t="s">
        <v>58</v>
      </c>
      <c r="AD21" s="150" t="s">
        <v>136</v>
      </c>
      <c r="AE21" s="50" t="s">
        <v>97</v>
      </c>
      <c r="AF21" s="78"/>
      <c r="AG21" s="78"/>
      <c r="AH21" s="78"/>
      <c r="AI21" s="78"/>
      <c r="AJ21" s="81"/>
      <c r="AK21" s="47" t="s">
        <v>94</v>
      </c>
      <c r="AL21" s="42" t="s">
        <v>103</v>
      </c>
      <c r="AM21" s="67">
        <v>0.6</v>
      </c>
      <c r="AN21" s="67">
        <v>2020.0</v>
      </c>
      <c r="AO21" s="48" t="s">
        <v>96</v>
      </c>
      <c r="AP21" s="59" t="s">
        <v>97</v>
      </c>
      <c r="AQ21" s="54" t="s">
        <v>99</v>
      </c>
      <c r="AR21" s="67">
        <v>0.6</v>
      </c>
      <c r="AS21" s="67">
        <v>2020.0</v>
      </c>
      <c r="AT21" s="63" t="s">
        <v>105</v>
      </c>
      <c r="AU21" s="59" t="s">
        <v>97</v>
      </c>
      <c r="AV21" s="71" t="s">
        <v>63</v>
      </c>
      <c r="AW21" s="150" t="s">
        <v>136</v>
      </c>
      <c r="AX21" s="151" t="s">
        <v>58</v>
      </c>
      <c r="AY21" s="50">
        <v>0.0</v>
      </c>
      <c r="AZ21" s="155" t="s">
        <v>136</v>
      </c>
      <c r="BA21" s="40" t="s">
        <v>50</v>
      </c>
      <c r="BB21" s="63" t="s">
        <v>105</v>
      </c>
      <c r="BC21" s="92" t="s">
        <v>144</v>
      </c>
      <c r="BD21" s="40" t="s">
        <v>107</v>
      </c>
      <c r="BE21" s="42" t="s">
        <v>93</v>
      </c>
      <c r="BF21" s="78"/>
      <c r="BG21" s="23"/>
      <c r="BH21" s="23"/>
      <c r="BI21" s="23"/>
      <c r="BJ21" s="23"/>
      <c r="BK21" s="23"/>
      <c r="BL21" s="23"/>
    </row>
    <row r="22" ht="12.0" customHeight="1">
      <c r="A22" s="66">
        <v>46227.53156886574</v>
      </c>
      <c r="B22" s="67" t="s">
        <v>85</v>
      </c>
      <c r="C22" s="67" t="s">
        <v>188</v>
      </c>
      <c r="D22" s="67">
        <v>21.0</v>
      </c>
      <c r="E22" s="67" t="s">
        <v>125</v>
      </c>
      <c r="F22" s="67" t="s">
        <v>145</v>
      </c>
      <c r="G22" s="67" t="s">
        <v>196</v>
      </c>
      <c r="H22" s="67">
        <v>100.0</v>
      </c>
      <c r="I22" s="95" t="s">
        <v>197</v>
      </c>
      <c r="J22" s="40" t="s">
        <v>50</v>
      </c>
      <c r="K22" s="72" t="s">
        <v>98</v>
      </c>
      <c r="L22" s="42" t="s">
        <v>92</v>
      </c>
      <c r="M22" s="73">
        <v>2.5</v>
      </c>
      <c r="N22" s="45" t="s">
        <v>93</v>
      </c>
      <c r="O22" s="47" t="s">
        <v>94</v>
      </c>
      <c r="P22" s="150" t="s">
        <v>136</v>
      </c>
      <c r="Q22" s="119">
        <v>0.0</v>
      </c>
      <c r="R22" s="151" t="s">
        <v>58</v>
      </c>
      <c r="S22" s="150" t="s">
        <v>136</v>
      </c>
      <c r="T22" s="50" t="s">
        <v>97</v>
      </c>
      <c r="U22" s="78"/>
      <c r="V22" s="78"/>
      <c r="W22" s="78"/>
      <c r="X22" s="78"/>
      <c r="Y22" s="81"/>
      <c r="Z22" s="54" t="s">
        <v>99</v>
      </c>
      <c r="AA22" s="150" t="s">
        <v>136</v>
      </c>
      <c r="AB22" s="120">
        <v>0.0</v>
      </c>
      <c r="AC22" s="151" t="s">
        <v>58</v>
      </c>
      <c r="AD22" s="150" t="s">
        <v>136</v>
      </c>
      <c r="AE22" s="50" t="s">
        <v>97</v>
      </c>
      <c r="AF22" s="78"/>
      <c r="AG22" s="78"/>
      <c r="AH22" s="78"/>
      <c r="AI22" s="78"/>
      <c r="AJ22" s="81"/>
      <c r="AK22" s="47" t="s">
        <v>94</v>
      </c>
      <c r="AL22" s="42" t="s">
        <v>103</v>
      </c>
      <c r="AM22" s="67">
        <v>0.6</v>
      </c>
      <c r="AN22" s="67">
        <v>2020.0</v>
      </c>
      <c r="AO22" s="42" t="s">
        <v>93</v>
      </c>
      <c r="AP22" s="59" t="s">
        <v>97</v>
      </c>
      <c r="AQ22" s="54" t="s">
        <v>99</v>
      </c>
      <c r="AR22" s="67">
        <v>0.6</v>
      </c>
      <c r="AS22" s="67">
        <v>2020.0</v>
      </c>
      <c r="AT22" s="42" t="s">
        <v>93</v>
      </c>
      <c r="AU22" s="59" t="s">
        <v>97</v>
      </c>
      <c r="AV22" s="71" t="s">
        <v>63</v>
      </c>
      <c r="AW22" s="150" t="s">
        <v>136</v>
      </c>
      <c r="AX22" s="151" t="s">
        <v>58</v>
      </c>
      <c r="AY22" s="50">
        <v>0.0</v>
      </c>
      <c r="AZ22" s="155" t="s">
        <v>136</v>
      </c>
      <c r="BA22" s="40" t="s">
        <v>50</v>
      </c>
      <c r="BB22" s="63" t="s">
        <v>105</v>
      </c>
      <c r="BC22" s="92" t="s">
        <v>144</v>
      </c>
      <c r="BD22" s="40" t="s">
        <v>107</v>
      </c>
      <c r="BE22" s="42" t="s">
        <v>93</v>
      </c>
      <c r="BF22" s="78"/>
      <c r="BG22" s="23"/>
      <c r="BH22" s="23"/>
      <c r="BI22" s="23"/>
      <c r="BJ22" s="23"/>
      <c r="BK22" s="23"/>
      <c r="BL22" s="23"/>
    </row>
    <row r="23" ht="12.0" customHeight="1">
      <c r="A23" s="66">
        <v>46227.53436159722</v>
      </c>
      <c r="B23" s="67" t="s">
        <v>85</v>
      </c>
      <c r="C23" s="67" t="s">
        <v>198</v>
      </c>
      <c r="D23" s="36">
        <v>22.0</v>
      </c>
      <c r="E23" s="67" t="s">
        <v>87</v>
      </c>
      <c r="F23" s="67" t="s">
        <v>149</v>
      </c>
      <c r="G23" s="67" t="s">
        <v>191</v>
      </c>
      <c r="H23" s="67">
        <v>93.0</v>
      </c>
      <c r="I23" s="95" t="s">
        <v>199</v>
      </c>
      <c r="J23" s="40" t="s">
        <v>50</v>
      </c>
      <c r="K23" s="72" t="s">
        <v>98</v>
      </c>
      <c r="L23" s="42" t="s">
        <v>92</v>
      </c>
      <c r="M23" s="73">
        <v>2.5</v>
      </c>
      <c r="N23" s="45" t="s">
        <v>93</v>
      </c>
      <c r="O23" s="47" t="s">
        <v>94</v>
      </c>
      <c r="P23" s="150" t="s">
        <v>136</v>
      </c>
      <c r="Q23" s="119">
        <v>0.0</v>
      </c>
      <c r="R23" s="151" t="s">
        <v>58</v>
      </c>
      <c r="S23" s="150" t="s">
        <v>136</v>
      </c>
      <c r="T23" s="50" t="s">
        <v>97</v>
      </c>
      <c r="U23" s="78"/>
      <c r="V23" s="78"/>
      <c r="W23" s="78"/>
      <c r="X23" s="78"/>
      <c r="Y23" s="81"/>
      <c r="Z23" s="54" t="s">
        <v>99</v>
      </c>
      <c r="AA23" s="150" t="s">
        <v>136</v>
      </c>
      <c r="AB23" s="120">
        <v>0.0</v>
      </c>
      <c r="AC23" s="151" t="s">
        <v>58</v>
      </c>
      <c r="AD23" s="150" t="s">
        <v>136</v>
      </c>
      <c r="AE23" s="50" t="s">
        <v>97</v>
      </c>
      <c r="AF23" s="78"/>
      <c r="AG23" s="78"/>
      <c r="AH23" s="78"/>
      <c r="AI23" s="78"/>
      <c r="AJ23" s="81"/>
      <c r="AK23" s="47" t="s">
        <v>94</v>
      </c>
      <c r="AL23" s="42" t="s">
        <v>103</v>
      </c>
      <c r="AM23" s="67">
        <v>0.6</v>
      </c>
      <c r="AN23" s="67">
        <v>2020.0</v>
      </c>
      <c r="AO23" s="63" t="s">
        <v>105</v>
      </c>
      <c r="AP23" s="59" t="s">
        <v>97</v>
      </c>
      <c r="AQ23" s="54" t="s">
        <v>99</v>
      </c>
      <c r="AR23" s="67">
        <v>0.6</v>
      </c>
      <c r="AS23" s="67">
        <v>2020.0</v>
      </c>
      <c r="AT23" s="63" t="s">
        <v>105</v>
      </c>
      <c r="AU23" s="59" t="s">
        <v>97</v>
      </c>
      <c r="AV23" s="71" t="s">
        <v>63</v>
      </c>
      <c r="AW23" s="150" t="s">
        <v>136</v>
      </c>
      <c r="AX23" s="151" t="s">
        <v>58</v>
      </c>
      <c r="AY23" s="50">
        <v>0.0</v>
      </c>
      <c r="AZ23" s="155" t="s">
        <v>136</v>
      </c>
      <c r="BA23" s="40" t="s">
        <v>50</v>
      </c>
      <c r="BB23" s="63" t="s">
        <v>105</v>
      </c>
      <c r="BC23" s="92" t="s">
        <v>144</v>
      </c>
      <c r="BD23" s="40" t="s">
        <v>107</v>
      </c>
      <c r="BE23" s="42" t="s">
        <v>93</v>
      </c>
      <c r="BF23" s="78"/>
      <c r="BG23" s="23"/>
      <c r="BH23" s="23"/>
      <c r="BI23" s="23"/>
      <c r="BJ23" s="23"/>
      <c r="BK23" s="23"/>
      <c r="BL23" s="23"/>
    </row>
    <row r="24" ht="12.0" customHeight="1">
      <c r="A24" s="66">
        <v>46227.536450405096</v>
      </c>
      <c r="B24" s="67" t="s">
        <v>85</v>
      </c>
      <c r="C24" s="67" t="s">
        <v>200</v>
      </c>
      <c r="D24" s="67">
        <v>23.0</v>
      </c>
      <c r="E24" s="67" t="s">
        <v>87</v>
      </c>
      <c r="F24" s="67" t="s">
        <v>151</v>
      </c>
      <c r="G24" s="67" t="s">
        <v>201</v>
      </c>
      <c r="H24" s="67">
        <v>60.0</v>
      </c>
      <c r="I24" s="95" t="s">
        <v>202</v>
      </c>
      <c r="J24" s="40" t="s">
        <v>50</v>
      </c>
      <c r="K24" s="72" t="s">
        <v>98</v>
      </c>
      <c r="L24" s="42" t="s">
        <v>92</v>
      </c>
      <c r="M24" s="73">
        <v>3.2</v>
      </c>
      <c r="N24" s="45" t="s">
        <v>93</v>
      </c>
      <c r="O24" s="47" t="s">
        <v>94</v>
      </c>
      <c r="P24" s="150" t="s">
        <v>136</v>
      </c>
      <c r="Q24" s="119">
        <v>0.0</v>
      </c>
      <c r="R24" s="151" t="s">
        <v>58</v>
      </c>
      <c r="S24" s="150" t="s">
        <v>136</v>
      </c>
      <c r="T24" s="50" t="s">
        <v>97</v>
      </c>
      <c r="U24" s="78"/>
      <c r="V24" s="78"/>
      <c r="W24" s="78"/>
      <c r="X24" s="78"/>
      <c r="Y24" s="81"/>
      <c r="Z24" s="54" t="s">
        <v>99</v>
      </c>
      <c r="AA24" s="150" t="s">
        <v>136</v>
      </c>
      <c r="AB24" s="120">
        <v>0.0</v>
      </c>
      <c r="AC24" s="151" t="s">
        <v>58</v>
      </c>
      <c r="AD24" s="150" t="s">
        <v>136</v>
      </c>
      <c r="AE24" s="50" t="s">
        <v>97</v>
      </c>
      <c r="AF24" s="78"/>
      <c r="AG24" s="78"/>
      <c r="AH24" s="78"/>
      <c r="AI24" s="78"/>
      <c r="AJ24" s="81"/>
      <c r="AK24" s="47" t="s">
        <v>94</v>
      </c>
      <c r="AL24" s="42" t="s">
        <v>103</v>
      </c>
      <c r="AM24" s="67">
        <v>0.6</v>
      </c>
      <c r="AN24" s="67">
        <v>2020.0</v>
      </c>
      <c r="AO24" s="63" t="s">
        <v>105</v>
      </c>
      <c r="AP24" s="59" t="s">
        <v>97</v>
      </c>
      <c r="AQ24" s="54" t="s">
        <v>99</v>
      </c>
      <c r="AR24" s="67">
        <v>0.6</v>
      </c>
      <c r="AS24" s="67">
        <v>2020.0</v>
      </c>
      <c r="AT24" s="63" t="s">
        <v>105</v>
      </c>
      <c r="AU24" s="59" t="s">
        <v>97</v>
      </c>
      <c r="AV24" s="71" t="s">
        <v>63</v>
      </c>
      <c r="AW24" s="150" t="s">
        <v>136</v>
      </c>
      <c r="AX24" s="151" t="s">
        <v>58</v>
      </c>
      <c r="AY24" s="50">
        <v>0.0</v>
      </c>
      <c r="AZ24" s="155" t="s">
        <v>136</v>
      </c>
      <c r="BA24" s="40" t="s">
        <v>50</v>
      </c>
      <c r="BB24" s="63" t="s">
        <v>105</v>
      </c>
      <c r="BC24" s="59" t="s">
        <v>97</v>
      </c>
      <c r="BD24" s="40" t="s">
        <v>107</v>
      </c>
      <c r="BE24" s="42" t="s">
        <v>93</v>
      </c>
      <c r="BF24" s="78"/>
      <c r="BG24" s="23"/>
      <c r="BH24" s="23"/>
      <c r="BI24" s="23"/>
      <c r="BJ24" s="23"/>
      <c r="BK24" s="23"/>
      <c r="BL24" s="23"/>
    </row>
    <row r="25" ht="12.0" customHeight="1">
      <c r="A25" s="66">
        <v>46227.53860571759</v>
      </c>
      <c r="B25" s="67" t="s">
        <v>85</v>
      </c>
      <c r="C25" s="67" t="s">
        <v>200</v>
      </c>
      <c r="D25" s="67">
        <v>24.0</v>
      </c>
      <c r="E25" s="67" t="s">
        <v>125</v>
      </c>
      <c r="F25" s="67" t="s">
        <v>203</v>
      </c>
      <c r="G25" s="67" t="s">
        <v>196</v>
      </c>
      <c r="H25" s="67">
        <v>78.0</v>
      </c>
      <c r="I25" s="95" t="s">
        <v>204</v>
      </c>
      <c r="J25" s="40" t="s">
        <v>50</v>
      </c>
      <c r="K25" s="72" t="s">
        <v>98</v>
      </c>
      <c r="L25" s="42" t="s">
        <v>92</v>
      </c>
      <c r="M25" s="73">
        <v>2.5</v>
      </c>
      <c r="N25" s="45" t="s">
        <v>93</v>
      </c>
      <c r="O25" s="47" t="s">
        <v>94</v>
      </c>
      <c r="P25" s="150" t="s">
        <v>136</v>
      </c>
      <c r="Q25" s="119">
        <v>0.0</v>
      </c>
      <c r="R25" s="151" t="s">
        <v>58</v>
      </c>
      <c r="S25" s="150" t="s">
        <v>136</v>
      </c>
      <c r="T25" s="50" t="s">
        <v>97</v>
      </c>
      <c r="U25" s="78"/>
      <c r="V25" s="78"/>
      <c r="W25" s="78"/>
      <c r="X25" s="78"/>
      <c r="Y25" s="81"/>
      <c r="Z25" s="54" t="s">
        <v>99</v>
      </c>
      <c r="AA25" s="150" t="s">
        <v>136</v>
      </c>
      <c r="AB25" s="120">
        <v>0.0</v>
      </c>
      <c r="AC25" s="151" t="s">
        <v>58</v>
      </c>
      <c r="AD25" s="150" t="s">
        <v>136</v>
      </c>
      <c r="AE25" s="50" t="s">
        <v>97</v>
      </c>
      <c r="AF25" s="78"/>
      <c r="AG25" s="78"/>
      <c r="AH25" s="78"/>
      <c r="AI25" s="78"/>
      <c r="AJ25" s="81"/>
      <c r="AK25" s="47" t="s">
        <v>94</v>
      </c>
      <c r="AL25" s="42" t="s">
        <v>103</v>
      </c>
      <c r="AM25" s="67">
        <v>0.6</v>
      </c>
      <c r="AN25" s="67">
        <v>2020.0</v>
      </c>
      <c r="AO25" s="63" t="s">
        <v>105</v>
      </c>
      <c r="AP25" s="59" t="s">
        <v>97</v>
      </c>
      <c r="AQ25" s="54" t="s">
        <v>99</v>
      </c>
      <c r="AR25" s="67">
        <v>0.6</v>
      </c>
      <c r="AS25" s="67">
        <v>2020.0</v>
      </c>
      <c r="AT25" s="63" t="s">
        <v>105</v>
      </c>
      <c r="AU25" s="59" t="s">
        <v>97</v>
      </c>
      <c r="AV25" s="71" t="s">
        <v>63</v>
      </c>
      <c r="AW25" s="150" t="s">
        <v>136</v>
      </c>
      <c r="AX25" s="151" t="s">
        <v>58</v>
      </c>
      <c r="AY25" s="50">
        <v>0.0</v>
      </c>
      <c r="AZ25" s="155" t="s">
        <v>136</v>
      </c>
      <c r="BA25" s="40" t="s">
        <v>50</v>
      </c>
      <c r="BB25" s="63" t="s">
        <v>105</v>
      </c>
      <c r="BC25" s="59" t="s">
        <v>97</v>
      </c>
      <c r="BD25" s="40" t="s">
        <v>107</v>
      </c>
      <c r="BE25" s="42" t="s">
        <v>93</v>
      </c>
      <c r="BF25" s="78"/>
      <c r="BG25" s="23"/>
      <c r="BH25" s="23"/>
      <c r="BI25" s="23"/>
      <c r="BJ25" s="23"/>
      <c r="BK25" s="23"/>
      <c r="BL25" s="23"/>
    </row>
    <row r="26" ht="12.0" customHeight="1">
      <c r="A26" s="66">
        <v>46227.54138267361</v>
      </c>
      <c r="B26" s="67" t="s">
        <v>85</v>
      </c>
      <c r="C26" s="67" t="s">
        <v>200</v>
      </c>
      <c r="D26" s="36">
        <v>25.0</v>
      </c>
      <c r="E26" s="67" t="s">
        <v>125</v>
      </c>
      <c r="F26" s="67" t="s">
        <v>205</v>
      </c>
      <c r="G26" s="67" t="s">
        <v>196</v>
      </c>
      <c r="H26" s="67">
        <v>60.0</v>
      </c>
      <c r="I26" s="95" t="s">
        <v>206</v>
      </c>
      <c r="J26" s="40" t="s">
        <v>50</v>
      </c>
      <c r="K26" s="72" t="s">
        <v>98</v>
      </c>
      <c r="L26" s="42" t="s">
        <v>92</v>
      </c>
      <c r="M26" s="73">
        <v>2.7</v>
      </c>
      <c r="N26" s="45" t="s">
        <v>93</v>
      </c>
      <c r="O26" s="47" t="s">
        <v>94</v>
      </c>
      <c r="P26" s="150" t="s">
        <v>136</v>
      </c>
      <c r="Q26" s="119">
        <v>0.0</v>
      </c>
      <c r="R26" s="151" t="s">
        <v>58</v>
      </c>
      <c r="S26" s="150" t="s">
        <v>136</v>
      </c>
      <c r="T26" s="50" t="s">
        <v>97</v>
      </c>
      <c r="U26" s="78"/>
      <c r="V26" s="78"/>
      <c r="W26" s="78"/>
      <c r="X26" s="78"/>
      <c r="Y26" s="81"/>
      <c r="Z26" s="54" t="s">
        <v>99</v>
      </c>
      <c r="AA26" s="150" t="s">
        <v>136</v>
      </c>
      <c r="AB26" s="120">
        <v>0.0</v>
      </c>
      <c r="AC26" s="151" t="s">
        <v>58</v>
      </c>
      <c r="AD26" s="150" t="s">
        <v>136</v>
      </c>
      <c r="AE26" s="50" t="s">
        <v>97</v>
      </c>
      <c r="AF26" s="78"/>
      <c r="AG26" s="78"/>
      <c r="AH26" s="78"/>
      <c r="AI26" s="78"/>
      <c r="AJ26" s="81"/>
      <c r="AK26" s="47" t="s">
        <v>94</v>
      </c>
      <c r="AL26" s="42" t="s">
        <v>103</v>
      </c>
      <c r="AM26" s="67">
        <v>0.6</v>
      </c>
      <c r="AN26" s="67">
        <v>2020.0</v>
      </c>
      <c r="AO26" s="42" t="s">
        <v>93</v>
      </c>
      <c r="AP26" s="59" t="s">
        <v>97</v>
      </c>
      <c r="AQ26" s="54" t="s">
        <v>99</v>
      </c>
      <c r="AR26" s="67">
        <v>0.6</v>
      </c>
      <c r="AS26" s="67">
        <v>2020.0</v>
      </c>
      <c r="AT26" s="42" t="s">
        <v>93</v>
      </c>
      <c r="AU26" s="59" t="s">
        <v>97</v>
      </c>
      <c r="AV26" s="71" t="s">
        <v>63</v>
      </c>
      <c r="AW26" s="150" t="s">
        <v>136</v>
      </c>
      <c r="AX26" s="151" t="s">
        <v>58</v>
      </c>
      <c r="AY26" s="50">
        <v>0.0</v>
      </c>
      <c r="AZ26" s="155" t="s">
        <v>136</v>
      </c>
      <c r="BA26" s="40" t="s">
        <v>50</v>
      </c>
      <c r="BB26" s="63" t="s">
        <v>105</v>
      </c>
      <c r="BC26" s="59" t="s">
        <v>97</v>
      </c>
      <c r="BD26" s="40" t="s">
        <v>107</v>
      </c>
      <c r="BE26" s="42" t="s">
        <v>93</v>
      </c>
      <c r="BF26" s="78"/>
      <c r="BG26" s="23"/>
      <c r="BH26" s="23"/>
      <c r="BI26" s="23"/>
      <c r="BJ26" s="23"/>
      <c r="BK26" s="23"/>
      <c r="BL26" s="23"/>
    </row>
    <row r="27" ht="12.0" customHeight="1">
      <c r="A27" s="66">
        <v>46227.54379601852</v>
      </c>
      <c r="B27" s="67" t="s">
        <v>85</v>
      </c>
      <c r="C27" s="67" t="s">
        <v>200</v>
      </c>
      <c r="D27" s="67">
        <v>26.0</v>
      </c>
      <c r="E27" s="67" t="s">
        <v>87</v>
      </c>
      <c r="F27" s="67" t="s">
        <v>168</v>
      </c>
      <c r="G27" s="67" t="s">
        <v>196</v>
      </c>
      <c r="H27" s="67">
        <v>52.0</v>
      </c>
      <c r="I27" s="95" t="s">
        <v>207</v>
      </c>
      <c r="J27" s="40" t="s">
        <v>50</v>
      </c>
      <c r="K27" s="72" t="s">
        <v>98</v>
      </c>
      <c r="L27" s="42" t="s">
        <v>92</v>
      </c>
      <c r="M27" s="73">
        <v>2.5</v>
      </c>
      <c r="N27" s="45" t="s">
        <v>93</v>
      </c>
      <c r="O27" s="47" t="s">
        <v>94</v>
      </c>
      <c r="P27" s="150" t="s">
        <v>136</v>
      </c>
      <c r="Q27" s="119">
        <v>0.0</v>
      </c>
      <c r="R27" s="151" t="s">
        <v>58</v>
      </c>
      <c r="S27" s="150" t="s">
        <v>136</v>
      </c>
      <c r="T27" s="50" t="s">
        <v>97</v>
      </c>
      <c r="U27" s="78"/>
      <c r="V27" s="78"/>
      <c r="W27" s="78"/>
      <c r="X27" s="78"/>
      <c r="Y27" s="81"/>
      <c r="Z27" s="54" t="s">
        <v>99</v>
      </c>
      <c r="AA27" s="150" t="s">
        <v>136</v>
      </c>
      <c r="AB27" s="120">
        <v>0.0</v>
      </c>
      <c r="AC27" s="151" t="s">
        <v>58</v>
      </c>
      <c r="AD27" s="150" t="s">
        <v>136</v>
      </c>
      <c r="AE27" s="50" t="s">
        <v>97</v>
      </c>
      <c r="AF27" s="78"/>
      <c r="AG27" s="78"/>
      <c r="AH27" s="78"/>
      <c r="AI27" s="78"/>
      <c r="AJ27" s="81"/>
      <c r="AK27" s="47" t="s">
        <v>94</v>
      </c>
      <c r="AL27" s="42" t="s">
        <v>103</v>
      </c>
      <c r="AM27" s="67">
        <v>0.6</v>
      </c>
      <c r="AN27" s="67">
        <v>2002.0</v>
      </c>
      <c r="AO27" s="63" t="s">
        <v>105</v>
      </c>
      <c r="AP27" s="59" t="s">
        <v>97</v>
      </c>
      <c r="AQ27" s="54" t="s">
        <v>99</v>
      </c>
      <c r="AR27" s="67">
        <v>0.6</v>
      </c>
      <c r="AS27" s="67">
        <v>2020.0</v>
      </c>
      <c r="AT27" s="63" t="s">
        <v>105</v>
      </c>
      <c r="AU27" s="59" t="s">
        <v>97</v>
      </c>
      <c r="AV27" s="71" t="s">
        <v>63</v>
      </c>
      <c r="AW27" s="150" t="s">
        <v>136</v>
      </c>
      <c r="AX27" s="151" t="s">
        <v>58</v>
      </c>
      <c r="AY27" s="50">
        <v>0.0</v>
      </c>
      <c r="AZ27" s="155" t="s">
        <v>136</v>
      </c>
      <c r="BA27" s="40" t="s">
        <v>50</v>
      </c>
      <c r="BB27" s="63" t="s">
        <v>105</v>
      </c>
      <c r="BC27" s="59" t="s">
        <v>97</v>
      </c>
      <c r="BD27" s="40" t="s">
        <v>107</v>
      </c>
      <c r="BE27" s="42" t="s">
        <v>93</v>
      </c>
      <c r="BF27" s="78"/>
      <c r="BG27" s="23"/>
      <c r="BH27" s="23"/>
      <c r="BI27" s="23"/>
      <c r="BJ27" s="23"/>
      <c r="BK27" s="23"/>
      <c r="BL27" s="23"/>
    </row>
    <row r="28" ht="12.0" customHeight="1">
      <c r="A28" s="66">
        <v>46227.54576828703</v>
      </c>
      <c r="B28" s="67" t="s">
        <v>85</v>
      </c>
      <c r="C28" s="67" t="s">
        <v>198</v>
      </c>
      <c r="D28" s="67">
        <v>27.0</v>
      </c>
      <c r="E28" s="67" t="s">
        <v>125</v>
      </c>
      <c r="F28" s="67" t="s">
        <v>208</v>
      </c>
      <c r="G28" s="67" t="s">
        <v>196</v>
      </c>
      <c r="H28" s="67">
        <v>50.0</v>
      </c>
      <c r="I28" s="95" t="s">
        <v>209</v>
      </c>
      <c r="J28" s="40" t="s">
        <v>50</v>
      </c>
      <c r="K28" s="72" t="s">
        <v>98</v>
      </c>
      <c r="L28" s="42" t="s">
        <v>92</v>
      </c>
      <c r="M28" s="73">
        <v>2.0</v>
      </c>
      <c r="N28" s="45" t="s">
        <v>93</v>
      </c>
      <c r="O28" s="47" t="s">
        <v>94</v>
      </c>
      <c r="P28" s="150" t="s">
        <v>136</v>
      </c>
      <c r="Q28" s="119">
        <v>0.0</v>
      </c>
      <c r="R28" s="151" t="s">
        <v>58</v>
      </c>
      <c r="S28" s="150" t="s">
        <v>136</v>
      </c>
      <c r="T28" s="50" t="s">
        <v>97</v>
      </c>
      <c r="U28" s="78"/>
      <c r="V28" s="78"/>
      <c r="W28" s="78"/>
      <c r="X28" s="78"/>
      <c r="Y28" s="81"/>
      <c r="Z28" s="54" t="s">
        <v>99</v>
      </c>
      <c r="AA28" s="150" t="s">
        <v>136</v>
      </c>
      <c r="AB28" s="120">
        <v>0.0</v>
      </c>
      <c r="AC28" s="151" t="s">
        <v>58</v>
      </c>
      <c r="AD28" s="150" t="s">
        <v>136</v>
      </c>
      <c r="AE28" s="50" t="s">
        <v>97</v>
      </c>
      <c r="AF28" s="78"/>
      <c r="AG28" s="78"/>
      <c r="AH28" s="78"/>
      <c r="AI28" s="78"/>
      <c r="AJ28" s="81"/>
      <c r="AK28" s="47" t="s">
        <v>94</v>
      </c>
      <c r="AL28" s="42" t="s">
        <v>103</v>
      </c>
      <c r="AM28" s="67">
        <v>0.6</v>
      </c>
      <c r="AN28" s="67">
        <v>2020.0</v>
      </c>
      <c r="AO28" s="42" t="s">
        <v>93</v>
      </c>
      <c r="AP28" s="59" t="s">
        <v>97</v>
      </c>
      <c r="AQ28" s="54" t="s">
        <v>99</v>
      </c>
      <c r="AR28" s="67">
        <v>0.6</v>
      </c>
      <c r="AS28" s="67">
        <v>2020.0</v>
      </c>
      <c r="AT28" s="42" t="s">
        <v>93</v>
      </c>
      <c r="AU28" s="59" t="s">
        <v>97</v>
      </c>
      <c r="AV28" s="71" t="s">
        <v>63</v>
      </c>
      <c r="AW28" s="150" t="s">
        <v>136</v>
      </c>
      <c r="AX28" s="151" t="s">
        <v>58</v>
      </c>
      <c r="AY28" s="50">
        <v>0.0</v>
      </c>
      <c r="AZ28" s="155" t="s">
        <v>136</v>
      </c>
      <c r="BA28" s="40" t="s">
        <v>50</v>
      </c>
      <c r="BB28" s="63" t="s">
        <v>105</v>
      </c>
      <c r="BC28" s="59" t="s">
        <v>97</v>
      </c>
      <c r="BD28" s="40" t="s">
        <v>107</v>
      </c>
      <c r="BE28" s="42" t="s">
        <v>93</v>
      </c>
      <c r="BF28" s="78"/>
      <c r="BG28" s="23"/>
      <c r="BH28" s="23"/>
      <c r="BI28" s="23"/>
      <c r="BJ28" s="23"/>
      <c r="BK28" s="23"/>
      <c r="BL28" s="23"/>
    </row>
    <row r="29" ht="12.0" customHeight="1">
      <c r="A29" s="66">
        <v>46228.431839895835</v>
      </c>
      <c r="B29" s="67" t="s">
        <v>85</v>
      </c>
      <c r="C29" s="78"/>
      <c r="D29" s="67">
        <v>28.0</v>
      </c>
      <c r="E29" s="67" t="s">
        <v>210</v>
      </c>
      <c r="F29" s="78"/>
      <c r="G29" s="67" t="s">
        <v>196</v>
      </c>
      <c r="H29" s="67">
        <v>225.0</v>
      </c>
      <c r="I29" s="95" t="s">
        <v>211</v>
      </c>
      <c r="J29" s="71" t="s">
        <v>63</v>
      </c>
      <c r="K29" s="72" t="s">
        <v>98</v>
      </c>
      <c r="L29" s="41" t="s">
        <v>112</v>
      </c>
      <c r="M29" s="157"/>
      <c r="N29" s="158" t="s">
        <v>100</v>
      </c>
      <c r="O29" s="47" t="s">
        <v>94</v>
      </c>
      <c r="P29" s="48" t="s">
        <v>95</v>
      </c>
      <c r="Q29" s="48" t="s">
        <v>96</v>
      </c>
      <c r="R29" s="159" t="s">
        <v>96</v>
      </c>
      <c r="S29" s="48" t="s">
        <v>96</v>
      </c>
      <c r="T29" s="67" t="s">
        <v>212</v>
      </c>
      <c r="U29" s="78"/>
      <c r="V29" s="78"/>
      <c r="W29" s="78"/>
      <c r="X29" s="78"/>
      <c r="Y29" s="81"/>
      <c r="Z29" s="83" t="s">
        <v>119</v>
      </c>
      <c r="AA29" s="48" t="s">
        <v>95</v>
      </c>
      <c r="AB29" s="48" t="s">
        <v>96</v>
      </c>
      <c r="AC29" s="159" t="s">
        <v>96</v>
      </c>
      <c r="AD29" s="48" t="s">
        <v>96</v>
      </c>
      <c r="AE29" s="67" t="s">
        <v>212</v>
      </c>
      <c r="AF29" s="78"/>
      <c r="AG29" s="78"/>
      <c r="AH29" s="78"/>
      <c r="AI29" s="78"/>
      <c r="AJ29" s="81"/>
      <c r="AK29" s="47" t="s">
        <v>94</v>
      </c>
      <c r="AL29" s="56" t="s">
        <v>100</v>
      </c>
      <c r="AM29" s="67">
        <v>0.6</v>
      </c>
      <c r="AN29" s="48" t="s">
        <v>96</v>
      </c>
      <c r="AO29" s="56" t="s">
        <v>100</v>
      </c>
      <c r="AP29" s="92" t="s">
        <v>213</v>
      </c>
      <c r="AQ29" s="54" t="s">
        <v>99</v>
      </c>
      <c r="AR29" s="50">
        <v>0.0</v>
      </c>
      <c r="AS29" s="50" t="s">
        <v>58</v>
      </c>
      <c r="AT29" s="56" t="s">
        <v>100</v>
      </c>
      <c r="AU29" s="92" t="s">
        <v>213</v>
      </c>
      <c r="AV29" s="71" t="s">
        <v>63</v>
      </c>
      <c r="AW29" s="150" t="s">
        <v>136</v>
      </c>
      <c r="AX29" s="151" t="s">
        <v>58</v>
      </c>
      <c r="AY29" s="50">
        <v>0.0</v>
      </c>
      <c r="AZ29" s="155" t="s">
        <v>136</v>
      </c>
      <c r="BA29" s="71" t="s">
        <v>63</v>
      </c>
      <c r="BB29" s="48" t="s">
        <v>96</v>
      </c>
      <c r="BC29" s="59" t="s">
        <v>97</v>
      </c>
      <c r="BD29" s="40" t="s">
        <v>107</v>
      </c>
      <c r="BE29" s="42" t="s">
        <v>93</v>
      </c>
      <c r="BF29" s="78"/>
      <c r="BG29" s="23"/>
      <c r="BH29" s="23"/>
      <c r="BI29" s="23"/>
      <c r="BJ29" s="23"/>
      <c r="BK29" s="23"/>
      <c r="BL29" s="23"/>
    </row>
    <row r="30" ht="12.0" customHeight="1">
      <c r="A30" s="66">
        <v>46228.436470381945</v>
      </c>
      <c r="B30" s="67" t="s">
        <v>85</v>
      </c>
      <c r="C30" s="67" t="s">
        <v>198</v>
      </c>
      <c r="D30" s="67">
        <v>29.0</v>
      </c>
      <c r="E30" s="67" t="s">
        <v>214</v>
      </c>
      <c r="F30" s="78"/>
      <c r="G30" s="67" t="s">
        <v>196</v>
      </c>
      <c r="H30" s="67">
        <v>246.0</v>
      </c>
      <c r="I30" s="95" t="s">
        <v>215</v>
      </c>
      <c r="J30" s="71" t="s">
        <v>63</v>
      </c>
      <c r="K30" s="72" t="s">
        <v>98</v>
      </c>
      <c r="L30" s="42" t="s">
        <v>92</v>
      </c>
      <c r="M30" s="73">
        <v>3.7</v>
      </c>
      <c r="N30" s="45" t="s">
        <v>93</v>
      </c>
      <c r="O30" s="47" t="s">
        <v>94</v>
      </c>
      <c r="P30" s="48" t="s">
        <v>95</v>
      </c>
      <c r="Q30" s="73">
        <v>2.2</v>
      </c>
      <c r="R30" s="160"/>
      <c r="S30" s="56" t="s">
        <v>100</v>
      </c>
      <c r="T30" s="50" t="s">
        <v>97</v>
      </c>
      <c r="U30" s="78"/>
      <c r="V30" s="78"/>
      <c r="W30" s="78"/>
      <c r="X30" s="78"/>
      <c r="Y30" s="81"/>
      <c r="Z30" s="54" t="s">
        <v>99</v>
      </c>
      <c r="AA30" s="48" t="s">
        <v>95</v>
      </c>
      <c r="AB30" s="67">
        <v>2.2</v>
      </c>
      <c r="AC30" s="151" t="s">
        <v>58</v>
      </c>
      <c r="AD30" s="56" t="s">
        <v>100</v>
      </c>
      <c r="AE30" s="50" t="s">
        <v>97</v>
      </c>
      <c r="AF30" s="78"/>
      <c r="AG30" s="78"/>
      <c r="AH30" s="78"/>
      <c r="AI30" s="78"/>
      <c r="AJ30" s="81"/>
      <c r="AK30" s="47" t="s">
        <v>94</v>
      </c>
      <c r="AL30" s="42" t="s">
        <v>103</v>
      </c>
      <c r="AM30" s="67">
        <v>0.6</v>
      </c>
      <c r="AN30" s="67">
        <v>2022.0</v>
      </c>
      <c r="AO30" s="42" t="s">
        <v>93</v>
      </c>
      <c r="AP30" s="59" t="s">
        <v>97</v>
      </c>
      <c r="AQ30" s="54" t="s">
        <v>99</v>
      </c>
      <c r="AR30" s="67">
        <v>0.6</v>
      </c>
      <c r="AS30" s="67">
        <v>2022.0</v>
      </c>
      <c r="AT30" s="56" t="s">
        <v>100</v>
      </c>
      <c r="AU30" s="59" t="s">
        <v>97</v>
      </c>
      <c r="AV30" s="71" t="s">
        <v>63</v>
      </c>
      <c r="AW30" s="150" t="s">
        <v>136</v>
      </c>
      <c r="AX30" s="151" t="s">
        <v>58</v>
      </c>
      <c r="AY30" s="50">
        <v>0.0</v>
      </c>
      <c r="AZ30" s="155" t="s">
        <v>136</v>
      </c>
      <c r="BA30" s="71" t="s">
        <v>63</v>
      </c>
      <c r="BB30" s="48" t="s">
        <v>96</v>
      </c>
      <c r="BC30" s="59" t="s">
        <v>97</v>
      </c>
      <c r="BD30" s="40" t="s">
        <v>107</v>
      </c>
      <c r="BE30" s="42" t="s">
        <v>93</v>
      </c>
      <c r="BF30" s="78"/>
      <c r="BG30" s="23"/>
      <c r="BH30" s="23"/>
      <c r="BI30" s="23"/>
      <c r="BJ30" s="23"/>
      <c r="BK30" s="23"/>
      <c r="BL30" s="23"/>
    </row>
    <row r="31" ht="12.0" customHeight="1">
      <c r="A31" s="66">
        <v>46228.43940217592</v>
      </c>
      <c r="B31" s="67" t="s">
        <v>85</v>
      </c>
      <c r="C31" s="67" t="s">
        <v>216</v>
      </c>
      <c r="D31" s="36">
        <v>30.0</v>
      </c>
      <c r="E31" s="67" t="s">
        <v>217</v>
      </c>
      <c r="F31" s="78"/>
      <c r="G31" s="67" t="s">
        <v>196</v>
      </c>
      <c r="H31" s="67">
        <v>103.0</v>
      </c>
      <c r="I31" s="95" t="s">
        <v>218</v>
      </c>
      <c r="J31" s="71" t="s">
        <v>63</v>
      </c>
      <c r="K31" s="72" t="s">
        <v>98</v>
      </c>
      <c r="L31" s="41" t="s">
        <v>112</v>
      </c>
      <c r="M31" s="73">
        <v>3.5</v>
      </c>
      <c r="N31" s="45" t="s">
        <v>93</v>
      </c>
      <c r="O31" s="47" t="s">
        <v>94</v>
      </c>
      <c r="P31" s="48" t="s">
        <v>95</v>
      </c>
      <c r="Q31" s="73">
        <v>2.5</v>
      </c>
      <c r="R31" s="160"/>
      <c r="S31" s="56" t="s">
        <v>100</v>
      </c>
      <c r="T31" s="50" t="s">
        <v>97</v>
      </c>
      <c r="U31" s="78"/>
      <c r="V31" s="78"/>
      <c r="W31" s="78"/>
      <c r="X31" s="78"/>
      <c r="Y31" s="81"/>
      <c r="Z31" s="54" t="s">
        <v>99</v>
      </c>
      <c r="AA31" s="48" t="s">
        <v>95</v>
      </c>
      <c r="AB31" s="67">
        <v>2.5</v>
      </c>
      <c r="AC31" s="151" t="s">
        <v>58</v>
      </c>
      <c r="AD31" s="56" t="s">
        <v>100</v>
      </c>
      <c r="AE31" s="50" t="s">
        <v>97</v>
      </c>
      <c r="AF31" s="78"/>
      <c r="AG31" s="78"/>
      <c r="AH31" s="78"/>
      <c r="AI31" s="78"/>
      <c r="AJ31" s="81"/>
      <c r="AK31" s="47" t="s">
        <v>94</v>
      </c>
      <c r="AL31" s="42" t="s">
        <v>103</v>
      </c>
      <c r="AM31" s="67">
        <v>0.6</v>
      </c>
      <c r="AN31" s="67">
        <v>2022.0</v>
      </c>
      <c r="AO31" s="42" t="s">
        <v>93</v>
      </c>
      <c r="AP31" s="59" t="s">
        <v>97</v>
      </c>
      <c r="AQ31" s="54" t="s">
        <v>99</v>
      </c>
      <c r="AR31" s="67">
        <v>0.6</v>
      </c>
      <c r="AS31" s="67">
        <v>2022.0</v>
      </c>
      <c r="AT31" s="42" t="s">
        <v>93</v>
      </c>
      <c r="AU31" s="59" t="s">
        <v>97</v>
      </c>
      <c r="AV31" s="71" t="s">
        <v>63</v>
      </c>
      <c r="AW31" s="150" t="s">
        <v>136</v>
      </c>
      <c r="AX31" s="151" t="s">
        <v>58</v>
      </c>
      <c r="AY31" s="50">
        <v>0.0</v>
      </c>
      <c r="AZ31" s="155" t="s">
        <v>136</v>
      </c>
      <c r="BA31" s="71" t="s">
        <v>63</v>
      </c>
      <c r="BB31" s="56" t="s">
        <v>100</v>
      </c>
      <c r="BC31" s="59" t="s">
        <v>97</v>
      </c>
      <c r="BD31" s="40" t="s">
        <v>107</v>
      </c>
      <c r="BE31" s="42" t="s">
        <v>93</v>
      </c>
      <c r="BF31" s="78"/>
      <c r="BG31" s="23"/>
      <c r="BH31" s="23"/>
      <c r="BI31" s="23"/>
      <c r="BJ31" s="23"/>
      <c r="BK31" s="23"/>
      <c r="BL31" s="23"/>
    </row>
    <row r="32" ht="12.0" customHeight="1">
      <c r="A32" s="66">
        <v>46228.441934699076</v>
      </c>
      <c r="B32" s="67" t="s">
        <v>85</v>
      </c>
      <c r="C32" s="67" t="s">
        <v>219</v>
      </c>
      <c r="D32" s="67">
        <v>31.0</v>
      </c>
      <c r="E32" s="161" t="s">
        <v>220</v>
      </c>
      <c r="F32" s="78"/>
      <c r="G32" s="67" t="s">
        <v>221</v>
      </c>
      <c r="H32" s="67">
        <v>131.0</v>
      </c>
      <c r="I32" s="133" t="s">
        <v>222</v>
      </c>
      <c r="J32" s="71" t="s">
        <v>63</v>
      </c>
      <c r="K32" s="72" t="s">
        <v>98</v>
      </c>
      <c r="L32" s="42" t="s">
        <v>92</v>
      </c>
      <c r="M32" s="73">
        <v>3.5</v>
      </c>
      <c r="N32" s="45" t="s">
        <v>93</v>
      </c>
      <c r="O32" s="47" t="s">
        <v>94</v>
      </c>
      <c r="P32" s="48" t="s">
        <v>95</v>
      </c>
      <c r="Q32" s="73">
        <v>2.5</v>
      </c>
      <c r="R32" s="160"/>
      <c r="S32" s="56" t="s">
        <v>100</v>
      </c>
      <c r="T32" s="50" t="s">
        <v>97</v>
      </c>
      <c r="U32" s="78"/>
      <c r="V32" s="78"/>
      <c r="W32" s="78"/>
      <c r="X32" s="78"/>
      <c r="Y32" s="81"/>
      <c r="Z32" s="54" t="s">
        <v>99</v>
      </c>
      <c r="AA32" s="48" t="s">
        <v>95</v>
      </c>
      <c r="AB32" s="67">
        <v>2.5</v>
      </c>
      <c r="AC32" s="151" t="s">
        <v>58</v>
      </c>
      <c r="AD32" s="56" t="s">
        <v>100</v>
      </c>
      <c r="AE32" s="50" t="s">
        <v>97</v>
      </c>
      <c r="AF32" s="78"/>
      <c r="AG32" s="78"/>
      <c r="AH32" s="78"/>
      <c r="AI32" s="78"/>
      <c r="AJ32" s="81"/>
      <c r="AK32" s="47" t="s">
        <v>94</v>
      </c>
      <c r="AL32" s="42" t="s">
        <v>103</v>
      </c>
      <c r="AM32" s="67">
        <v>0.6</v>
      </c>
      <c r="AN32" s="67">
        <v>2022.0</v>
      </c>
      <c r="AO32" s="42" t="s">
        <v>93</v>
      </c>
      <c r="AP32" s="59" t="s">
        <v>97</v>
      </c>
      <c r="AQ32" s="54" t="s">
        <v>99</v>
      </c>
      <c r="AR32" s="67">
        <v>0.6</v>
      </c>
      <c r="AS32" s="67">
        <v>2022.0</v>
      </c>
      <c r="AT32" s="42" t="s">
        <v>93</v>
      </c>
      <c r="AU32" s="59" t="s">
        <v>97</v>
      </c>
      <c r="AV32" s="71" t="s">
        <v>63</v>
      </c>
      <c r="AW32" s="150" t="s">
        <v>136</v>
      </c>
      <c r="AX32" s="151" t="s">
        <v>58</v>
      </c>
      <c r="AY32" s="50">
        <v>0.0</v>
      </c>
      <c r="AZ32" s="155" t="s">
        <v>136</v>
      </c>
      <c r="BA32" s="71" t="s">
        <v>63</v>
      </c>
      <c r="BB32" s="56" t="s">
        <v>100</v>
      </c>
      <c r="BC32" s="59" t="s">
        <v>97</v>
      </c>
      <c r="BD32" s="40" t="s">
        <v>107</v>
      </c>
      <c r="BE32" s="42" t="s">
        <v>93</v>
      </c>
      <c r="BF32" s="78"/>
      <c r="BG32" s="23"/>
      <c r="BH32" s="23"/>
      <c r="BI32" s="23"/>
      <c r="BJ32" s="23"/>
      <c r="BK32" s="23"/>
      <c r="BL32" s="23"/>
    </row>
    <row r="33" ht="12.0" customHeight="1">
      <c r="A33" s="66">
        <v>46228.44637237268</v>
      </c>
      <c r="B33" s="67" t="s">
        <v>85</v>
      </c>
      <c r="C33" s="67" t="s">
        <v>219</v>
      </c>
      <c r="D33" s="67">
        <v>32.0</v>
      </c>
      <c r="E33" s="161" t="s">
        <v>223</v>
      </c>
      <c r="F33" s="78"/>
      <c r="G33" s="67" t="s">
        <v>221</v>
      </c>
      <c r="H33" s="67">
        <v>139.0</v>
      </c>
      <c r="I33" s="95" t="s">
        <v>224</v>
      </c>
      <c r="J33" s="71" t="s">
        <v>63</v>
      </c>
      <c r="K33" s="72" t="s">
        <v>98</v>
      </c>
      <c r="L33" s="41" t="s">
        <v>112</v>
      </c>
      <c r="M33" s="73">
        <v>3.5</v>
      </c>
      <c r="N33" s="45" t="s">
        <v>93</v>
      </c>
      <c r="O33" s="75" t="s">
        <v>115</v>
      </c>
      <c r="P33" s="48" t="s">
        <v>95</v>
      </c>
      <c r="Q33" s="73">
        <v>2.5</v>
      </c>
      <c r="R33" s="160"/>
      <c r="S33" s="56" t="s">
        <v>100</v>
      </c>
      <c r="T33" s="50" t="s">
        <v>97</v>
      </c>
      <c r="U33" s="78"/>
      <c r="V33" s="78"/>
      <c r="W33" s="78"/>
      <c r="X33" s="78"/>
      <c r="Y33" s="81"/>
      <c r="Z33" s="83" t="s">
        <v>119</v>
      </c>
      <c r="AA33" s="48" t="s">
        <v>95</v>
      </c>
      <c r="AB33" s="67">
        <v>2.5</v>
      </c>
      <c r="AC33" s="151" t="s">
        <v>58</v>
      </c>
      <c r="AD33" s="56" t="s">
        <v>100</v>
      </c>
      <c r="AE33" s="50" t="s">
        <v>97</v>
      </c>
      <c r="AF33" s="78"/>
      <c r="AG33" s="78"/>
      <c r="AH33" s="78"/>
      <c r="AI33" s="78"/>
      <c r="AJ33" s="81"/>
      <c r="AK33" s="75" t="s">
        <v>115</v>
      </c>
      <c r="AL33" s="42" t="s">
        <v>103</v>
      </c>
      <c r="AM33" s="67">
        <v>0.6</v>
      </c>
      <c r="AN33" s="67">
        <v>2022.0</v>
      </c>
      <c r="AO33" s="42" t="s">
        <v>93</v>
      </c>
      <c r="AP33" s="59" t="s">
        <v>97</v>
      </c>
      <c r="AQ33" s="83" t="s">
        <v>119</v>
      </c>
      <c r="AR33" s="67">
        <v>0.6</v>
      </c>
      <c r="AS33" s="67">
        <v>2022.0</v>
      </c>
      <c r="AT33" s="42" t="s">
        <v>93</v>
      </c>
      <c r="AU33" s="59" t="s">
        <v>97</v>
      </c>
      <c r="AV33" s="71" t="s">
        <v>63</v>
      </c>
      <c r="AW33" s="150" t="s">
        <v>136</v>
      </c>
      <c r="AX33" s="151" t="s">
        <v>58</v>
      </c>
      <c r="AY33" s="50">
        <v>0.0</v>
      </c>
      <c r="AZ33" s="155" t="s">
        <v>136</v>
      </c>
      <c r="BA33" s="71" t="s">
        <v>63</v>
      </c>
      <c r="BB33" s="56" t="s">
        <v>100</v>
      </c>
      <c r="BC33" s="59" t="s">
        <v>97</v>
      </c>
      <c r="BD33" s="40" t="s">
        <v>107</v>
      </c>
      <c r="BE33" s="42" t="s">
        <v>93</v>
      </c>
      <c r="BF33" s="78"/>
      <c r="BG33" s="23"/>
      <c r="BH33" s="23"/>
      <c r="BI33" s="23"/>
      <c r="BJ33" s="23"/>
      <c r="BK33" s="23"/>
      <c r="BL33" s="23"/>
    </row>
    <row r="34" ht="12.0" customHeight="1">
      <c r="A34" s="66">
        <v>46228.44888298611</v>
      </c>
      <c r="B34" s="67" t="s">
        <v>85</v>
      </c>
      <c r="C34" s="67" t="s">
        <v>219</v>
      </c>
      <c r="D34" s="36">
        <v>33.0</v>
      </c>
      <c r="E34" s="161" t="s">
        <v>225</v>
      </c>
      <c r="F34" s="78"/>
      <c r="G34" s="67" t="s">
        <v>196</v>
      </c>
      <c r="H34" s="67">
        <v>104.0</v>
      </c>
      <c r="I34" s="95" t="s">
        <v>226</v>
      </c>
      <c r="J34" s="71" t="s">
        <v>63</v>
      </c>
      <c r="K34" s="72" t="s">
        <v>98</v>
      </c>
      <c r="L34" s="42" t="s">
        <v>92</v>
      </c>
      <c r="M34" s="73">
        <v>3.5</v>
      </c>
      <c r="N34" s="45" t="s">
        <v>93</v>
      </c>
      <c r="O34" s="75" t="s">
        <v>115</v>
      </c>
      <c r="P34" s="48" t="s">
        <v>95</v>
      </c>
      <c r="Q34" s="73">
        <v>2.5</v>
      </c>
      <c r="R34" s="160"/>
      <c r="S34" s="56" t="s">
        <v>100</v>
      </c>
      <c r="T34" s="50" t="s">
        <v>97</v>
      </c>
      <c r="U34" s="78"/>
      <c r="V34" s="78"/>
      <c r="W34" s="78"/>
      <c r="X34" s="78"/>
      <c r="Y34" s="81"/>
      <c r="Z34" s="83" t="s">
        <v>119</v>
      </c>
      <c r="AA34" s="48" t="s">
        <v>95</v>
      </c>
      <c r="AB34" s="67">
        <v>2.5</v>
      </c>
      <c r="AC34" s="151" t="s">
        <v>58</v>
      </c>
      <c r="AD34" s="56" t="s">
        <v>100</v>
      </c>
      <c r="AE34" s="50" t="s">
        <v>97</v>
      </c>
      <c r="AF34" s="78"/>
      <c r="AG34" s="78"/>
      <c r="AH34" s="78"/>
      <c r="AI34" s="78"/>
      <c r="AJ34" s="81"/>
      <c r="AK34" s="75" t="s">
        <v>115</v>
      </c>
      <c r="AL34" s="42" t="s">
        <v>103</v>
      </c>
      <c r="AM34" s="67">
        <v>0.6</v>
      </c>
      <c r="AN34" s="67">
        <v>2022.0</v>
      </c>
      <c r="AO34" s="42" t="s">
        <v>93</v>
      </c>
      <c r="AP34" s="59" t="s">
        <v>97</v>
      </c>
      <c r="AQ34" s="83" t="s">
        <v>119</v>
      </c>
      <c r="AR34" s="67">
        <v>0.6</v>
      </c>
      <c r="AS34" s="67">
        <v>2022.0</v>
      </c>
      <c r="AT34" s="42" t="s">
        <v>93</v>
      </c>
      <c r="AU34" s="59" t="s">
        <v>97</v>
      </c>
      <c r="AV34" s="71" t="s">
        <v>63</v>
      </c>
      <c r="AW34" s="150" t="s">
        <v>136</v>
      </c>
      <c r="AX34" s="151" t="s">
        <v>58</v>
      </c>
      <c r="AY34" s="50">
        <v>0.0</v>
      </c>
      <c r="AZ34" s="155" t="s">
        <v>136</v>
      </c>
      <c r="BA34" s="71" t="s">
        <v>63</v>
      </c>
      <c r="BB34" s="56" t="s">
        <v>100</v>
      </c>
      <c r="BC34" s="59" t="s">
        <v>97</v>
      </c>
      <c r="BD34" s="40" t="s">
        <v>107</v>
      </c>
      <c r="BE34" s="42" t="s">
        <v>93</v>
      </c>
      <c r="BF34" s="78"/>
      <c r="BG34" s="23"/>
      <c r="BH34" s="23"/>
      <c r="BI34" s="23"/>
      <c r="BJ34" s="23"/>
      <c r="BK34" s="23"/>
      <c r="BL34" s="23"/>
    </row>
    <row r="35" ht="12.0" customHeight="1">
      <c r="A35" s="66">
        <v>46228.45118108796</v>
      </c>
      <c r="B35" s="67" t="s">
        <v>85</v>
      </c>
      <c r="C35" s="67" t="s">
        <v>188</v>
      </c>
      <c r="D35" s="67">
        <v>34.0</v>
      </c>
      <c r="E35" s="161" t="s">
        <v>227</v>
      </c>
      <c r="F35" s="78"/>
      <c r="G35" s="67" t="s">
        <v>196</v>
      </c>
      <c r="H35" s="67">
        <v>103.0</v>
      </c>
      <c r="I35" s="95" t="s">
        <v>228</v>
      </c>
      <c r="J35" s="71" t="s">
        <v>63</v>
      </c>
      <c r="K35" s="72" t="s">
        <v>98</v>
      </c>
      <c r="L35" s="42" t="s">
        <v>92</v>
      </c>
      <c r="M35" s="73">
        <v>3.5</v>
      </c>
      <c r="N35" s="45" t="s">
        <v>93</v>
      </c>
      <c r="O35" s="75" t="s">
        <v>115</v>
      </c>
      <c r="P35" s="48" t="s">
        <v>95</v>
      </c>
      <c r="Q35" s="73">
        <v>2.5</v>
      </c>
      <c r="R35" s="160"/>
      <c r="S35" s="56" t="s">
        <v>100</v>
      </c>
      <c r="T35" s="50" t="s">
        <v>97</v>
      </c>
      <c r="U35" s="78"/>
      <c r="V35" s="78"/>
      <c r="W35" s="78"/>
      <c r="X35" s="78"/>
      <c r="Y35" s="81"/>
      <c r="Z35" s="83" t="s">
        <v>119</v>
      </c>
      <c r="AA35" s="48" t="s">
        <v>95</v>
      </c>
      <c r="AB35" s="67">
        <v>2.5</v>
      </c>
      <c r="AC35" s="151" t="s">
        <v>58</v>
      </c>
      <c r="AD35" s="56" t="s">
        <v>100</v>
      </c>
      <c r="AE35" s="50" t="s">
        <v>97</v>
      </c>
      <c r="AF35" s="78"/>
      <c r="AG35" s="78"/>
      <c r="AH35" s="78"/>
      <c r="AI35" s="78"/>
      <c r="AJ35" s="81"/>
      <c r="AK35" s="75" t="s">
        <v>115</v>
      </c>
      <c r="AL35" s="42" t="s">
        <v>103</v>
      </c>
      <c r="AM35" s="67">
        <v>0.6</v>
      </c>
      <c r="AN35" s="67">
        <v>2022.0</v>
      </c>
      <c r="AO35" s="42" t="s">
        <v>93</v>
      </c>
      <c r="AP35" s="59" t="s">
        <v>97</v>
      </c>
      <c r="AQ35" s="83" t="s">
        <v>119</v>
      </c>
      <c r="AR35" s="67">
        <v>0.6</v>
      </c>
      <c r="AS35" s="67">
        <v>2022.0</v>
      </c>
      <c r="AT35" s="42" t="s">
        <v>93</v>
      </c>
      <c r="AU35" s="59" t="s">
        <v>97</v>
      </c>
      <c r="AV35" s="71" t="s">
        <v>63</v>
      </c>
      <c r="AW35" s="150" t="s">
        <v>136</v>
      </c>
      <c r="AX35" s="151" t="s">
        <v>58</v>
      </c>
      <c r="AY35" s="50">
        <v>0.0</v>
      </c>
      <c r="AZ35" s="155" t="s">
        <v>136</v>
      </c>
      <c r="BA35" s="71" t="s">
        <v>63</v>
      </c>
      <c r="BB35" s="56" t="s">
        <v>100</v>
      </c>
      <c r="BC35" s="59" t="s">
        <v>97</v>
      </c>
      <c r="BD35" s="40" t="s">
        <v>107</v>
      </c>
      <c r="BE35" s="42" t="s">
        <v>93</v>
      </c>
      <c r="BF35" s="78"/>
      <c r="BG35" s="23"/>
      <c r="BH35" s="23"/>
      <c r="BI35" s="23"/>
      <c r="BJ35" s="23"/>
      <c r="BK35" s="23"/>
      <c r="BL35" s="23"/>
    </row>
    <row r="36" ht="12.0" customHeight="1">
      <c r="A36" s="66">
        <v>46228.45374170139</v>
      </c>
      <c r="B36" s="67" t="s">
        <v>85</v>
      </c>
      <c r="C36" s="67" t="s">
        <v>188</v>
      </c>
      <c r="D36" s="36">
        <v>36.0</v>
      </c>
      <c r="E36" s="161" t="s">
        <v>229</v>
      </c>
      <c r="F36" s="78"/>
      <c r="G36" s="67" t="s">
        <v>196</v>
      </c>
      <c r="H36" s="67">
        <v>90.0</v>
      </c>
      <c r="I36" s="95" t="s">
        <v>230</v>
      </c>
      <c r="J36" s="71" t="s">
        <v>63</v>
      </c>
      <c r="K36" s="72" t="s">
        <v>98</v>
      </c>
      <c r="L36" s="42" t="s">
        <v>92</v>
      </c>
      <c r="M36" s="73">
        <v>3.5</v>
      </c>
      <c r="N36" s="45" t="s">
        <v>93</v>
      </c>
      <c r="O36" s="75" t="s">
        <v>115</v>
      </c>
      <c r="P36" s="48" t="s">
        <v>95</v>
      </c>
      <c r="Q36" s="73">
        <v>2.5</v>
      </c>
      <c r="R36" s="151" t="s">
        <v>58</v>
      </c>
      <c r="S36" s="56" t="s">
        <v>100</v>
      </c>
      <c r="T36" s="50" t="s">
        <v>97</v>
      </c>
      <c r="U36" s="78"/>
      <c r="V36" s="78"/>
      <c r="W36" s="78"/>
      <c r="X36" s="78"/>
      <c r="Y36" s="81"/>
      <c r="Z36" s="83" t="s">
        <v>119</v>
      </c>
      <c r="AA36" s="48" t="s">
        <v>95</v>
      </c>
      <c r="AB36" s="67">
        <v>2.5</v>
      </c>
      <c r="AC36" s="151" t="s">
        <v>58</v>
      </c>
      <c r="AD36" s="56" t="s">
        <v>100</v>
      </c>
      <c r="AE36" s="50" t="s">
        <v>97</v>
      </c>
      <c r="AF36" s="78"/>
      <c r="AG36" s="78"/>
      <c r="AH36" s="78"/>
      <c r="AI36" s="78"/>
      <c r="AJ36" s="81"/>
      <c r="AK36" s="75" t="s">
        <v>115</v>
      </c>
      <c r="AL36" s="42" t="s">
        <v>103</v>
      </c>
      <c r="AM36" s="67">
        <v>0.6</v>
      </c>
      <c r="AN36" s="67">
        <v>2022.0</v>
      </c>
      <c r="AO36" s="42" t="s">
        <v>93</v>
      </c>
      <c r="AP36" s="59" t="s">
        <v>97</v>
      </c>
      <c r="AQ36" s="83" t="s">
        <v>119</v>
      </c>
      <c r="AR36" s="67">
        <v>0.6</v>
      </c>
      <c r="AS36" s="67">
        <v>2022.0</v>
      </c>
      <c r="AT36" s="42" t="s">
        <v>93</v>
      </c>
      <c r="AU36" s="59" t="s">
        <v>97</v>
      </c>
      <c r="AV36" s="71" t="s">
        <v>63</v>
      </c>
      <c r="AW36" s="150" t="s">
        <v>136</v>
      </c>
      <c r="AX36" s="151" t="s">
        <v>58</v>
      </c>
      <c r="AY36" s="50">
        <v>0.0</v>
      </c>
      <c r="AZ36" s="155" t="s">
        <v>136</v>
      </c>
      <c r="BA36" s="71" t="s">
        <v>63</v>
      </c>
      <c r="BB36" s="56" t="s">
        <v>100</v>
      </c>
      <c r="BC36" s="59" t="s">
        <v>97</v>
      </c>
      <c r="BD36" s="40" t="s">
        <v>107</v>
      </c>
      <c r="BE36" s="42" t="s">
        <v>93</v>
      </c>
      <c r="BF36" s="78"/>
      <c r="BG36" s="23"/>
      <c r="BH36" s="23"/>
      <c r="BI36" s="23"/>
      <c r="BJ36" s="23"/>
      <c r="BK36" s="23"/>
      <c r="BL36" s="23"/>
    </row>
    <row r="37" ht="12.0" customHeight="1">
      <c r="A37" s="66">
        <v>46228.45583328704</v>
      </c>
      <c r="B37" s="67" t="s">
        <v>85</v>
      </c>
      <c r="C37" s="67" t="s">
        <v>219</v>
      </c>
      <c r="D37" s="67">
        <v>38.0</v>
      </c>
      <c r="E37" s="161" t="s">
        <v>231</v>
      </c>
      <c r="F37" s="78"/>
      <c r="G37" s="67" t="s">
        <v>196</v>
      </c>
      <c r="H37" s="67">
        <v>69.0</v>
      </c>
      <c r="I37" s="95" t="s">
        <v>232</v>
      </c>
      <c r="J37" s="71" t="s">
        <v>63</v>
      </c>
      <c r="K37" s="72" t="s">
        <v>98</v>
      </c>
      <c r="L37" s="42" t="s">
        <v>92</v>
      </c>
      <c r="M37" s="73">
        <v>3.5</v>
      </c>
      <c r="N37" s="45" t="s">
        <v>93</v>
      </c>
      <c r="O37" s="75" t="s">
        <v>115</v>
      </c>
      <c r="P37" s="48" t="s">
        <v>95</v>
      </c>
      <c r="Q37" s="73">
        <v>3.5</v>
      </c>
      <c r="R37" s="151" t="s">
        <v>58</v>
      </c>
      <c r="S37" s="48" t="s">
        <v>96</v>
      </c>
      <c r="T37" s="50" t="s">
        <v>97</v>
      </c>
      <c r="U37" s="78"/>
      <c r="V37" s="78"/>
      <c r="W37" s="78"/>
      <c r="X37" s="78"/>
      <c r="Y37" s="81"/>
      <c r="Z37" s="83" t="s">
        <v>119</v>
      </c>
      <c r="AA37" s="48" t="s">
        <v>95</v>
      </c>
      <c r="AB37" s="67">
        <v>2.5</v>
      </c>
      <c r="AC37" s="151" t="s">
        <v>58</v>
      </c>
      <c r="AD37" s="48" t="s">
        <v>96</v>
      </c>
      <c r="AE37" s="50" t="s">
        <v>97</v>
      </c>
      <c r="AF37" s="78"/>
      <c r="AG37" s="78"/>
      <c r="AH37" s="78"/>
      <c r="AI37" s="78"/>
      <c r="AJ37" s="81"/>
      <c r="AK37" s="75" t="s">
        <v>115</v>
      </c>
      <c r="AL37" s="42" t="s">
        <v>103</v>
      </c>
      <c r="AM37" s="67">
        <v>0.6</v>
      </c>
      <c r="AN37" s="67">
        <v>2022.0</v>
      </c>
      <c r="AO37" s="42" t="s">
        <v>93</v>
      </c>
      <c r="AP37" s="59" t="s">
        <v>97</v>
      </c>
      <c r="AQ37" s="83" t="s">
        <v>119</v>
      </c>
      <c r="AR37" s="67">
        <v>0.6</v>
      </c>
      <c r="AS37" s="67">
        <v>2022.0</v>
      </c>
      <c r="AT37" s="42" t="s">
        <v>93</v>
      </c>
      <c r="AU37" s="59" t="s">
        <v>97</v>
      </c>
      <c r="AV37" s="71" t="s">
        <v>63</v>
      </c>
      <c r="AW37" s="150" t="s">
        <v>136</v>
      </c>
      <c r="AX37" s="151" t="s">
        <v>58</v>
      </c>
      <c r="AY37" s="50">
        <v>0.0</v>
      </c>
      <c r="AZ37" s="155" t="s">
        <v>136</v>
      </c>
      <c r="BA37" s="71" t="s">
        <v>63</v>
      </c>
      <c r="BB37" s="56" t="s">
        <v>100</v>
      </c>
      <c r="BC37" s="59" t="s">
        <v>97</v>
      </c>
      <c r="BD37" s="40" t="s">
        <v>107</v>
      </c>
      <c r="BE37" s="42" t="s">
        <v>93</v>
      </c>
      <c r="BF37" s="78"/>
      <c r="BG37" s="23"/>
      <c r="BH37" s="23"/>
      <c r="BI37" s="23"/>
      <c r="BJ37" s="23"/>
      <c r="BK37" s="23"/>
      <c r="BL37" s="23"/>
    </row>
    <row r="38" ht="12.0" customHeight="1">
      <c r="A38" s="162">
        <v>46227.453408761576</v>
      </c>
      <c r="B38" s="163" t="s">
        <v>85</v>
      </c>
      <c r="C38" s="67" t="s">
        <v>233</v>
      </c>
      <c r="D38" s="67">
        <v>62.0</v>
      </c>
      <c r="E38" s="164" t="s">
        <v>125</v>
      </c>
      <c r="F38" s="163"/>
      <c r="G38" s="165" t="s">
        <v>221</v>
      </c>
      <c r="H38" s="166">
        <v>232.0</v>
      </c>
      <c r="I38" s="167" t="s">
        <v>234</v>
      </c>
      <c r="J38" s="71" t="s">
        <v>63</v>
      </c>
      <c r="K38" s="41" t="s">
        <v>91</v>
      </c>
      <c r="L38" s="42" t="s">
        <v>92</v>
      </c>
      <c r="M38" s="168">
        <v>5.3</v>
      </c>
      <c r="N38" s="45" t="s">
        <v>93</v>
      </c>
      <c r="O38" s="75" t="s">
        <v>115</v>
      </c>
      <c r="P38" s="100" t="s">
        <v>122</v>
      </c>
      <c r="Q38" s="168">
        <v>3.0</v>
      </c>
      <c r="R38" s="166">
        <v>2022.0</v>
      </c>
      <c r="S38" s="42" t="s">
        <v>93</v>
      </c>
      <c r="T38" s="50" t="s">
        <v>97</v>
      </c>
      <c r="U38" s="169"/>
      <c r="V38" s="169"/>
      <c r="W38" s="169"/>
      <c r="X38" s="169"/>
      <c r="Y38" s="170"/>
      <c r="Z38" s="83" t="s">
        <v>119</v>
      </c>
      <c r="AA38" s="100" t="s">
        <v>122</v>
      </c>
      <c r="AB38" s="166">
        <v>3.0</v>
      </c>
      <c r="AC38" s="166">
        <v>2022.0</v>
      </c>
      <c r="AD38" s="48" t="s">
        <v>96</v>
      </c>
      <c r="AE38" s="50" t="s">
        <v>97</v>
      </c>
      <c r="AF38" s="169"/>
      <c r="AG38" s="169"/>
      <c r="AH38" s="169"/>
      <c r="AI38" s="169"/>
      <c r="AJ38" s="170"/>
      <c r="AK38" s="75" t="s">
        <v>115</v>
      </c>
      <c r="AL38" s="171" t="s">
        <v>147</v>
      </c>
      <c r="AM38" s="166">
        <v>1.1</v>
      </c>
      <c r="AN38" s="166">
        <v>2022.0</v>
      </c>
      <c r="AO38" s="42" t="s">
        <v>93</v>
      </c>
      <c r="AP38" s="59" t="s">
        <v>97</v>
      </c>
      <c r="AQ38" s="83" t="s">
        <v>119</v>
      </c>
      <c r="AR38" s="166">
        <v>1.1</v>
      </c>
      <c r="AS38" s="166">
        <v>2022.0</v>
      </c>
      <c r="AT38" s="42" t="s">
        <v>93</v>
      </c>
      <c r="AU38" s="59" t="s">
        <v>97</v>
      </c>
      <c r="AV38" s="40" t="s">
        <v>50</v>
      </c>
      <c r="AW38" s="62" t="s">
        <v>104</v>
      </c>
      <c r="AX38" s="172">
        <v>2022.0</v>
      </c>
      <c r="AY38" s="172">
        <v>0.2</v>
      </c>
      <c r="AZ38" s="45" t="s">
        <v>93</v>
      </c>
      <c r="BA38" s="71" t="s">
        <v>63</v>
      </c>
      <c r="BB38" s="56" t="s">
        <v>100</v>
      </c>
      <c r="BC38" s="59" t="s">
        <v>97</v>
      </c>
      <c r="BD38" s="40" t="s">
        <v>107</v>
      </c>
      <c r="BE38" s="42" t="s">
        <v>93</v>
      </c>
      <c r="BF38" s="169"/>
      <c r="BG38" s="23"/>
      <c r="BH38" s="23"/>
      <c r="BI38" s="23"/>
      <c r="BJ38" s="23"/>
      <c r="BK38" s="23"/>
      <c r="BL38" s="23"/>
    </row>
    <row r="39" ht="12.0" customHeight="1">
      <c r="A39" s="66">
        <v>46228.451781689815</v>
      </c>
      <c r="B39" s="67" t="s">
        <v>85</v>
      </c>
      <c r="C39" s="67" t="s">
        <v>235</v>
      </c>
      <c r="D39" s="67">
        <v>35.0</v>
      </c>
      <c r="E39" s="67" t="s">
        <v>125</v>
      </c>
      <c r="F39" s="67" t="s">
        <v>172</v>
      </c>
      <c r="G39" s="67" t="s">
        <v>221</v>
      </c>
      <c r="H39" s="67">
        <v>269.0</v>
      </c>
      <c r="I39" s="133" t="s">
        <v>236</v>
      </c>
      <c r="J39" s="71" t="s">
        <v>63</v>
      </c>
      <c r="K39" s="72" t="s">
        <v>98</v>
      </c>
      <c r="L39" s="42" t="s">
        <v>92</v>
      </c>
      <c r="M39" s="73">
        <v>5.5</v>
      </c>
      <c r="N39" s="45" t="s">
        <v>93</v>
      </c>
      <c r="O39" s="47" t="s">
        <v>94</v>
      </c>
      <c r="P39" s="48" t="s">
        <v>95</v>
      </c>
      <c r="Q39" s="48" t="s">
        <v>96</v>
      </c>
      <c r="R39" s="159" t="s">
        <v>96</v>
      </c>
      <c r="S39" s="56" t="s">
        <v>100</v>
      </c>
      <c r="T39" s="67" t="s">
        <v>212</v>
      </c>
      <c r="U39" s="78"/>
      <c r="V39" s="78"/>
      <c r="W39" s="78"/>
      <c r="X39" s="78"/>
      <c r="Y39" s="81"/>
      <c r="Z39" s="54" t="s">
        <v>99</v>
      </c>
      <c r="AA39" s="48" t="s">
        <v>95</v>
      </c>
      <c r="AB39" s="48" t="s">
        <v>96</v>
      </c>
      <c r="AC39" s="159" t="s">
        <v>96</v>
      </c>
      <c r="AD39" s="56" t="s">
        <v>100</v>
      </c>
      <c r="AE39" s="50" t="s">
        <v>97</v>
      </c>
      <c r="AF39" s="78"/>
      <c r="AG39" s="78"/>
      <c r="AH39" s="78"/>
      <c r="AI39" s="78"/>
      <c r="AJ39" s="81"/>
      <c r="AK39" s="47" t="s">
        <v>94</v>
      </c>
      <c r="AL39" s="42" t="s">
        <v>103</v>
      </c>
      <c r="AM39" s="67">
        <v>1.1</v>
      </c>
      <c r="AN39" s="67">
        <v>2022.0</v>
      </c>
      <c r="AO39" s="42" t="s">
        <v>93</v>
      </c>
      <c r="AP39" s="59" t="s">
        <v>97</v>
      </c>
      <c r="AQ39" s="54" t="s">
        <v>99</v>
      </c>
      <c r="AR39" s="67">
        <v>1.1</v>
      </c>
      <c r="AS39" s="67">
        <v>2022.0</v>
      </c>
      <c r="AT39" s="42" t="s">
        <v>93</v>
      </c>
      <c r="AU39" s="59" t="s">
        <v>97</v>
      </c>
      <c r="AV39" s="40" t="s">
        <v>50</v>
      </c>
      <c r="AW39" s="62" t="s">
        <v>104</v>
      </c>
      <c r="AX39" s="67">
        <v>2022.0</v>
      </c>
      <c r="AY39" s="67">
        <v>0.15</v>
      </c>
      <c r="AZ39" s="45" t="s">
        <v>93</v>
      </c>
      <c r="BA39" s="71" t="s">
        <v>63</v>
      </c>
      <c r="BB39" s="48" t="s">
        <v>96</v>
      </c>
      <c r="BC39" s="59" t="s">
        <v>97</v>
      </c>
      <c r="BD39" s="40" t="s">
        <v>107</v>
      </c>
      <c r="BE39" s="42" t="s">
        <v>93</v>
      </c>
      <c r="BF39" s="78"/>
      <c r="BG39" s="23"/>
      <c r="BH39" s="23"/>
      <c r="BI39" s="23"/>
      <c r="BJ39" s="23"/>
      <c r="BK39" s="23"/>
      <c r="BL39" s="23"/>
    </row>
    <row r="40" ht="12.0" customHeight="1">
      <c r="A40" s="66">
        <v>46228.45417690973</v>
      </c>
      <c r="B40" s="67" t="s">
        <v>85</v>
      </c>
      <c r="C40" s="78"/>
      <c r="D40" s="67">
        <v>37.0</v>
      </c>
      <c r="E40" s="67" t="s">
        <v>125</v>
      </c>
      <c r="F40" s="67" t="s">
        <v>237</v>
      </c>
      <c r="G40" s="67" t="s">
        <v>221</v>
      </c>
      <c r="H40" s="67">
        <v>45.0</v>
      </c>
      <c r="I40" s="95" t="s">
        <v>238</v>
      </c>
      <c r="J40" s="71" t="s">
        <v>63</v>
      </c>
      <c r="K40" s="72" t="s">
        <v>98</v>
      </c>
      <c r="L40" s="42" t="s">
        <v>92</v>
      </c>
      <c r="M40" s="73">
        <v>2.8</v>
      </c>
      <c r="N40" s="45" t="s">
        <v>93</v>
      </c>
      <c r="O40" s="75" t="s">
        <v>115</v>
      </c>
      <c r="P40" s="150" t="s">
        <v>136</v>
      </c>
      <c r="Q40" s="119">
        <v>0.0</v>
      </c>
      <c r="R40" s="151" t="s">
        <v>58</v>
      </c>
      <c r="S40" s="150" t="s">
        <v>136</v>
      </c>
      <c r="T40" s="50" t="s">
        <v>97</v>
      </c>
      <c r="U40" s="78"/>
      <c r="V40" s="78"/>
      <c r="W40" s="78"/>
      <c r="X40" s="78"/>
      <c r="Y40" s="81"/>
      <c r="Z40" s="83" t="s">
        <v>119</v>
      </c>
      <c r="AA40" s="150" t="s">
        <v>136</v>
      </c>
      <c r="AB40" s="120">
        <v>0.0</v>
      </c>
      <c r="AC40" s="151" t="s">
        <v>58</v>
      </c>
      <c r="AD40" s="48" t="s">
        <v>96</v>
      </c>
      <c r="AE40" s="50" t="s">
        <v>97</v>
      </c>
      <c r="AF40" s="78"/>
      <c r="AG40" s="78"/>
      <c r="AH40" s="78"/>
      <c r="AI40" s="78"/>
      <c r="AJ40" s="81"/>
      <c r="AK40" s="75" t="s">
        <v>115</v>
      </c>
      <c r="AL40" s="42" t="s">
        <v>103</v>
      </c>
      <c r="AM40" s="67">
        <v>0.8</v>
      </c>
      <c r="AN40" s="67">
        <v>2022.0</v>
      </c>
      <c r="AO40" s="42" t="s">
        <v>93</v>
      </c>
      <c r="AP40" s="59" t="s">
        <v>97</v>
      </c>
      <c r="AQ40" s="83" t="s">
        <v>119</v>
      </c>
      <c r="AR40" s="67">
        <v>0.8</v>
      </c>
      <c r="AS40" s="67">
        <v>2022.0</v>
      </c>
      <c r="AT40" s="42" t="s">
        <v>93</v>
      </c>
      <c r="AU40" s="59" t="s">
        <v>97</v>
      </c>
      <c r="AV40" s="40" t="s">
        <v>50</v>
      </c>
      <c r="AW40" s="62" t="s">
        <v>104</v>
      </c>
      <c r="AX40" s="67">
        <v>2022.0</v>
      </c>
      <c r="AY40" s="67">
        <v>0.15</v>
      </c>
      <c r="AZ40" s="45" t="s">
        <v>93</v>
      </c>
      <c r="BA40" s="71" t="s">
        <v>63</v>
      </c>
      <c r="BB40" s="56" t="s">
        <v>100</v>
      </c>
      <c r="BC40" s="59" t="s">
        <v>97</v>
      </c>
      <c r="BD40" s="40" t="s">
        <v>107</v>
      </c>
      <c r="BE40" s="42" t="s">
        <v>93</v>
      </c>
      <c r="BF40" s="78"/>
      <c r="BG40" s="23"/>
      <c r="BH40" s="23"/>
      <c r="BI40" s="23"/>
      <c r="BJ40" s="23"/>
      <c r="BK40" s="23"/>
      <c r="BL40" s="23"/>
    </row>
    <row r="41" ht="12.0" customHeight="1">
      <c r="A41" s="66">
        <v>46228.45621819445</v>
      </c>
      <c r="B41" s="67" t="s">
        <v>85</v>
      </c>
      <c r="C41" s="78"/>
      <c r="D41" s="36">
        <v>39.0</v>
      </c>
      <c r="E41" s="67" t="s">
        <v>87</v>
      </c>
      <c r="F41" s="67" t="s">
        <v>239</v>
      </c>
      <c r="G41" s="67" t="s">
        <v>221</v>
      </c>
      <c r="H41" s="67">
        <v>42.0</v>
      </c>
      <c r="I41" s="95" t="s">
        <v>240</v>
      </c>
      <c r="J41" s="71" t="s">
        <v>63</v>
      </c>
      <c r="K41" s="72" t="s">
        <v>98</v>
      </c>
      <c r="L41" s="42" t="s">
        <v>92</v>
      </c>
      <c r="M41" s="73">
        <v>2.8</v>
      </c>
      <c r="N41" s="45" t="s">
        <v>93</v>
      </c>
      <c r="O41" s="75" t="s">
        <v>115</v>
      </c>
      <c r="P41" s="150" t="s">
        <v>136</v>
      </c>
      <c r="Q41" s="119">
        <v>0.0</v>
      </c>
      <c r="R41" s="151" t="s">
        <v>58</v>
      </c>
      <c r="S41" s="150" t="s">
        <v>136</v>
      </c>
      <c r="T41" s="50" t="s">
        <v>97</v>
      </c>
      <c r="U41" s="78"/>
      <c r="V41" s="78"/>
      <c r="W41" s="78"/>
      <c r="X41" s="78"/>
      <c r="Y41" s="81"/>
      <c r="Z41" s="83" t="s">
        <v>119</v>
      </c>
      <c r="AA41" s="150" t="s">
        <v>136</v>
      </c>
      <c r="AB41" s="120">
        <v>0.0</v>
      </c>
      <c r="AC41" s="151" t="s">
        <v>58</v>
      </c>
      <c r="AD41" s="150" t="s">
        <v>136</v>
      </c>
      <c r="AE41" s="50" t="s">
        <v>97</v>
      </c>
      <c r="AF41" s="78"/>
      <c r="AG41" s="78"/>
      <c r="AH41" s="78"/>
      <c r="AI41" s="78"/>
      <c r="AJ41" s="81"/>
      <c r="AK41" s="75" t="s">
        <v>115</v>
      </c>
      <c r="AL41" s="42" t="s">
        <v>103</v>
      </c>
      <c r="AM41" s="67">
        <v>0.8</v>
      </c>
      <c r="AN41" s="67">
        <v>2022.0</v>
      </c>
      <c r="AO41" s="42" t="s">
        <v>93</v>
      </c>
      <c r="AP41" s="59" t="s">
        <v>97</v>
      </c>
      <c r="AQ41" s="83" t="s">
        <v>119</v>
      </c>
      <c r="AR41" s="67">
        <v>0.8</v>
      </c>
      <c r="AS41" s="67">
        <v>2022.0</v>
      </c>
      <c r="AT41" s="42" t="s">
        <v>93</v>
      </c>
      <c r="AU41" s="59" t="s">
        <v>97</v>
      </c>
      <c r="AV41" s="40" t="s">
        <v>50</v>
      </c>
      <c r="AW41" s="62" t="s">
        <v>104</v>
      </c>
      <c r="AX41" s="67">
        <v>2022.0</v>
      </c>
      <c r="AY41" s="67">
        <v>0.15</v>
      </c>
      <c r="AZ41" s="45" t="s">
        <v>93</v>
      </c>
      <c r="BA41" s="71" t="s">
        <v>63</v>
      </c>
      <c r="BB41" s="56" t="s">
        <v>100</v>
      </c>
      <c r="BC41" s="59" t="s">
        <v>97</v>
      </c>
      <c r="BD41" s="40" t="s">
        <v>107</v>
      </c>
      <c r="BE41" s="42" t="s">
        <v>93</v>
      </c>
      <c r="BF41" s="78"/>
      <c r="BG41" s="23"/>
      <c r="BH41" s="23"/>
      <c r="BI41" s="23"/>
      <c r="BJ41" s="23"/>
      <c r="BK41" s="23"/>
      <c r="BL41" s="23"/>
    </row>
    <row r="42" ht="12.0" customHeight="1">
      <c r="A42" s="66">
        <v>46228.45792206019</v>
      </c>
      <c r="B42" s="67" t="s">
        <v>85</v>
      </c>
      <c r="C42" s="78"/>
      <c r="D42" s="67">
        <v>40.0</v>
      </c>
      <c r="E42" s="67" t="s">
        <v>87</v>
      </c>
      <c r="F42" s="67" t="s">
        <v>241</v>
      </c>
      <c r="G42" s="67" t="s">
        <v>221</v>
      </c>
      <c r="H42" s="67">
        <v>42.0</v>
      </c>
      <c r="I42" s="95" t="s">
        <v>242</v>
      </c>
      <c r="J42" s="71" t="s">
        <v>63</v>
      </c>
      <c r="K42" s="72" t="s">
        <v>98</v>
      </c>
      <c r="L42" s="42" t="s">
        <v>92</v>
      </c>
      <c r="M42" s="73">
        <v>2.8</v>
      </c>
      <c r="N42" s="45" t="s">
        <v>93</v>
      </c>
      <c r="O42" s="75" t="s">
        <v>115</v>
      </c>
      <c r="P42" s="150" t="s">
        <v>136</v>
      </c>
      <c r="Q42" s="119">
        <v>0.0</v>
      </c>
      <c r="R42" s="151" t="s">
        <v>58</v>
      </c>
      <c r="S42" s="150" t="s">
        <v>136</v>
      </c>
      <c r="T42" s="50" t="s">
        <v>97</v>
      </c>
      <c r="U42" s="78"/>
      <c r="V42" s="78"/>
      <c r="W42" s="78"/>
      <c r="X42" s="78"/>
      <c r="Y42" s="81"/>
      <c r="Z42" s="83" t="s">
        <v>119</v>
      </c>
      <c r="AA42" s="150" t="s">
        <v>136</v>
      </c>
      <c r="AB42" s="120">
        <v>0.0</v>
      </c>
      <c r="AC42" s="151" t="s">
        <v>58</v>
      </c>
      <c r="AD42" s="150" t="s">
        <v>136</v>
      </c>
      <c r="AE42" s="50" t="s">
        <v>97</v>
      </c>
      <c r="AF42" s="78"/>
      <c r="AG42" s="78"/>
      <c r="AH42" s="78"/>
      <c r="AI42" s="78"/>
      <c r="AJ42" s="81"/>
      <c r="AK42" s="75" t="s">
        <v>115</v>
      </c>
      <c r="AL42" s="42" t="s">
        <v>103</v>
      </c>
      <c r="AM42" s="67">
        <v>0.8</v>
      </c>
      <c r="AN42" s="67">
        <v>2022.0</v>
      </c>
      <c r="AO42" s="42" t="s">
        <v>93</v>
      </c>
      <c r="AP42" s="59" t="s">
        <v>97</v>
      </c>
      <c r="AQ42" s="83" t="s">
        <v>119</v>
      </c>
      <c r="AR42" s="67">
        <v>0.8</v>
      </c>
      <c r="AS42" s="67">
        <v>2022.0</v>
      </c>
      <c r="AT42" s="42" t="s">
        <v>93</v>
      </c>
      <c r="AU42" s="59" t="s">
        <v>97</v>
      </c>
      <c r="AV42" s="40" t="s">
        <v>50</v>
      </c>
      <c r="AW42" s="62" t="s">
        <v>104</v>
      </c>
      <c r="AX42" s="67">
        <v>2022.0</v>
      </c>
      <c r="AY42" s="67">
        <v>0.15</v>
      </c>
      <c r="AZ42" s="45" t="s">
        <v>93</v>
      </c>
      <c r="BA42" s="71" t="s">
        <v>63</v>
      </c>
      <c r="BB42" s="56" t="s">
        <v>100</v>
      </c>
      <c r="BC42" s="59" t="s">
        <v>97</v>
      </c>
      <c r="BD42" s="40" t="s">
        <v>107</v>
      </c>
      <c r="BE42" s="42" t="s">
        <v>93</v>
      </c>
      <c r="BF42" s="78"/>
      <c r="BG42" s="23"/>
      <c r="BH42" s="23"/>
      <c r="BI42" s="23"/>
      <c r="BJ42" s="23"/>
      <c r="BK42" s="23"/>
      <c r="BL42" s="23"/>
    </row>
    <row r="43" ht="12.0" customHeight="1">
      <c r="A43" s="66">
        <v>46228.45993303241</v>
      </c>
      <c r="B43" s="67" t="s">
        <v>85</v>
      </c>
      <c r="C43" s="78"/>
      <c r="D43" s="36">
        <v>41.0</v>
      </c>
      <c r="E43" s="67" t="s">
        <v>87</v>
      </c>
      <c r="F43" s="67" t="s">
        <v>243</v>
      </c>
      <c r="G43" s="67" t="s">
        <v>221</v>
      </c>
      <c r="H43" s="67">
        <v>42.0</v>
      </c>
      <c r="I43" s="95" t="s">
        <v>244</v>
      </c>
      <c r="J43" s="71" t="s">
        <v>63</v>
      </c>
      <c r="K43" s="72" t="s">
        <v>98</v>
      </c>
      <c r="L43" s="42" t="s">
        <v>92</v>
      </c>
      <c r="M43" s="73">
        <v>2.8</v>
      </c>
      <c r="N43" s="45" t="s">
        <v>93</v>
      </c>
      <c r="O43" s="75" t="s">
        <v>115</v>
      </c>
      <c r="P43" s="150" t="s">
        <v>136</v>
      </c>
      <c r="Q43" s="119">
        <v>0.0</v>
      </c>
      <c r="R43" s="151" t="s">
        <v>58</v>
      </c>
      <c r="S43" s="150" t="s">
        <v>136</v>
      </c>
      <c r="T43" s="50" t="s">
        <v>97</v>
      </c>
      <c r="U43" s="78"/>
      <c r="V43" s="78"/>
      <c r="W43" s="78"/>
      <c r="X43" s="78"/>
      <c r="Y43" s="81"/>
      <c r="Z43" s="83" t="s">
        <v>119</v>
      </c>
      <c r="AA43" s="150" t="s">
        <v>136</v>
      </c>
      <c r="AB43" s="120">
        <v>0.0</v>
      </c>
      <c r="AC43" s="151" t="s">
        <v>58</v>
      </c>
      <c r="AD43" s="150" t="s">
        <v>136</v>
      </c>
      <c r="AE43" s="50" t="s">
        <v>97</v>
      </c>
      <c r="AF43" s="78"/>
      <c r="AG43" s="78"/>
      <c r="AH43" s="78"/>
      <c r="AI43" s="78"/>
      <c r="AJ43" s="81"/>
      <c r="AK43" s="75" t="s">
        <v>115</v>
      </c>
      <c r="AL43" s="42" t="s">
        <v>103</v>
      </c>
      <c r="AM43" s="67">
        <v>0.8</v>
      </c>
      <c r="AN43" s="67">
        <v>2022.0</v>
      </c>
      <c r="AO43" s="42" t="s">
        <v>93</v>
      </c>
      <c r="AP43" s="59" t="s">
        <v>97</v>
      </c>
      <c r="AQ43" s="83" t="s">
        <v>119</v>
      </c>
      <c r="AR43" s="67">
        <v>0.8</v>
      </c>
      <c r="AS43" s="67">
        <v>2022.0</v>
      </c>
      <c r="AT43" s="42" t="s">
        <v>93</v>
      </c>
      <c r="AU43" s="59" t="s">
        <v>97</v>
      </c>
      <c r="AV43" s="40" t="s">
        <v>50</v>
      </c>
      <c r="AW43" s="62" t="s">
        <v>104</v>
      </c>
      <c r="AX43" s="67">
        <v>2022.0</v>
      </c>
      <c r="AY43" s="67">
        <v>0.15</v>
      </c>
      <c r="AZ43" s="45" t="s">
        <v>93</v>
      </c>
      <c r="BA43" s="71" t="s">
        <v>63</v>
      </c>
      <c r="BB43" s="56" t="s">
        <v>100</v>
      </c>
      <c r="BC43" s="59" t="s">
        <v>97</v>
      </c>
      <c r="BD43" s="40" t="s">
        <v>107</v>
      </c>
      <c r="BE43" s="42" t="s">
        <v>93</v>
      </c>
      <c r="BF43" s="78"/>
      <c r="BG43" s="23"/>
      <c r="BH43" s="23"/>
      <c r="BI43" s="23"/>
      <c r="BJ43" s="23"/>
      <c r="BK43" s="23"/>
      <c r="BL43" s="23"/>
    </row>
    <row r="44" ht="12.0" customHeight="1">
      <c r="A44" s="66">
        <v>46228.462495405096</v>
      </c>
      <c r="B44" s="67" t="s">
        <v>85</v>
      </c>
      <c r="C44" s="78"/>
      <c r="D44" s="67">
        <v>42.0</v>
      </c>
      <c r="E44" s="67" t="s">
        <v>125</v>
      </c>
      <c r="F44" s="67" t="s">
        <v>245</v>
      </c>
      <c r="G44" s="67" t="s">
        <v>221</v>
      </c>
      <c r="H44" s="67">
        <v>42.0</v>
      </c>
      <c r="I44" s="95" t="s">
        <v>246</v>
      </c>
      <c r="J44" s="71" t="s">
        <v>63</v>
      </c>
      <c r="K44" s="72" t="s">
        <v>98</v>
      </c>
      <c r="L44" s="42" t="s">
        <v>92</v>
      </c>
      <c r="M44" s="73">
        <v>2.8</v>
      </c>
      <c r="N44" s="45" t="s">
        <v>93</v>
      </c>
      <c r="O44" s="75" t="s">
        <v>115</v>
      </c>
      <c r="P44" s="150" t="s">
        <v>136</v>
      </c>
      <c r="Q44" s="119">
        <v>0.0</v>
      </c>
      <c r="R44" s="151" t="s">
        <v>58</v>
      </c>
      <c r="S44" s="150" t="s">
        <v>136</v>
      </c>
      <c r="T44" s="50" t="s">
        <v>97</v>
      </c>
      <c r="U44" s="78"/>
      <c r="V44" s="78"/>
      <c r="W44" s="78"/>
      <c r="X44" s="78"/>
      <c r="Y44" s="81"/>
      <c r="Z44" s="83" t="s">
        <v>119</v>
      </c>
      <c r="AA44" s="150" t="s">
        <v>136</v>
      </c>
      <c r="AB44" s="120">
        <v>0.0</v>
      </c>
      <c r="AC44" s="151" t="s">
        <v>58</v>
      </c>
      <c r="AD44" s="150" t="s">
        <v>136</v>
      </c>
      <c r="AE44" s="50" t="s">
        <v>97</v>
      </c>
      <c r="AF44" s="78"/>
      <c r="AG44" s="78"/>
      <c r="AH44" s="78"/>
      <c r="AI44" s="78"/>
      <c r="AJ44" s="81"/>
      <c r="AK44" s="75" t="s">
        <v>115</v>
      </c>
      <c r="AL44" s="42" t="s">
        <v>103</v>
      </c>
      <c r="AM44" s="67">
        <v>0.8</v>
      </c>
      <c r="AN44" s="67">
        <v>2022.0</v>
      </c>
      <c r="AO44" s="42" t="s">
        <v>93</v>
      </c>
      <c r="AP44" s="59" t="s">
        <v>97</v>
      </c>
      <c r="AQ44" s="83" t="s">
        <v>119</v>
      </c>
      <c r="AR44" s="67">
        <v>0.8</v>
      </c>
      <c r="AS44" s="67">
        <v>2022.0</v>
      </c>
      <c r="AT44" s="42" t="s">
        <v>93</v>
      </c>
      <c r="AU44" s="59" t="s">
        <v>97</v>
      </c>
      <c r="AV44" s="40" t="s">
        <v>50</v>
      </c>
      <c r="AW44" s="62" t="s">
        <v>104</v>
      </c>
      <c r="AX44" s="67">
        <v>2022.0</v>
      </c>
      <c r="AY44" s="67">
        <v>0.15</v>
      </c>
      <c r="AZ44" s="45" t="s">
        <v>93</v>
      </c>
      <c r="BA44" s="71" t="s">
        <v>63</v>
      </c>
      <c r="BB44" s="56" t="s">
        <v>100</v>
      </c>
      <c r="BC44" s="59" t="s">
        <v>97</v>
      </c>
      <c r="BD44" s="40" t="s">
        <v>107</v>
      </c>
      <c r="BE44" s="42" t="s">
        <v>93</v>
      </c>
      <c r="BF44" s="78"/>
      <c r="BG44" s="23"/>
      <c r="BH44" s="23"/>
      <c r="BI44" s="23"/>
      <c r="BJ44" s="23"/>
      <c r="BK44" s="23"/>
      <c r="BL44" s="23"/>
    </row>
    <row r="45" ht="12.0" customHeight="1">
      <c r="A45" s="66">
        <v>46228.46448525463</v>
      </c>
      <c r="B45" s="67" t="s">
        <v>85</v>
      </c>
      <c r="C45" s="78"/>
      <c r="D45" s="67">
        <v>43.0</v>
      </c>
      <c r="E45" s="67" t="s">
        <v>87</v>
      </c>
      <c r="F45" s="67" t="s">
        <v>247</v>
      </c>
      <c r="G45" s="67" t="s">
        <v>221</v>
      </c>
      <c r="H45" s="67">
        <v>42.0</v>
      </c>
      <c r="I45" s="133" t="s">
        <v>248</v>
      </c>
      <c r="J45" s="71" t="s">
        <v>63</v>
      </c>
      <c r="K45" s="72" t="s">
        <v>98</v>
      </c>
      <c r="L45" s="42" t="s">
        <v>92</v>
      </c>
      <c r="M45" s="73">
        <v>2.8</v>
      </c>
      <c r="N45" s="45" t="s">
        <v>93</v>
      </c>
      <c r="O45" s="75" t="s">
        <v>115</v>
      </c>
      <c r="P45" s="150" t="s">
        <v>136</v>
      </c>
      <c r="Q45" s="119">
        <v>0.0</v>
      </c>
      <c r="R45" s="151" t="s">
        <v>58</v>
      </c>
      <c r="S45" s="150" t="s">
        <v>136</v>
      </c>
      <c r="T45" s="50" t="s">
        <v>97</v>
      </c>
      <c r="U45" s="78"/>
      <c r="V45" s="78"/>
      <c r="W45" s="78"/>
      <c r="X45" s="78"/>
      <c r="Y45" s="81"/>
      <c r="Z45" s="83" t="s">
        <v>119</v>
      </c>
      <c r="AA45" s="150" t="s">
        <v>136</v>
      </c>
      <c r="AB45" s="120">
        <v>0.0</v>
      </c>
      <c r="AC45" s="151" t="s">
        <v>58</v>
      </c>
      <c r="AD45" s="150" t="s">
        <v>136</v>
      </c>
      <c r="AE45" s="50" t="s">
        <v>97</v>
      </c>
      <c r="AF45" s="78"/>
      <c r="AG45" s="78"/>
      <c r="AH45" s="78"/>
      <c r="AI45" s="78"/>
      <c r="AJ45" s="81"/>
      <c r="AK45" s="75" t="s">
        <v>115</v>
      </c>
      <c r="AL45" s="42" t="s">
        <v>103</v>
      </c>
      <c r="AM45" s="67">
        <v>0.8</v>
      </c>
      <c r="AN45" s="67">
        <v>2022.0</v>
      </c>
      <c r="AO45" s="42" t="s">
        <v>93</v>
      </c>
      <c r="AP45" s="59" t="s">
        <v>97</v>
      </c>
      <c r="AQ45" s="83" t="s">
        <v>119</v>
      </c>
      <c r="AR45" s="67">
        <v>0.8</v>
      </c>
      <c r="AS45" s="67">
        <v>2022.0</v>
      </c>
      <c r="AT45" s="42" t="s">
        <v>93</v>
      </c>
      <c r="AU45" s="59" t="s">
        <v>97</v>
      </c>
      <c r="AV45" s="40" t="s">
        <v>50</v>
      </c>
      <c r="AW45" s="62" t="s">
        <v>104</v>
      </c>
      <c r="AX45" s="67">
        <v>2022.0</v>
      </c>
      <c r="AY45" s="67">
        <v>0.15</v>
      </c>
      <c r="AZ45" s="45" t="s">
        <v>93</v>
      </c>
      <c r="BA45" s="71" t="s">
        <v>63</v>
      </c>
      <c r="BB45" s="56" t="s">
        <v>100</v>
      </c>
      <c r="BC45" s="59" t="s">
        <v>97</v>
      </c>
      <c r="BD45" s="40" t="s">
        <v>107</v>
      </c>
      <c r="BE45" s="42" t="s">
        <v>93</v>
      </c>
      <c r="BF45" s="78"/>
      <c r="BG45" s="23"/>
      <c r="BH45" s="23"/>
      <c r="BI45" s="23"/>
      <c r="BJ45" s="23"/>
      <c r="BK45" s="23"/>
      <c r="BL45" s="23"/>
    </row>
    <row r="46" ht="12.0" customHeight="1">
      <c r="A46" s="66">
        <v>46228.46619600695</v>
      </c>
      <c r="B46" s="67" t="s">
        <v>85</v>
      </c>
      <c r="C46" s="78"/>
      <c r="D46" s="67">
        <v>44.0</v>
      </c>
      <c r="E46" s="67" t="s">
        <v>125</v>
      </c>
      <c r="F46" s="67" t="s">
        <v>249</v>
      </c>
      <c r="G46" s="67" t="s">
        <v>221</v>
      </c>
      <c r="H46" s="67">
        <v>42.0</v>
      </c>
      <c r="I46" s="133" t="s">
        <v>250</v>
      </c>
      <c r="J46" s="71" t="s">
        <v>63</v>
      </c>
      <c r="K46" s="72" t="s">
        <v>98</v>
      </c>
      <c r="L46" s="42" t="s">
        <v>92</v>
      </c>
      <c r="M46" s="73">
        <v>2.8</v>
      </c>
      <c r="N46" s="45" t="s">
        <v>93</v>
      </c>
      <c r="O46" s="75" t="s">
        <v>115</v>
      </c>
      <c r="P46" s="150" t="s">
        <v>136</v>
      </c>
      <c r="Q46" s="119">
        <v>0.0</v>
      </c>
      <c r="R46" s="151" t="s">
        <v>58</v>
      </c>
      <c r="S46" s="150" t="s">
        <v>136</v>
      </c>
      <c r="T46" s="50" t="s">
        <v>97</v>
      </c>
      <c r="U46" s="78"/>
      <c r="V46" s="78"/>
      <c r="W46" s="78"/>
      <c r="X46" s="78"/>
      <c r="Y46" s="81"/>
      <c r="Z46" s="83" t="s">
        <v>119</v>
      </c>
      <c r="AA46" s="150" t="s">
        <v>136</v>
      </c>
      <c r="AB46" s="120">
        <v>0.0</v>
      </c>
      <c r="AC46" s="151" t="s">
        <v>58</v>
      </c>
      <c r="AD46" s="150" t="s">
        <v>136</v>
      </c>
      <c r="AE46" s="50" t="s">
        <v>97</v>
      </c>
      <c r="AF46" s="78"/>
      <c r="AG46" s="78"/>
      <c r="AH46" s="78"/>
      <c r="AI46" s="78"/>
      <c r="AJ46" s="81"/>
      <c r="AK46" s="75" t="s">
        <v>115</v>
      </c>
      <c r="AL46" s="42" t="s">
        <v>103</v>
      </c>
      <c r="AM46" s="67">
        <v>0.8</v>
      </c>
      <c r="AN46" s="67">
        <v>2022.0</v>
      </c>
      <c r="AO46" s="42" t="s">
        <v>93</v>
      </c>
      <c r="AP46" s="59" t="s">
        <v>97</v>
      </c>
      <c r="AQ46" s="83" t="s">
        <v>119</v>
      </c>
      <c r="AR46" s="67">
        <v>0.8</v>
      </c>
      <c r="AS46" s="67">
        <v>2022.0</v>
      </c>
      <c r="AT46" s="42" t="s">
        <v>93</v>
      </c>
      <c r="AU46" s="59" t="s">
        <v>97</v>
      </c>
      <c r="AV46" s="40" t="s">
        <v>50</v>
      </c>
      <c r="AW46" s="62" t="s">
        <v>104</v>
      </c>
      <c r="AX46" s="67">
        <v>2022.0</v>
      </c>
      <c r="AY46" s="67">
        <v>0.15</v>
      </c>
      <c r="AZ46" s="45" t="s">
        <v>93</v>
      </c>
      <c r="BA46" s="71" t="s">
        <v>63</v>
      </c>
      <c r="BB46" s="56" t="s">
        <v>100</v>
      </c>
      <c r="BC46" s="59" t="s">
        <v>97</v>
      </c>
      <c r="BD46" s="40" t="s">
        <v>107</v>
      </c>
      <c r="BE46" s="42" t="s">
        <v>93</v>
      </c>
      <c r="BF46" s="78"/>
      <c r="BG46" s="23"/>
      <c r="BH46" s="23"/>
      <c r="BI46" s="23"/>
      <c r="BJ46" s="23"/>
      <c r="BK46" s="23"/>
      <c r="BL46" s="23"/>
    </row>
    <row r="47" ht="12.0" customHeight="1">
      <c r="A47" s="66">
        <v>46228.468178333336</v>
      </c>
      <c r="B47" s="67" t="s">
        <v>85</v>
      </c>
      <c r="C47" s="78"/>
      <c r="D47" s="36">
        <v>45.0</v>
      </c>
      <c r="E47" s="67" t="s">
        <v>125</v>
      </c>
      <c r="F47" s="67" t="s">
        <v>251</v>
      </c>
      <c r="G47" s="67" t="s">
        <v>221</v>
      </c>
      <c r="H47" s="67">
        <v>42.0</v>
      </c>
      <c r="I47" s="95" t="s">
        <v>252</v>
      </c>
      <c r="J47" s="71" t="s">
        <v>63</v>
      </c>
      <c r="K47" s="72" t="s">
        <v>98</v>
      </c>
      <c r="L47" s="42" t="s">
        <v>92</v>
      </c>
      <c r="M47" s="73">
        <v>2.8</v>
      </c>
      <c r="N47" s="45" t="s">
        <v>93</v>
      </c>
      <c r="O47" s="75" t="s">
        <v>115</v>
      </c>
      <c r="P47" s="150" t="s">
        <v>136</v>
      </c>
      <c r="Q47" s="119">
        <v>0.0</v>
      </c>
      <c r="R47" s="151" t="s">
        <v>58</v>
      </c>
      <c r="S47" s="150" t="s">
        <v>136</v>
      </c>
      <c r="T47" s="50" t="s">
        <v>97</v>
      </c>
      <c r="U47" s="78"/>
      <c r="V47" s="78"/>
      <c r="W47" s="78"/>
      <c r="X47" s="78"/>
      <c r="Y47" s="81"/>
      <c r="Z47" s="83" t="s">
        <v>119</v>
      </c>
      <c r="AA47" s="150" t="s">
        <v>136</v>
      </c>
      <c r="AB47" s="120">
        <v>0.0</v>
      </c>
      <c r="AC47" s="151" t="s">
        <v>58</v>
      </c>
      <c r="AD47" s="150" t="s">
        <v>136</v>
      </c>
      <c r="AE47" s="50" t="s">
        <v>97</v>
      </c>
      <c r="AF47" s="78"/>
      <c r="AG47" s="78"/>
      <c r="AH47" s="78"/>
      <c r="AI47" s="78"/>
      <c r="AJ47" s="81"/>
      <c r="AK47" s="75" t="s">
        <v>115</v>
      </c>
      <c r="AL47" s="42" t="s">
        <v>103</v>
      </c>
      <c r="AM47" s="67">
        <v>0.8</v>
      </c>
      <c r="AN47" s="67">
        <v>2022.0</v>
      </c>
      <c r="AO47" s="42" t="s">
        <v>93</v>
      </c>
      <c r="AP47" s="59" t="s">
        <v>97</v>
      </c>
      <c r="AQ47" s="83" t="s">
        <v>119</v>
      </c>
      <c r="AR47" s="67">
        <v>0.8</v>
      </c>
      <c r="AS47" s="67">
        <v>2022.0</v>
      </c>
      <c r="AT47" s="42" t="s">
        <v>93</v>
      </c>
      <c r="AU47" s="59" t="s">
        <v>97</v>
      </c>
      <c r="AV47" s="40" t="s">
        <v>50</v>
      </c>
      <c r="AW47" s="62" t="s">
        <v>104</v>
      </c>
      <c r="AX47" s="67">
        <v>2022.0</v>
      </c>
      <c r="AY47" s="67">
        <v>0.15</v>
      </c>
      <c r="AZ47" s="45" t="s">
        <v>93</v>
      </c>
      <c r="BA47" s="71" t="s">
        <v>63</v>
      </c>
      <c r="BB47" s="56" t="s">
        <v>100</v>
      </c>
      <c r="BC47" s="59" t="s">
        <v>97</v>
      </c>
      <c r="BD47" s="40" t="s">
        <v>107</v>
      </c>
      <c r="BE47" s="42" t="s">
        <v>93</v>
      </c>
      <c r="BF47" s="78"/>
      <c r="BG47" s="23"/>
      <c r="BH47" s="23"/>
      <c r="BI47" s="23"/>
      <c r="BJ47" s="23"/>
      <c r="BK47" s="23"/>
      <c r="BL47" s="23"/>
    </row>
    <row r="48" ht="12.0" customHeight="1">
      <c r="A48" s="66">
        <v>46228.475538321756</v>
      </c>
      <c r="B48" s="67" t="s">
        <v>85</v>
      </c>
      <c r="C48" s="78"/>
      <c r="D48" s="67">
        <v>47.0</v>
      </c>
      <c r="E48" s="67" t="s">
        <v>87</v>
      </c>
      <c r="F48" s="67" t="s">
        <v>253</v>
      </c>
      <c r="G48" s="67" t="s">
        <v>221</v>
      </c>
      <c r="H48" s="67">
        <v>42.0</v>
      </c>
      <c r="I48" s="95" t="s">
        <v>254</v>
      </c>
      <c r="J48" s="71" t="s">
        <v>63</v>
      </c>
      <c r="K48" s="72" t="s">
        <v>98</v>
      </c>
      <c r="L48" s="42" t="s">
        <v>92</v>
      </c>
      <c r="M48" s="73">
        <v>3.2</v>
      </c>
      <c r="N48" s="45" t="s">
        <v>93</v>
      </c>
      <c r="O48" s="75" t="s">
        <v>115</v>
      </c>
      <c r="P48" s="150" t="s">
        <v>136</v>
      </c>
      <c r="Q48" s="119">
        <v>0.0</v>
      </c>
      <c r="R48" s="151" t="s">
        <v>58</v>
      </c>
      <c r="S48" s="150" t="s">
        <v>136</v>
      </c>
      <c r="T48" s="50" t="s">
        <v>97</v>
      </c>
      <c r="U48" s="78"/>
      <c r="V48" s="78"/>
      <c r="W48" s="78"/>
      <c r="X48" s="78"/>
      <c r="Y48" s="81"/>
      <c r="Z48" s="83" t="s">
        <v>119</v>
      </c>
      <c r="AA48" s="150" t="s">
        <v>136</v>
      </c>
      <c r="AB48" s="120">
        <v>0.0</v>
      </c>
      <c r="AC48" s="151" t="s">
        <v>58</v>
      </c>
      <c r="AD48" s="150" t="s">
        <v>136</v>
      </c>
      <c r="AE48" s="50" t="s">
        <v>97</v>
      </c>
      <c r="AF48" s="78"/>
      <c r="AG48" s="78"/>
      <c r="AH48" s="78"/>
      <c r="AI48" s="78"/>
      <c r="AJ48" s="81"/>
      <c r="AK48" s="75" t="s">
        <v>115</v>
      </c>
      <c r="AL48" s="42" t="s">
        <v>103</v>
      </c>
      <c r="AM48" s="67">
        <v>0.8</v>
      </c>
      <c r="AN48" s="67">
        <v>2022.0</v>
      </c>
      <c r="AO48" s="42" t="s">
        <v>93</v>
      </c>
      <c r="AP48" s="59" t="s">
        <v>97</v>
      </c>
      <c r="AQ48" s="83" t="s">
        <v>119</v>
      </c>
      <c r="AR48" s="67">
        <v>0.8</v>
      </c>
      <c r="AS48" s="67">
        <v>2022.0</v>
      </c>
      <c r="AT48" s="42" t="s">
        <v>93</v>
      </c>
      <c r="AU48" s="59" t="s">
        <v>97</v>
      </c>
      <c r="AV48" s="40" t="s">
        <v>50</v>
      </c>
      <c r="AW48" s="62" t="s">
        <v>104</v>
      </c>
      <c r="AX48" s="67">
        <v>2022.0</v>
      </c>
      <c r="AY48" s="67">
        <v>0.15</v>
      </c>
      <c r="AZ48" s="45" t="s">
        <v>93</v>
      </c>
      <c r="BA48" s="71" t="s">
        <v>63</v>
      </c>
      <c r="BB48" s="56" t="s">
        <v>100</v>
      </c>
      <c r="BC48" s="59" t="s">
        <v>97</v>
      </c>
      <c r="BD48" s="40" t="s">
        <v>107</v>
      </c>
      <c r="BE48" s="42" t="s">
        <v>93</v>
      </c>
      <c r="BF48" s="78"/>
      <c r="BG48" s="23"/>
      <c r="BH48" s="23"/>
      <c r="BI48" s="23"/>
      <c r="BJ48" s="23"/>
      <c r="BK48" s="23"/>
      <c r="BL48" s="23"/>
    </row>
    <row r="49" ht="12.0" customHeight="1">
      <c r="A49" s="66">
        <v>46228.480440960644</v>
      </c>
      <c r="B49" s="67" t="s">
        <v>85</v>
      </c>
      <c r="C49" s="78"/>
      <c r="D49" s="36">
        <v>48.0</v>
      </c>
      <c r="E49" s="67" t="s">
        <v>87</v>
      </c>
      <c r="F49" s="67" t="s">
        <v>255</v>
      </c>
      <c r="G49" s="67" t="s">
        <v>221</v>
      </c>
      <c r="H49" s="67">
        <v>42.0</v>
      </c>
      <c r="I49" s="95" t="s">
        <v>256</v>
      </c>
      <c r="J49" s="71" t="s">
        <v>63</v>
      </c>
      <c r="K49" s="72" t="s">
        <v>98</v>
      </c>
      <c r="L49" s="42" t="s">
        <v>92</v>
      </c>
      <c r="M49" s="73">
        <v>3.2</v>
      </c>
      <c r="N49" s="45" t="s">
        <v>93</v>
      </c>
      <c r="O49" s="75" t="s">
        <v>115</v>
      </c>
      <c r="P49" s="150" t="s">
        <v>136</v>
      </c>
      <c r="Q49" s="119">
        <v>0.0</v>
      </c>
      <c r="R49" s="151" t="s">
        <v>58</v>
      </c>
      <c r="S49" s="150" t="s">
        <v>136</v>
      </c>
      <c r="T49" s="50" t="s">
        <v>97</v>
      </c>
      <c r="U49" s="78"/>
      <c r="V49" s="78"/>
      <c r="W49" s="78"/>
      <c r="X49" s="78"/>
      <c r="Y49" s="81"/>
      <c r="Z49" s="83" t="s">
        <v>119</v>
      </c>
      <c r="AA49" s="150" t="s">
        <v>136</v>
      </c>
      <c r="AB49" s="120">
        <v>0.0</v>
      </c>
      <c r="AC49" s="151" t="s">
        <v>58</v>
      </c>
      <c r="AD49" s="150" t="s">
        <v>136</v>
      </c>
      <c r="AE49" s="50" t="s">
        <v>97</v>
      </c>
      <c r="AF49" s="78"/>
      <c r="AG49" s="78"/>
      <c r="AH49" s="78"/>
      <c r="AI49" s="78"/>
      <c r="AJ49" s="81"/>
      <c r="AK49" s="75" t="s">
        <v>115</v>
      </c>
      <c r="AL49" s="42" t="s">
        <v>103</v>
      </c>
      <c r="AM49" s="67">
        <v>0.8</v>
      </c>
      <c r="AN49" s="67">
        <v>2022.0</v>
      </c>
      <c r="AO49" s="42" t="s">
        <v>93</v>
      </c>
      <c r="AP49" s="59" t="s">
        <v>97</v>
      </c>
      <c r="AQ49" s="83" t="s">
        <v>119</v>
      </c>
      <c r="AR49" s="67">
        <v>0.8</v>
      </c>
      <c r="AS49" s="67">
        <v>2022.0</v>
      </c>
      <c r="AT49" s="42" t="s">
        <v>93</v>
      </c>
      <c r="AU49" s="59" t="s">
        <v>97</v>
      </c>
      <c r="AV49" s="40" t="s">
        <v>50</v>
      </c>
      <c r="AW49" s="62" t="s">
        <v>104</v>
      </c>
      <c r="AX49" s="67">
        <v>2022.0</v>
      </c>
      <c r="AY49" s="67">
        <v>0.15</v>
      </c>
      <c r="AZ49" s="45" t="s">
        <v>93</v>
      </c>
      <c r="BA49" s="71" t="s">
        <v>63</v>
      </c>
      <c r="BB49" s="56" t="s">
        <v>100</v>
      </c>
      <c r="BC49" s="59" t="s">
        <v>97</v>
      </c>
      <c r="BD49" s="40" t="s">
        <v>107</v>
      </c>
      <c r="BE49" s="42" t="s">
        <v>93</v>
      </c>
      <c r="BF49" s="78"/>
      <c r="BG49" s="23"/>
      <c r="BH49" s="23"/>
      <c r="BI49" s="23"/>
      <c r="BJ49" s="23"/>
      <c r="BK49" s="23"/>
      <c r="BL49" s="23"/>
    </row>
    <row r="50" ht="12.0" customHeight="1">
      <c r="A50" s="66">
        <v>46228.48380369213</v>
      </c>
      <c r="B50" s="67" t="s">
        <v>85</v>
      </c>
      <c r="C50" s="78"/>
      <c r="D50" s="67">
        <v>50.0</v>
      </c>
      <c r="E50" s="67" t="s">
        <v>87</v>
      </c>
      <c r="F50" s="67" t="s">
        <v>257</v>
      </c>
      <c r="G50" s="67" t="s">
        <v>221</v>
      </c>
      <c r="H50" s="67">
        <v>42.0</v>
      </c>
      <c r="I50" s="95" t="s">
        <v>258</v>
      </c>
      <c r="J50" s="71" t="s">
        <v>63</v>
      </c>
      <c r="K50" s="72" t="s">
        <v>98</v>
      </c>
      <c r="L50" s="42" t="s">
        <v>92</v>
      </c>
      <c r="M50" s="73">
        <v>3.2</v>
      </c>
      <c r="N50" s="45" t="s">
        <v>93</v>
      </c>
      <c r="O50" s="75" t="s">
        <v>115</v>
      </c>
      <c r="P50" s="150" t="s">
        <v>136</v>
      </c>
      <c r="Q50" s="119">
        <v>0.0</v>
      </c>
      <c r="R50" s="151" t="s">
        <v>58</v>
      </c>
      <c r="S50" s="150" t="s">
        <v>136</v>
      </c>
      <c r="T50" s="50" t="s">
        <v>97</v>
      </c>
      <c r="U50" s="78"/>
      <c r="V50" s="78"/>
      <c r="W50" s="78"/>
      <c r="X50" s="78"/>
      <c r="Y50" s="81"/>
      <c r="Z50" s="83" t="s">
        <v>119</v>
      </c>
      <c r="AA50" s="150" t="s">
        <v>136</v>
      </c>
      <c r="AB50" s="120">
        <v>0.0</v>
      </c>
      <c r="AC50" s="151" t="s">
        <v>58</v>
      </c>
      <c r="AD50" s="150" t="s">
        <v>136</v>
      </c>
      <c r="AE50" s="50" t="s">
        <v>97</v>
      </c>
      <c r="AF50" s="78"/>
      <c r="AG50" s="78"/>
      <c r="AH50" s="78"/>
      <c r="AI50" s="78"/>
      <c r="AJ50" s="81"/>
      <c r="AK50" s="75" t="s">
        <v>115</v>
      </c>
      <c r="AL50" s="42" t="s">
        <v>103</v>
      </c>
      <c r="AM50" s="67">
        <v>0.8</v>
      </c>
      <c r="AN50" s="67">
        <v>2022.0</v>
      </c>
      <c r="AO50" s="42" t="s">
        <v>93</v>
      </c>
      <c r="AP50" s="59" t="s">
        <v>97</v>
      </c>
      <c r="AQ50" s="83" t="s">
        <v>119</v>
      </c>
      <c r="AR50" s="67">
        <v>0.8</v>
      </c>
      <c r="AS50" s="67">
        <v>2022.0</v>
      </c>
      <c r="AT50" s="42" t="s">
        <v>93</v>
      </c>
      <c r="AU50" s="59" t="s">
        <v>97</v>
      </c>
      <c r="AV50" s="40" t="s">
        <v>50</v>
      </c>
      <c r="AW50" s="62" t="s">
        <v>104</v>
      </c>
      <c r="AX50" s="67">
        <v>2022.0</v>
      </c>
      <c r="AY50" s="67">
        <v>0.15</v>
      </c>
      <c r="AZ50" s="45" t="s">
        <v>93</v>
      </c>
      <c r="BA50" s="71" t="s">
        <v>63</v>
      </c>
      <c r="BB50" s="56" t="s">
        <v>100</v>
      </c>
      <c r="BC50" s="59" t="s">
        <v>97</v>
      </c>
      <c r="BD50" s="40" t="s">
        <v>107</v>
      </c>
      <c r="BE50" s="42" t="s">
        <v>93</v>
      </c>
      <c r="BF50" s="78"/>
      <c r="BG50" s="23"/>
      <c r="BH50" s="23"/>
      <c r="BI50" s="23"/>
      <c r="BJ50" s="23"/>
      <c r="BK50" s="23"/>
      <c r="BL50" s="23"/>
    </row>
    <row r="51" ht="12.0" customHeight="1">
      <c r="A51" s="66">
        <v>46228.48532946759</v>
      </c>
      <c r="B51" s="67" t="s">
        <v>85</v>
      </c>
      <c r="C51" s="78"/>
      <c r="D51" s="36">
        <v>51.0</v>
      </c>
      <c r="E51" s="67" t="s">
        <v>87</v>
      </c>
      <c r="F51" s="67" t="s">
        <v>259</v>
      </c>
      <c r="G51" s="67" t="s">
        <v>221</v>
      </c>
      <c r="H51" s="67">
        <v>42.0</v>
      </c>
      <c r="I51" s="95" t="s">
        <v>260</v>
      </c>
      <c r="J51" s="71" t="s">
        <v>63</v>
      </c>
      <c r="K51" s="72" t="s">
        <v>98</v>
      </c>
      <c r="L51" s="42" t="s">
        <v>92</v>
      </c>
      <c r="M51" s="73">
        <v>3.2</v>
      </c>
      <c r="N51" s="45" t="s">
        <v>93</v>
      </c>
      <c r="O51" s="75" t="s">
        <v>115</v>
      </c>
      <c r="P51" s="150" t="s">
        <v>136</v>
      </c>
      <c r="Q51" s="119">
        <v>0.0</v>
      </c>
      <c r="R51" s="151" t="s">
        <v>58</v>
      </c>
      <c r="S51" s="150" t="s">
        <v>136</v>
      </c>
      <c r="T51" s="50" t="s">
        <v>97</v>
      </c>
      <c r="U51" s="78"/>
      <c r="V51" s="78"/>
      <c r="W51" s="78"/>
      <c r="X51" s="78"/>
      <c r="Y51" s="81"/>
      <c r="Z51" s="83" t="s">
        <v>119</v>
      </c>
      <c r="AA51" s="150" t="s">
        <v>136</v>
      </c>
      <c r="AB51" s="120">
        <v>0.0</v>
      </c>
      <c r="AC51" s="151" t="s">
        <v>58</v>
      </c>
      <c r="AD51" s="150" t="s">
        <v>136</v>
      </c>
      <c r="AE51" s="50" t="s">
        <v>97</v>
      </c>
      <c r="AF51" s="78"/>
      <c r="AG51" s="78"/>
      <c r="AH51" s="78"/>
      <c r="AI51" s="78"/>
      <c r="AJ51" s="81"/>
      <c r="AK51" s="75" t="s">
        <v>115</v>
      </c>
      <c r="AL51" s="42" t="s">
        <v>103</v>
      </c>
      <c r="AM51" s="67">
        <v>0.8</v>
      </c>
      <c r="AN51" s="67">
        <v>2022.0</v>
      </c>
      <c r="AO51" s="42" t="s">
        <v>93</v>
      </c>
      <c r="AP51" s="59" t="s">
        <v>97</v>
      </c>
      <c r="AQ51" s="83" t="s">
        <v>119</v>
      </c>
      <c r="AR51" s="67">
        <v>0.8</v>
      </c>
      <c r="AS51" s="67">
        <v>2022.0</v>
      </c>
      <c r="AT51" s="42" t="s">
        <v>93</v>
      </c>
      <c r="AU51" s="59" t="s">
        <v>97</v>
      </c>
      <c r="AV51" s="40" t="s">
        <v>50</v>
      </c>
      <c r="AW51" s="62" t="s">
        <v>104</v>
      </c>
      <c r="AX51" s="67">
        <v>2022.0</v>
      </c>
      <c r="AY51" s="67">
        <v>0.15</v>
      </c>
      <c r="AZ51" s="45" t="s">
        <v>93</v>
      </c>
      <c r="BA51" s="71" t="s">
        <v>63</v>
      </c>
      <c r="BB51" s="56" t="s">
        <v>100</v>
      </c>
      <c r="BC51" s="59" t="s">
        <v>97</v>
      </c>
      <c r="BD51" s="40" t="s">
        <v>107</v>
      </c>
      <c r="BE51" s="42" t="s">
        <v>93</v>
      </c>
      <c r="BF51" s="78"/>
      <c r="BG51" s="23"/>
      <c r="BH51" s="23"/>
      <c r="BI51" s="23"/>
      <c r="BJ51" s="23"/>
      <c r="BK51" s="23"/>
      <c r="BL51" s="23"/>
    </row>
    <row r="52" ht="12.0" customHeight="1">
      <c r="A52" s="66">
        <v>46228.48683712963</v>
      </c>
      <c r="B52" s="67" t="s">
        <v>85</v>
      </c>
      <c r="C52" s="78"/>
      <c r="D52" s="67">
        <v>53.0</v>
      </c>
      <c r="E52" s="67" t="s">
        <v>87</v>
      </c>
      <c r="F52" s="67" t="s">
        <v>261</v>
      </c>
      <c r="G52" s="67" t="s">
        <v>221</v>
      </c>
      <c r="H52" s="67">
        <v>42.0</v>
      </c>
      <c r="I52" s="95" t="s">
        <v>262</v>
      </c>
      <c r="J52" s="71" t="s">
        <v>63</v>
      </c>
      <c r="K52" s="72" t="s">
        <v>98</v>
      </c>
      <c r="L52" s="42" t="s">
        <v>92</v>
      </c>
      <c r="M52" s="73">
        <v>3.2</v>
      </c>
      <c r="N52" s="45" t="s">
        <v>93</v>
      </c>
      <c r="O52" s="75" t="s">
        <v>115</v>
      </c>
      <c r="P52" s="150" t="s">
        <v>136</v>
      </c>
      <c r="Q52" s="119">
        <v>0.0</v>
      </c>
      <c r="R52" s="151" t="s">
        <v>58</v>
      </c>
      <c r="S52" s="150" t="s">
        <v>136</v>
      </c>
      <c r="T52" s="50" t="s">
        <v>97</v>
      </c>
      <c r="U52" s="78"/>
      <c r="V52" s="78"/>
      <c r="W52" s="78"/>
      <c r="X52" s="78"/>
      <c r="Y52" s="81"/>
      <c r="Z52" s="83" t="s">
        <v>119</v>
      </c>
      <c r="AA52" s="150" t="s">
        <v>136</v>
      </c>
      <c r="AB52" s="120">
        <v>0.0</v>
      </c>
      <c r="AC52" s="151" t="s">
        <v>58</v>
      </c>
      <c r="AD52" s="150" t="s">
        <v>136</v>
      </c>
      <c r="AE52" s="50" t="s">
        <v>97</v>
      </c>
      <c r="AF52" s="78"/>
      <c r="AG52" s="78"/>
      <c r="AH52" s="78"/>
      <c r="AI52" s="78"/>
      <c r="AJ52" s="81"/>
      <c r="AK52" s="75" t="s">
        <v>115</v>
      </c>
      <c r="AL52" s="42" t="s">
        <v>103</v>
      </c>
      <c r="AM52" s="67">
        <v>0.8</v>
      </c>
      <c r="AN52" s="67">
        <v>2022.0</v>
      </c>
      <c r="AO52" s="42" t="s">
        <v>93</v>
      </c>
      <c r="AP52" s="59" t="s">
        <v>97</v>
      </c>
      <c r="AQ52" s="83" t="s">
        <v>119</v>
      </c>
      <c r="AR52" s="67">
        <v>0.8</v>
      </c>
      <c r="AS52" s="67">
        <v>2022.0</v>
      </c>
      <c r="AT52" s="42" t="s">
        <v>93</v>
      </c>
      <c r="AU52" s="59" t="s">
        <v>97</v>
      </c>
      <c r="AV52" s="40" t="s">
        <v>50</v>
      </c>
      <c r="AW52" s="62" t="s">
        <v>104</v>
      </c>
      <c r="AX52" s="67">
        <v>2022.0</v>
      </c>
      <c r="AY52" s="67">
        <v>0.15</v>
      </c>
      <c r="AZ52" s="45" t="s">
        <v>93</v>
      </c>
      <c r="BA52" s="71" t="s">
        <v>63</v>
      </c>
      <c r="BB52" s="56" t="s">
        <v>100</v>
      </c>
      <c r="BC52" s="59" t="s">
        <v>97</v>
      </c>
      <c r="BD52" s="40" t="s">
        <v>107</v>
      </c>
      <c r="BE52" s="42" t="s">
        <v>93</v>
      </c>
      <c r="BF52" s="78"/>
      <c r="BG52" s="23"/>
      <c r="BH52" s="23"/>
      <c r="BI52" s="23"/>
      <c r="BJ52" s="23"/>
      <c r="BK52" s="23"/>
      <c r="BL52" s="23"/>
    </row>
    <row r="53" ht="12.0" customHeight="1">
      <c r="A53" s="66">
        <v>46228.48842717592</v>
      </c>
      <c r="B53" s="67" t="s">
        <v>85</v>
      </c>
      <c r="C53" s="78"/>
      <c r="D53" s="36">
        <v>54.0</v>
      </c>
      <c r="E53" s="67" t="s">
        <v>87</v>
      </c>
      <c r="F53" s="67" t="s">
        <v>263</v>
      </c>
      <c r="G53" s="67" t="s">
        <v>221</v>
      </c>
      <c r="H53" s="67">
        <v>42.0</v>
      </c>
      <c r="I53" s="95" t="s">
        <v>264</v>
      </c>
      <c r="J53" s="71" t="s">
        <v>63</v>
      </c>
      <c r="K53" s="72" t="s">
        <v>98</v>
      </c>
      <c r="L53" s="42" t="s">
        <v>92</v>
      </c>
      <c r="M53" s="73">
        <v>3.2</v>
      </c>
      <c r="N53" s="45" t="s">
        <v>93</v>
      </c>
      <c r="O53" s="75" t="s">
        <v>115</v>
      </c>
      <c r="P53" s="150" t="s">
        <v>136</v>
      </c>
      <c r="Q53" s="119">
        <v>0.0</v>
      </c>
      <c r="R53" s="151" t="s">
        <v>58</v>
      </c>
      <c r="S53" s="150" t="s">
        <v>136</v>
      </c>
      <c r="T53" s="50" t="s">
        <v>97</v>
      </c>
      <c r="U53" s="78"/>
      <c r="V53" s="78"/>
      <c r="W53" s="78"/>
      <c r="X53" s="78"/>
      <c r="Y53" s="81"/>
      <c r="Z53" s="83" t="s">
        <v>119</v>
      </c>
      <c r="AA53" s="150" t="s">
        <v>136</v>
      </c>
      <c r="AB53" s="120">
        <v>0.0</v>
      </c>
      <c r="AC53" s="151" t="s">
        <v>58</v>
      </c>
      <c r="AD53" s="150" t="s">
        <v>136</v>
      </c>
      <c r="AE53" s="50" t="s">
        <v>97</v>
      </c>
      <c r="AF53" s="78"/>
      <c r="AG53" s="78"/>
      <c r="AH53" s="78"/>
      <c r="AI53" s="78"/>
      <c r="AJ53" s="81"/>
      <c r="AK53" s="75" t="s">
        <v>115</v>
      </c>
      <c r="AL53" s="42" t="s">
        <v>103</v>
      </c>
      <c r="AM53" s="67">
        <v>0.8</v>
      </c>
      <c r="AN53" s="67">
        <v>2022.0</v>
      </c>
      <c r="AO53" s="42" t="s">
        <v>93</v>
      </c>
      <c r="AP53" s="59" t="s">
        <v>97</v>
      </c>
      <c r="AQ53" s="83" t="s">
        <v>119</v>
      </c>
      <c r="AR53" s="67">
        <v>0.8</v>
      </c>
      <c r="AS53" s="67">
        <v>2022.0</v>
      </c>
      <c r="AT53" s="42" t="s">
        <v>93</v>
      </c>
      <c r="AU53" s="59" t="s">
        <v>97</v>
      </c>
      <c r="AV53" s="40" t="s">
        <v>50</v>
      </c>
      <c r="AW53" s="62" t="s">
        <v>104</v>
      </c>
      <c r="AX53" s="67">
        <v>2022.0</v>
      </c>
      <c r="AY53" s="67">
        <v>0.15</v>
      </c>
      <c r="AZ53" s="45" t="s">
        <v>93</v>
      </c>
      <c r="BA53" s="71" t="s">
        <v>63</v>
      </c>
      <c r="BB53" s="56" t="s">
        <v>100</v>
      </c>
      <c r="BC53" s="59" t="s">
        <v>97</v>
      </c>
      <c r="BD53" s="40" t="s">
        <v>107</v>
      </c>
      <c r="BE53" s="42" t="s">
        <v>93</v>
      </c>
      <c r="BF53" s="78"/>
      <c r="BG53" s="23"/>
      <c r="BH53" s="23"/>
      <c r="BI53" s="23"/>
      <c r="BJ53" s="23"/>
      <c r="BK53" s="23"/>
      <c r="BL53" s="23"/>
    </row>
    <row r="54" ht="12.0" customHeight="1">
      <c r="A54" s="66">
        <v>46228.49093114583</v>
      </c>
      <c r="B54" s="67" t="s">
        <v>85</v>
      </c>
      <c r="C54" s="78"/>
      <c r="D54" s="67">
        <v>55.0</v>
      </c>
      <c r="E54" s="67" t="s">
        <v>87</v>
      </c>
      <c r="F54" s="67" t="s">
        <v>265</v>
      </c>
      <c r="G54" s="67" t="s">
        <v>221</v>
      </c>
      <c r="H54" s="67">
        <v>42.0</v>
      </c>
      <c r="I54" s="95" t="s">
        <v>266</v>
      </c>
      <c r="J54" s="71" t="s">
        <v>63</v>
      </c>
      <c r="K54" s="72" t="s">
        <v>98</v>
      </c>
      <c r="L54" s="42" t="s">
        <v>92</v>
      </c>
      <c r="M54" s="73">
        <v>2.8</v>
      </c>
      <c r="N54" s="45" t="s">
        <v>93</v>
      </c>
      <c r="O54" s="75" t="s">
        <v>115</v>
      </c>
      <c r="P54" s="150" t="s">
        <v>136</v>
      </c>
      <c r="Q54" s="119">
        <v>0.0</v>
      </c>
      <c r="R54" s="151" t="s">
        <v>58</v>
      </c>
      <c r="S54" s="150" t="s">
        <v>136</v>
      </c>
      <c r="T54" s="50" t="s">
        <v>97</v>
      </c>
      <c r="U54" s="78"/>
      <c r="V54" s="78"/>
      <c r="W54" s="78"/>
      <c r="X54" s="78"/>
      <c r="Y54" s="81"/>
      <c r="Z54" s="83" t="s">
        <v>119</v>
      </c>
      <c r="AA54" s="150" t="s">
        <v>136</v>
      </c>
      <c r="AB54" s="120">
        <v>0.0</v>
      </c>
      <c r="AC54" s="151" t="s">
        <v>58</v>
      </c>
      <c r="AD54" s="150" t="s">
        <v>136</v>
      </c>
      <c r="AE54" s="50" t="s">
        <v>97</v>
      </c>
      <c r="AF54" s="78"/>
      <c r="AG54" s="78"/>
      <c r="AH54" s="78"/>
      <c r="AI54" s="78"/>
      <c r="AJ54" s="81"/>
      <c r="AK54" s="75" t="s">
        <v>115</v>
      </c>
      <c r="AL54" s="42" t="s">
        <v>103</v>
      </c>
      <c r="AM54" s="67">
        <v>0.8</v>
      </c>
      <c r="AN54" s="67">
        <v>2022.0</v>
      </c>
      <c r="AO54" s="42" t="s">
        <v>93</v>
      </c>
      <c r="AP54" s="59" t="s">
        <v>97</v>
      </c>
      <c r="AQ54" s="83" t="s">
        <v>119</v>
      </c>
      <c r="AR54" s="67">
        <v>0.8</v>
      </c>
      <c r="AS54" s="67">
        <v>2022.0</v>
      </c>
      <c r="AT54" s="42" t="s">
        <v>93</v>
      </c>
      <c r="AU54" s="59" t="s">
        <v>97</v>
      </c>
      <c r="AV54" s="40" t="s">
        <v>50</v>
      </c>
      <c r="AW54" s="62" t="s">
        <v>104</v>
      </c>
      <c r="AX54" s="67">
        <v>2022.0</v>
      </c>
      <c r="AY54" s="67">
        <v>0.15</v>
      </c>
      <c r="AZ54" s="45" t="s">
        <v>93</v>
      </c>
      <c r="BA54" s="71" t="s">
        <v>63</v>
      </c>
      <c r="BB54" s="56" t="s">
        <v>100</v>
      </c>
      <c r="BC54" s="59" t="s">
        <v>97</v>
      </c>
      <c r="BD54" s="40" t="s">
        <v>107</v>
      </c>
      <c r="BE54" s="42" t="s">
        <v>93</v>
      </c>
      <c r="BF54" s="78"/>
      <c r="BG54" s="23"/>
      <c r="BH54" s="23"/>
      <c r="BI54" s="23"/>
      <c r="BJ54" s="23"/>
      <c r="BK54" s="23"/>
      <c r="BL54" s="23"/>
    </row>
    <row r="55" ht="12.0" customHeight="1">
      <c r="A55" s="66">
        <v>46228.492697905094</v>
      </c>
      <c r="B55" s="67" t="s">
        <v>85</v>
      </c>
      <c r="C55" s="78"/>
      <c r="D55" s="67">
        <v>56.0</v>
      </c>
      <c r="E55" s="67" t="s">
        <v>87</v>
      </c>
      <c r="F55" s="67" t="s">
        <v>267</v>
      </c>
      <c r="G55" s="67" t="s">
        <v>221</v>
      </c>
      <c r="H55" s="67">
        <v>42.0</v>
      </c>
      <c r="I55" s="95" t="s">
        <v>268</v>
      </c>
      <c r="J55" s="71" t="s">
        <v>63</v>
      </c>
      <c r="K55" s="72" t="s">
        <v>98</v>
      </c>
      <c r="L55" s="42" t="s">
        <v>92</v>
      </c>
      <c r="M55" s="73">
        <v>2.8</v>
      </c>
      <c r="N55" s="45" t="s">
        <v>93</v>
      </c>
      <c r="O55" s="75" t="s">
        <v>115</v>
      </c>
      <c r="P55" s="150" t="s">
        <v>136</v>
      </c>
      <c r="Q55" s="119">
        <v>0.0</v>
      </c>
      <c r="R55" s="151" t="s">
        <v>58</v>
      </c>
      <c r="S55" s="150" t="s">
        <v>136</v>
      </c>
      <c r="T55" s="50" t="s">
        <v>97</v>
      </c>
      <c r="U55" s="78"/>
      <c r="V55" s="78"/>
      <c r="W55" s="78"/>
      <c r="X55" s="78"/>
      <c r="Y55" s="81"/>
      <c r="Z55" s="83" t="s">
        <v>119</v>
      </c>
      <c r="AA55" s="150" t="s">
        <v>136</v>
      </c>
      <c r="AB55" s="120">
        <v>0.0</v>
      </c>
      <c r="AC55" s="151" t="s">
        <v>58</v>
      </c>
      <c r="AD55" s="150" t="s">
        <v>136</v>
      </c>
      <c r="AE55" s="50" t="s">
        <v>97</v>
      </c>
      <c r="AF55" s="78"/>
      <c r="AG55" s="78"/>
      <c r="AH55" s="78"/>
      <c r="AI55" s="78"/>
      <c r="AJ55" s="81"/>
      <c r="AK55" s="75" t="s">
        <v>115</v>
      </c>
      <c r="AL55" s="42" t="s">
        <v>103</v>
      </c>
      <c r="AM55" s="67">
        <v>0.8</v>
      </c>
      <c r="AN55" s="67">
        <v>2022.0</v>
      </c>
      <c r="AO55" s="42" t="s">
        <v>93</v>
      </c>
      <c r="AP55" s="59" t="s">
        <v>97</v>
      </c>
      <c r="AQ55" s="83" t="s">
        <v>119</v>
      </c>
      <c r="AR55" s="67">
        <v>0.8</v>
      </c>
      <c r="AS55" s="67">
        <v>2022.0</v>
      </c>
      <c r="AT55" s="42" t="s">
        <v>93</v>
      </c>
      <c r="AU55" s="59" t="s">
        <v>97</v>
      </c>
      <c r="AV55" s="40" t="s">
        <v>50</v>
      </c>
      <c r="AW55" s="62" t="s">
        <v>104</v>
      </c>
      <c r="AX55" s="67">
        <v>2022.0</v>
      </c>
      <c r="AY55" s="67">
        <v>0.15</v>
      </c>
      <c r="AZ55" s="45" t="s">
        <v>93</v>
      </c>
      <c r="BA55" s="71" t="s">
        <v>63</v>
      </c>
      <c r="BB55" s="56" t="s">
        <v>100</v>
      </c>
      <c r="BC55" s="59" t="s">
        <v>97</v>
      </c>
      <c r="BD55" s="40" t="s">
        <v>107</v>
      </c>
      <c r="BE55" s="42" t="s">
        <v>93</v>
      </c>
      <c r="BF55" s="78"/>
      <c r="BG55" s="23"/>
      <c r="BH55" s="23"/>
      <c r="BI55" s="23"/>
      <c r="BJ55" s="23"/>
      <c r="BK55" s="23"/>
      <c r="BL55" s="23"/>
    </row>
    <row r="56" ht="12.0" customHeight="1">
      <c r="A56" s="66">
        <v>46228.49450519676</v>
      </c>
      <c r="B56" s="67" t="s">
        <v>85</v>
      </c>
      <c r="C56" s="78"/>
      <c r="D56" s="67">
        <v>58.0</v>
      </c>
      <c r="E56" s="67" t="s">
        <v>87</v>
      </c>
      <c r="F56" s="67" t="s">
        <v>269</v>
      </c>
      <c r="G56" s="67" t="s">
        <v>221</v>
      </c>
      <c r="H56" s="67">
        <v>42.0</v>
      </c>
      <c r="I56" s="95" t="s">
        <v>270</v>
      </c>
      <c r="J56" s="71" t="s">
        <v>63</v>
      </c>
      <c r="K56" s="72" t="s">
        <v>98</v>
      </c>
      <c r="L56" s="42" t="s">
        <v>92</v>
      </c>
      <c r="M56" s="73">
        <v>3.2</v>
      </c>
      <c r="N56" s="45" t="s">
        <v>93</v>
      </c>
      <c r="O56" s="75" t="s">
        <v>115</v>
      </c>
      <c r="P56" s="150" t="s">
        <v>136</v>
      </c>
      <c r="Q56" s="119">
        <v>0.0</v>
      </c>
      <c r="R56" s="151" t="s">
        <v>58</v>
      </c>
      <c r="S56" s="150" t="s">
        <v>136</v>
      </c>
      <c r="T56" s="50" t="s">
        <v>97</v>
      </c>
      <c r="U56" s="78"/>
      <c r="V56" s="78"/>
      <c r="W56" s="78"/>
      <c r="X56" s="78"/>
      <c r="Y56" s="81"/>
      <c r="Z56" s="83" t="s">
        <v>119</v>
      </c>
      <c r="AA56" s="150" t="s">
        <v>136</v>
      </c>
      <c r="AB56" s="120">
        <v>0.0</v>
      </c>
      <c r="AC56" s="151" t="s">
        <v>58</v>
      </c>
      <c r="AD56" s="150" t="s">
        <v>136</v>
      </c>
      <c r="AE56" s="50" t="s">
        <v>97</v>
      </c>
      <c r="AF56" s="78"/>
      <c r="AG56" s="78"/>
      <c r="AH56" s="78"/>
      <c r="AI56" s="78"/>
      <c r="AJ56" s="81"/>
      <c r="AK56" s="75" t="s">
        <v>115</v>
      </c>
      <c r="AL56" s="42" t="s">
        <v>103</v>
      </c>
      <c r="AM56" s="67">
        <v>0.8</v>
      </c>
      <c r="AN56" s="67">
        <v>2022.0</v>
      </c>
      <c r="AO56" s="42" t="s">
        <v>93</v>
      </c>
      <c r="AP56" s="59" t="s">
        <v>97</v>
      </c>
      <c r="AQ56" s="83" t="s">
        <v>119</v>
      </c>
      <c r="AR56" s="67">
        <v>0.8</v>
      </c>
      <c r="AS56" s="67">
        <v>2022.0</v>
      </c>
      <c r="AT56" s="42" t="s">
        <v>93</v>
      </c>
      <c r="AU56" s="59" t="s">
        <v>97</v>
      </c>
      <c r="AV56" s="40" t="s">
        <v>50</v>
      </c>
      <c r="AW56" s="62" t="s">
        <v>104</v>
      </c>
      <c r="AX56" s="67">
        <v>2022.0</v>
      </c>
      <c r="AY56" s="67">
        <v>0.15</v>
      </c>
      <c r="AZ56" s="45" t="s">
        <v>93</v>
      </c>
      <c r="BA56" s="71" t="s">
        <v>63</v>
      </c>
      <c r="BB56" s="56" t="s">
        <v>100</v>
      </c>
      <c r="BC56" s="59" t="s">
        <v>97</v>
      </c>
      <c r="BD56" s="40" t="s">
        <v>107</v>
      </c>
      <c r="BE56" s="42" t="s">
        <v>93</v>
      </c>
      <c r="BF56" s="78"/>
      <c r="BG56" s="23"/>
      <c r="BH56" s="23"/>
      <c r="BI56" s="23"/>
      <c r="BJ56" s="23"/>
      <c r="BK56" s="23"/>
      <c r="BL56" s="23"/>
    </row>
    <row r="57" ht="12.0" customHeight="1">
      <c r="A57" s="173">
        <v>46227.43824243055</v>
      </c>
      <c r="B57" s="174" t="s">
        <v>85</v>
      </c>
      <c r="C57" s="67" t="s">
        <v>233</v>
      </c>
      <c r="D57" s="67">
        <v>61.0</v>
      </c>
      <c r="E57" s="175" t="s">
        <v>125</v>
      </c>
      <c r="F57" s="176" t="s">
        <v>271</v>
      </c>
      <c r="G57" s="176" t="s">
        <v>272</v>
      </c>
      <c r="H57" s="177">
        <v>317.0</v>
      </c>
      <c r="I57" s="178" t="s">
        <v>273</v>
      </c>
      <c r="J57" s="40" t="s">
        <v>50</v>
      </c>
      <c r="K57" s="41" t="s">
        <v>91</v>
      </c>
      <c r="L57" s="42" t="s">
        <v>92</v>
      </c>
      <c r="M57" s="179">
        <v>6.6</v>
      </c>
      <c r="N57" s="45" t="s">
        <v>93</v>
      </c>
      <c r="O57" s="47" t="s">
        <v>94</v>
      </c>
      <c r="P57" s="100" t="s">
        <v>122</v>
      </c>
      <c r="Q57" s="179">
        <v>1.6</v>
      </c>
      <c r="R57" s="177">
        <v>2022.0</v>
      </c>
      <c r="S57" s="42" t="s">
        <v>93</v>
      </c>
      <c r="T57" s="50" t="s">
        <v>97</v>
      </c>
      <c r="U57" s="180"/>
      <c r="V57" s="180"/>
      <c r="W57" s="180"/>
      <c r="X57" s="180"/>
      <c r="Y57" s="181"/>
      <c r="Z57" s="54" t="s">
        <v>99</v>
      </c>
      <c r="AA57" s="100" t="s">
        <v>122</v>
      </c>
      <c r="AB57" s="177">
        <v>1.6</v>
      </c>
      <c r="AC57" s="177">
        <v>2022.0</v>
      </c>
      <c r="AD57" s="42" t="s">
        <v>93</v>
      </c>
      <c r="AE57" s="50" t="s">
        <v>97</v>
      </c>
      <c r="AF57" s="180"/>
      <c r="AG57" s="180"/>
      <c r="AH57" s="180"/>
      <c r="AI57" s="180"/>
      <c r="AJ57" s="181"/>
      <c r="AK57" s="47" t="s">
        <v>94</v>
      </c>
      <c r="AL57" s="42" t="s">
        <v>103</v>
      </c>
      <c r="AM57" s="177">
        <v>0.8</v>
      </c>
      <c r="AN57" s="177">
        <v>2022.0</v>
      </c>
      <c r="AO57" s="42" t="s">
        <v>93</v>
      </c>
      <c r="AP57" s="59" t="s">
        <v>97</v>
      </c>
      <c r="AQ57" s="54" t="s">
        <v>99</v>
      </c>
      <c r="AR57" s="177">
        <v>0.8</v>
      </c>
      <c r="AS57" s="177">
        <v>2022.0</v>
      </c>
      <c r="AT57" s="42" t="s">
        <v>93</v>
      </c>
      <c r="AU57" s="59" t="s">
        <v>97</v>
      </c>
      <c r="AV57" s="40" t="s">
        <v>50</v>
      </c>
      <c r="AW57" s="62" t="s">
        <v>104</v>
      </c>
      <c r="AX57" s="182">
        <v>2022.0</v>
      </c>
      <c r="AY57" s="182">
        <v>0.2</v>
      </c>
      <c r="AZ57" s="45" t="s">
        <v>93</v>
      </c>
      <c r="BA57" s="71" t="s">
        <v>63</v>
      </c>
      <c r="BB57" s="56" t="s">
        <v>100</v>
      </c>
      <c r="BC57" s="59" t="s">
        <v>97</v>
      </c>
      <c r="BD57" s="40" t="s">
        <v>107</v>
      </c>
      <c r="BE57" s="42" t="s">
        <v>93</v>
      </c>
      <c r="BF57" s="180"/>
      <c r="BG57" s="23"/>
      <c r="BH57" s="23"/>
      <c r="BI57" s="23"/>
      <c r="BJ57" s="23"/>
      <c r="BK57" s="23"/>
      <c r="BL57" s="23"/>
    </row>
    <row r="58" ht="12.0" customHeight="1">
      <c r="A58" s="173">
        <v>46227.45878508102</v>
      </c>
      <c r="B58" s="174" t="s">
        <v>85</v>
      </c>
      <c r="C58" s="67" t="s">
        <v>233</v>
      </c>
      <c r="D58" s="36">
        <v>63.0</v>
      </c>
      <c r="E58" s="175" t="s">
        <v>125</v>
      </c>
      <c r="F58" s="176" t="s">
        <v>126</v>
      </c>
      <c r="G58" s="176" t="s">
        <v>221</v>
      </c>
      <c r="H58" s="177">
        <v>139.0</v>
      </c>
      <c r="I58" s="178" t="s">
        <v>274</v>
      </c>
      <c r="J58" s="40" t="s">
        <v>50</v>
      </c>
      <c r="K58" s="41" t="s">
        <v>91</v>
      </c>
      <c r="L58" s="42" t="s">
        <v>92</v>
      </c>
      <c r="M58" s="179">
        <v>5.5</v>
      </c>
      <c r="N58" s="45" t="s">
        <v>93</v>
      </c>
      <c r="O58" s="47" t="s">
        <v>94</v>
      </c>
      <c r="P58" s="48" t="s">
        <v>95</v>
      </c>
      <c r="Q58" s="179">
        <v>0.0</v>
      </c>
      <c r="R58" s="151" t="s">
        <v>58</v>
      </c>
      <c r="S58" s="48" t="s">
        <v>96</v>
      </c>
      <c r="T58" s="176" t="s">
        <v>212</v>
      </c>
      <c r="U58" s="180"/>
      <c r="V58" s="180"/>
      <c r="W58" s="180"/>
      <c r="X58" s="180"/>
      <c r="Y58" s="181"/>
      <c r="Z58" s="54" t="s">
        <v>99</v>
      </c>
      <c r="AA58" s="183" t="s">
        <v>95</v>
      </c>
      <c r="AB58" s="177">
        <v>0.0</v>
      </c>
      <c r="AC58" s="151" t="s">
        <v>58</v>
      </c>
      <c r="AD58" s="48" t="s">
        <v>96</v>
      </c>
      <c r="AE58" s="184" t="s">
        <v>212</v>
      </c>
      <c r="AF58" s="180"/>
      <c r="AG58" s="180"/>
      <c r="AH58" s="180"/>
      <c r="AI58" s="180"/>
      <c r="AJ58" s="181"/>
      <c r="AK58" s="47" t="s">
        <v>94</v>
      </c>
      <c r="AL58" s="171" t="s">
        <v>147</v>
      </c>
      <c r="AM58" s="177">
        <v>0.8</v>
      </c>
      <c r="AN58" s="177">
        <v>2022.0</v>
      </c>
      <c r="AO58" s="42" t="s">
        <v>93</v>
      </c>
      <c r="AP58" s="59" t="s">
        <v>97</v>
      </c>
      <c r="AQ58" s="54" t="s">
        <v>99</v>
      </c>
      <c r="AR58" s="177">
        <v>0.8</v>
      </c>
      <c r="AS58" s="177">
        <v>2022.0</v>
      </c>
      <c r="AT58" s="42" t="s">
        <v>93</v>
      </c>
      <c r="AU58" s="59" t="s">
        <v>97</v>
      </c>
      <c r="AV58" s="40" t="s">
        <v>50</v>
      </c>
      <c r="AW58" s="62" t="s">
        <v>104</v>
      </c>
      <c r="AX58" s="182">
        <v>2022.0</v>
      </c>
      <c r="AY58" s="182">
        <v>0.2</v>
      </c>
      <c r="AZ58" s="45" t="s">
        <v>93</v>
      </c>
      <c r="BA58" s="71" t="s">
        <v>63</v>
      </c>
      <c r="BB58" s="56" t="s">
        <v>100</v>
      </c>
      <c r="BC58" s="59" t="s">
        <v>97</v>
      </c>
      <c r="BD58" s="40" t="s">
        <v>107</v>
      </c>
      <c r="BE58" s="42" t="s">
        <v>93</v>
      </c>
      <c r="BF58" s="180"/>
      <c r="BG58" s="23"/>
      <c r="BH58" s="23"/>
      <c r="BI58" s="23"/>
      <c r="BJ58" s="23"/>
      <c r="BK58" s="23"/>
      <c r="BL58" s="23"/>
    </row>
    <row r="59" ht="12.0" customHeight="1">
      <c r="A59" s="162">
        <v>46227.46211931713</v>
      </c>
      <c r="B59" s="163" t="s">
        <v>85</v>
      </c>
      <c r="C59" s="67" t="s">
        <v>233</v>
      </c>
      <c r="D59" s="67">
        <v>64.0</v>
      </c>
      <c r="E59" s="164" t="s">
        <v>125</v>
      </c>
      <c r="F59" s="165" t="s">
        <v>134</v>
      </c>
      <c r="G59" s="165" t="s">
        <v>221</v>
      </c>
      <c r="H59" s="166">
        <v>315.0</v>
      </c>
      <c r="I59" s="167" t="s">
        <v>275</v>
      </c>
      <c r="J59" s="71" t="s">
        <v>63</v>
      </c>
      <c r="K59" s="41" t="s">
        <v>91</v>
      </c>
      <c r="L59" s="42" t="s">
        <v>92</v>
      </c>
      <c r="M59" s="168">
        <v>5.5</v>
      </c>
      <c r="N59" s="45" t="s">
        <v>93</v>
      </c>
      <c r="O59" s="47" t="s">
        <v>94</v>
      </c>
      <c r="P59" s="100" t="s">
        <v>122</v>
      </c>
      <c r="Q59" s="168">
        <v>0.7</v>
      </c>
      <c r="R59" s="166">
        <v>2022.0</v>
      </c>
      <c r="S59" s="42" t="s">
        <v>93</v>
      </c>
      <c r="T59" s="50" t="s">
        <v>97</v>
      </c>
      <c r="U59" s="169"/>
      <c r="V59" s="169"/>
      <c r="W59" s="169"/>
      <c r="X59" s="169"/>
      <c r="Y59" s="170"/>
      <c r="Z59" s="54" t="s">
        <v>99</v>
      </c>
      <c r="AA59" s="100" t="s">
        <v>122</v>
      </c>
      <c r="AB59" s="166">
        <v>0.7</v>
      </c>
      <c r="AC59" s="166">
        <v>2022.0</v>
      </c>
      <c r="AD59" s="42" t="s">
        <v>93</v>
      </c>
      <c r="AE59" s="50" t="s">
        <v>97</v>
      </c>
      <c r="AF59" s="169"/>
      <c r="AG59" s="169"/>
      <c r="AH59" s="169"/>
      <c r="AI59" s="169"/>
      <c r="AJ59" s="170"/>
      <c r="AK59" s="47" t="s">
        <v>94</v>
      </c>
      <c r="AL59" s="171" t="s">
        <v>147</v>
      </c>
      <c r="AM59" s="166">
        <v>0.8</v>
      </c>
      <c r="AN59" s="166">
        <v>2022.0</v>
      </c>
      <c r="AO59" s="42" t="s">
        <v>93</v>
      </c>
      <c r="AP59" s="59" t="s">
        <v>97</v>
      </c>
      <c r="AQ59" s="54" t="s">
        <v>99</v>
      </c>
      <c r="AR59" s="166">
        <v>0.8</v>
      </c>
      <c r="AS59" s="166">
        <v>2022.0</v>
      </c>
      <c r="AT59" s="42" t="s">
        <v>93</v>
      </c>
      <c r="AU59" s="59" t="s">
        <v>97</v>
      </c>
      <c r="AV59" s="40" t="s">
        <v>50</v>
      </c>
      <c r="AW59" s="62" t="s">
        <v>104</v>
      </c>
      <c r="AX59" s="172">
        <v>2022.0</v>
      </c>
      <c r="AY59" s="172">
        <v>0.2</v>
      </c>
      <c r="AZ59" s="45" t="s">
        <v>93</v>
      </c>
      <c r="BA59" s="71" t="s">
        <v>63</v>
      </c>
      <c r="BB59" s="56" t="s">
        <v>100</v>
      </c>
      <c r="BC59" s="59" t="s">
        <v>97</v>
      </c>
      <c r="BD59" s="40" t="s">
        <v>107</v>
      </c>
      <c r="BE59" s="42" t="s">
        <v>93</v>
      </c>
      <c r="BF59" s="169"/>
      <c r="BG59" s="23"/>
      <c r="BH59" s="23"/>
      <c r="BI59" s="23"/>
      <c r="BJ59" s="23"/>
      <c r="BK59" s="23"/>
      <c r="BL59" s="23"/>
    </row>
    <row r="60" ht="12.0" customHeight="1">
      <c r="A60" s="173">
        <v>46227.46436532408</v>
      </c>
      <c r="B60" s="174" t="s">
        <v>85</v>
      </c>
      <c r="C60" s="67" t="s">
        <v>233</v>
      </c>
      <c r="D60" s="67">
        <v>65.0</v>
      </c>
      <c r="E60" s="175" t="s">
        <v>125</v>
      </c>
      <c r="F60" s="176" t="s">
        <v>139</v>
      </c>
      <c r="G60" s="176" t="s">
        <v>221</v>
      </c>
      <c r="H60" s="177">
        <v>311.0</v>
      </c>
      <c r="I60" s="178" t="s">
        <v>276</v>
      </c>
      <c r="J60" s="71" t="s">
        <v>63</v>
      </c>
      <c r="K60" s="41" t="s">
        <v>91</v>
      </c>
      <c r="L60" s="42" t="s">
        <v>92</v>
      </c>
      <c r="M60" s="179">
        <v>5.5</v>
      </c>
      <c r="N60" s="45" t="s">
        <v>93</v>
      </c>
      <c r="O60" s="47" t="s">
        <v>94</v>
      </c>
      <c r="P60" s="100" t="s">
        <v>122</v>
      </c>
      <c r="Q60" s="179">
        <v>0.7</v>
      </c>
      <c r="R60" s="177">
        <v>2022.0</v>
      </c>
      <c r="S60" s="42" t="s">
        <v>93</v>
      </c>
      <c r="T60" s="50" t="s">
        <v>97</v>
      </c>
      <c r="U60" s="180"/>
      <c r="V60" s="180"/>
      <c r="W60" s="180"/>
      <c r="X60" s="180"/>
      <c r="Y60" s="181"/>
      <c r="Z60" s="54" t="s">
        <v>99</v>
      </c>
      <c r="AA60" s="100" t="s">
        <v>122</v>
      </c>
      <c r="AB60" s="177">
        <v>0.7</v>
      </c>
      <c r="AC60" s="177">
        <v>2022.0</v>
      </c>
      <c r="AD60" s="42" t="s">
        <v>93</v>
      </c>
      <c r="AE60" s="50" t="s">
        <v>97</v>
      </c>
      <c r="AF60" s="180"/>
      <c r="AG60" s="180"/>
      <c r="AH60" s="180"/>
      <c r="AI60" s="180"/>
      <c r="AJ60" s="181"/>
      <c r="AK60" s="47" t="s">
        <v>94</v>
      </c>
      <c r="AL60" s="171" t="s">
        <v>147</v>
      </c>
      <c r="AM60" s="177">
        <v>0.8</v>
      </c>
      <c r="AN60" s="177">
        <v>2022.0</v>
      </c>
      <c r="AO60" s="42" t="s">
        <v>93</v>
      </c>
      <c r="AP60" s="59" t="s">
        <v>97</v>
      </c>
      <c r="AQ60" s="54" t="s">
        <v>99</v>
      </c>
      <c r="AR60" s="177">
        <v>0.8</v>
      </c>
      <c r="AS60" s="177">
        <v>2022.0</v>
      </c>
      <c r="AT60" s="42" t="s">
        <v>93</v>
      </c>
      <c r="AU60" s="59" t="s">
        <v>97</v>
      </c>
      <c r="AV60" s="40" t="s">
        <v>50</v>
      </c>
      <c r="AW60" s="62" t="s">
        <v>104</v>
      </c>
      <c r="AX60" s="182">
        <v>2022.0</v>
      </c>
      <c r="AY60" s="182">
        <v>0.2</v>
      </c>
      <c r="AZ60" s="45" t="s">
        <v>93</v>
      </c>
      <c r="BA60" s="71" t="s">
        <v>63</v>
      </c>
      <c r="BB60" s="56" t="s">
        <v>100</v>
      </c>
      <c r="BC60" s="59" t="s">
        <v>97</v>
      </c>
      <c r="BD60" s="40" t="s">
        <v>107</v>
      </c>
      <c r="BE60" s="42" t="s">
        <v>93</v>
      </c>
      <c r="BF60" s="180"/>
      <c r="BG60" s="23"/>
      <c r="BH60" s="23"/>
      <c r="BI60" s="23"/>
      <c r="BJ60" s="23"/>
      <c r="BK60" s="23"/>
      <c r="BL60" s="23"/>
    </row>
    <row r="61" ht="12.0" customHeight="1">
      <c r="A61" s="162">
        <v>46227.467178182866</v>
      </c>
      <c r="B61" s="163" t="s">
        <v>85</v>
      </c>
      <c r="C61" s="67" t="s">
        <v>233</v>
      </c>
      <c r="D61" s="36">
        <v>66.0</v>
      </c>
      <c r="E61" s="164" t="s">
        <v>125</v>
      </c>
      <c r="F61" s="165" t="s">
        <v>145</v>
      </c>
      <c r="G61" s="165" t="s">
        <v>221</v>
      </c>
      <c r="H61" s="166">
        <v>313.0</v>
      </c>
      <c r="I61" s="167" t="s">
        <v>277</v>
      </c>
      <c r="J61" s="40" t="s">
        <v>50</v>
      </c>
      <c r="K61" s="41" t="s">
        <v>91</v>
      </c>
      <c r="L61" s="42" t="s">
        <v>92</v>
      </c>
      <c r="M61" s="168">
        <v>5.7</v>
      </c>
      <c r="N61" s="45" t="s">
        <v>93</v>
      </c>
      <c r="O61" s="47" t="s">
        <v>94</v>
      </c>
      <c r="P61" s="100" t="s">
        <v>122</v>
      </c>
      <c r="Q61" s="168">
        <v>2.8</v>
      </c>
      <c r="R61" s="166">
        <v>2022.0</v>
      </c>
      <c r="S61" s="42" t="s">
        <v>93</v>
      </c>
      <c r="T61" s="50" t="s">
        <v>97</v>
      </c>
      <c r="U61" s="169"/>
      <c r="V61" s="169"/>
      <c r="W61" s="169"/>
      <c r="X61" s="169"/>
      <c r="Y61" s="170"/>
      <c r="Z61" s="54" t="s">
        <v>99</v>
      </c>
      <c r="AA61" s="100" t="s">
        <v>122</v>
      </c>
      <c r="AB61" s="166">
        <v>2.8</v>
      </c>
      <c r="AC61" s="166">
        <v>2022.0</v>
      </c>
      <c r="AD61" s="42" t="s">
        <v>93</v>
      </c>
      <c r="AE61" s="50" t="s">
        <v>97</v>
      </c>
      <c r="AF61" s="169"/>
      <c r="AG61" s="169"/>
      <c r="AH61" s="169"/>
      <c r="AI61" s="169"/>
      <c r="AJ61" s="170"/>
      <c r="AK61" s="47" t="s">
        <v>94</v>
      </c>
      <c r="AL61" s="171" t="s">
        <v>147</v>
      </c>
      <c r="AM61" s="166">
        <v>0.8</v>
      </c>
      <c r="AN61" s="166">
        <v>2022.0</v>
      </c>
      <c r="AO61" s="42" t="s">
        <v>93</v>
      </c>
      <c r="AP61" s="59" t="s">
        <v>97</v>
      </c>
      <c r="AQ61" s="54" t="s">
        <v>99</v>
      </c>
      <c r="AR61" s="166">
        <v>0.8</v>
      </c>
      <c r="AS61" s="166">
        <v>2022.0</v>
      </c>
      <c r="AT61" s="42" t="s">
        <v>93</v>
      </c>
      <c r="AU61" s="59" t="s">
        <v>97</v>
      </c>
      <c r="AV61" s="40" t="s">
        <v>50</v>
      </c>
      <c r="AW61" s="62" t="s">
        <v>104</v>
      </c>
      <c r="AX61" s="172">
        <v>2022.0</v>
      </c>
      <c r="AY61" s="172">
        <v>0.2</v>
      </c>
      <c r="AZ61" s="45" t="s">
        <v>93</v>
      </c>
      <c r="BA61" s="71" t="s">
        <v>63</v>
      </c>
      <c r="BB61" s="56" t="s">
        <v>100</v>
      </c>
      <c r="BC61" s="59" t="s">
        <v>97</v>
      </c>
      <c r="BD61" s="40" t="s">
        <v>107</v>
      </c>
      <c r="BE61" s="42" t="s">
        <v>93</v>
      </c>
      <c r="BF61" s="169"/>
      <c r="BG61" s="23"/>
      <c r="BH61" s="23"/>
      <c r="BI61" s="23"/>
      <c r="BJ61" s="23"/>
      <c r="BK61" s="23"/>
      <c r="BL61" s="23"/>
    </row>
    <row r="62" ht="12.0" customHeight="1">
      <c r="A62" s="173">
        <v>46227.471386944446</v>
      </c>
      <c r="B62" s="174" t="s">
        <v>85</v>
      </c>
      <c r="C62" s="67" t="s">
        <v>233</v>
      </c>
      <c r="D62" s="67">
        <v>67.0</v>
      </c>
      <c r="E62" s="175" t="s">
        <v>125</v>
      </c>
      <c r="F62" s="176" t="s">
        <v>149</v>
      </c>
      <c r="G62" s="176" t="s">
        <v>221</v>
      </c>
      <c r="H62" s="177">
        <v>310.0</v>
      </c>
      <c r="I62" s="178" t="s">
        <v>278</v>
      </c>
      <c r="J62" s="71" t="s">
        <v>63</v>
      </c>
      <c r="K62" s="41" t="s">
        <v>91</v>
      </c>
      <c r="L62" s="42" t="s">
        <v>92</v>
      </c>
      <c r="M62" s="179">
        <v>5.5</v>
      </c>
      <c r="N62" s="45" t="s">
        <v>93</v>
      </c>
      <c r="O62" s="47" t="s">
        <v>94</v>
      </c>
      <c r="P62" s="100" t="s">
        <v>122</v>
      </c>
      <c r="Q62" s="179">
        <v>0.6</v>
      </c>
      <c r="R62" s="177">
        <v>2022.0</v>
      </c>
      <c r="S62" s="42" t="s">
        <v>93</v>
      </c>
      <c r="T62" s="50" t="s">
        <v>97</v>
      </c>
      <c r="U62" s="180"/>
      <c r="V62" s="180"/>
      <c r="W62" s="180"/>
      <c r="X62" s="180"/>
      <c r="Y62" s="181"/>
      <c r="Z62" s="54" t="s">
        <v>99</v>
      </c>
      <c r="AA62" s="100" t="s">
        <v>122</v>
      </c>
      <c r="AB62" s="177">
        <v>0.6</v>
      </c>
      <c r="AC62" s="177">
        <v>2022.0</v>
      </c>
      <c r="AD62" s="42" t="s">
        <v>93</v>
      </c>
      <c r="AE62" s="50" t="s">
        <v>97</v>
      </c>
      <c r="AF62" s="180"/>
      <c r="AG62" s="180"/>
      <c r="AH62" s="180"/>
      <c r="AI62" s="180"/>
      <c r="AJ62" s="181"/>
      <c r="AK62" s="47" t="s">
        <v>94</v>
      </c>
      <c r="AL62" s="171" t="s">
        <v>147</v>
      </c>
      <c r="AM62" s="177">
        <v>0.8</v>
      </c>
      <c r="AN62" s="177">
        <v>2022.0</v>
      </c>
      <c r="AO62" s="42" t="s">
        <v>93</v>
      </c>
      <c r="AP62" s="59" t="s">
        <v>97</v>
      </c>
      <c r="AQ62" s="54" t="s">
        <v>99</v>
      </c>
      <c r="AR62" s="177">
        <v>0.8</v>
      </c>
      <c r="AS62" s="177">
        <v>2022.0</v>
      </c>
      <c r="AT62" s="42" t="s">
        <v>93</v>
      </c>
      <c r="AU62" s="59" t="s">
        <v>97</v>
      </c>
      <c r="AV62" s="40" t="s">
        <v>50</v>
      </c>
      <c r="AW62" s="62" t="s">
        <v>104</v>
      </c>
      <c r="AX62" s="182">
        <v>2022.0</v>
      </c>
      <c r="AY62" s="182">
        <v>0.2</v>
      </c>
      <c r="AZ62" s="45" t="s">
        <v>93</v>
      </c>
      <c r="BA62" s="71" t="s">
        <v>63</v>
      </c>
      <c r="BB62" s="56" t="s">
        <v>100</v>
      </c>
      <c r="BC62" s="59" t="s">
        <v>97</v>
      </c>
      <c r="BD62" s="40" t="s">
        <v>107</v>
      </c>
      <c r="BE62" s="42" t="s">
        <v>93</v>
      </c>
      <c r="BF62" s="180"/>
      <c r="BG62" s="23"/>
      <c r="BH62" s="23"/>
      <c r="BI62" s="23"/>
      <c r="BJ62" s="23"/>
      <c r="BK62" s="23"/>
      <c r="BL62" s="23"/>
    </row>
    <row r="63" ht="12.0" customHeight="1">
      <c r="A63" s="162">
        <v>46227.47573021991</v>
      </c>
      <c r="B63" s="163" t="s">
        <v>85</v>
      </c>
      <c r="C63" s="67" t="s">
        <v>233</v>
      </c>
      <c r="D63" s="67">
        <v>68.0</v>
      </c>
      <c r="E63" s="164" t="s">
        <v>87</v>
      </c>
      <c r="F63" s="165" t="s">
        <v>279</v>
      </c>
      <c r="G63" s="165" t="s">
        <v>221</v>
      </c>
      <c r="H63" s="166">
        <v>319.0</v>
      </c>
      <c r="I63" s="167" t="s">
        <v>280</v>
      </c>
      <c r="J63" s="40" t="s">
        <v>50</v>
      </c>
      <c r="K63" s="41" t="s">
        <v>91</v>
      </c>
      <c r="L63" s="42" t="s">
        <v>92</v>
      </c>
      <c r="M63" s="168">
        <v>5.5</v>
      </c>
      <c r="N63" s="45" t="s">
        <v>93</v>
      </c>
      <c r="O63" s="47" t="s">
        <v>94</v>
      </c>
      <c r="P63" s="100" t="s">
        <v>122</v>
      </c>
      <c r="Q63" s="168">
        <v>1.5</v>
      </c>
      <c r="R63" s="166">
        <v>2022.0</v>
      </c>
      <c r="S63" s="42" t="s">
        <v>93</v>
      </c>
      <c r="T63" s="50" t="s">
        <v>97</v>
      </c>
      <c r="U63" s="169"/>
      <c r="V63" s="169"/>
      <c r="W63" s="169"/>
      <c r="X63" s="169"/>
      <c r="Y63" s="170"/>
      <c r="Z63" s="54" t="s">
        <v>99</v>
      </c>
      <c r="AA63" s="100" t="s">
        <v>122</v>
      </c>
      <c r="AB63" s="166">
        <v>1.5</v>
      </c>
      <c r="AC63" s="166">
        <v>2022.0</v>
      </c>
      <c r="AD63" s="42" t="s">
        <v>93</v>
      </c>
      <c r="AE63" s="50" t="s">
        <v>97</v>
      </c>
      <c r="AF63" s="169"/>
      <c r="AG63" s="169"/>
      <c r="AH63" s="169"/>
      <c r="AI63" s="169"/>
      <c r="AJ63" s="170"/>
      <c r="AK63" s="75" t="s">
        <v>115</v>
      </c>
      <c r="AL63" s="171" t="s">
        <v>147</v>
      </c>
      <c r="AM63" s="166">
        <v>0.8</v>
      </c>
      <c r="AN63" s="166">
        <v>2022.0</v>
      </c>
      <c r="AO63" s="42" t="s">
        <v>93</v>
      </c>
      <c r="AP63" s="59" t="s">
        <v>97</v>
      </c>
      <c r="AQ63" s="54" t="s">
        <v>99</v>
      </c>
      <c r="AR63" s="166">
        <v>0.8</v>
      </c>
      <c r="AS63" s="166">
        <v>2022.0</v>
      </c>
      <c r="AT63" s="42" t="s">
        <v>93</v>
      </c>
      <c r="AU63" s="59" t="s">
        <v>97</v>
      </c>
      <c r="AV63" s="40" t="s">
        <v>50</v>
      </c>
      <c r="AW63" s="62" t="s">
        <v>104</v>
      </c>
      <c r="AX63" s="172">
        <v>2022.0</v>
      </c>
      <c r="AY63" s="172">
        <v>0.2</v>
      </c>
      <c r="AZ63" s="45" t="s">
        <v>93</v>
      </c>
      <c r="BA63" s="71" t="s">
        <v>63</v>
      </c>
      <c r="BB63" s="56" t="s">
        <v>100</v>
      </c>
      <c r="BC63" s="59" t="s">
        <v>97</v>
      </c>
      <c r="BD63" s="40" t="s">
        <v>107</v>
      </c>
      <c r="BE63" s="42" t="s">
        <v>93</v>
      </c>
      <c r="BF63" s="169"/>
      <c r="BG63" s="23"/>
      <c r="BH63" s="23"/>
      <c r="BI63" s="23"/>
      <c r="BJ63" s="23"/>
      <c r="BK63" s="23"/>
      <c r="BL63" s="23"/>
    </row>
    <row r="64" ht="12.0" customHeight="1">
      <c r="A64" s="173">
        <v>46227.47828923611</v>
      </c>
      <c r="B64" s="174" t="s">
        <v>85</v>
      </c>
      <c r="C64" s="67" t="s">
        <v>233</v>
      </c>
      <c r="D64" s="36">
        <v>69.0</v>
      </c>
      <c r="E64" s="175" t="s">
        <v>125</v>
      </c>
      <c r="F64" s="176" t="s">
        <v>281</v>
      </c>
      <c r="G64" s="176" t="s">
        <v>221</v>
      </c>
      <c r="H64" s="177">
        <v>268.0</v>
      </c>
      <c r="I64" s="178" t="s">
        <v>282</v>
      </c>
      <c r="J64" s="40" t="s">
        <v>50</v>
      </c>
      <c r="K64" s="41" t="s">
        <v>91</v>
      </c>
      <c r="L64" s="42" t="s">
        <v>92</v>
      </c>
      <c r="M64" s="179">
        <v>5.5</v>
      </c>
      <c r="N64" s="45" t="s">
        <v>93</v>
      </c>
      <c r="O64" s="47" t="s">
        <v>94</v>
      </c>
      <c r="P64" s="100" t="s">
        <v>122</v>
      </c>
      <c r="Q64" s="179">
        <v>1.1</v>
      </c>
      <c r="R64" s="177">
        <v>2022.0</v>
      </c>
      <c r="S64" s="42" t="s">
        <v>93</v>
      </c>
      <c r="T64" s="50" t="s">
        <v>97</v>
      </c>
      <c r="U64" s="180"/>
      <c r="V64" s="180"/>
      <c r="W64" s="180"/>
      <c r="X64" s="180"/>
      <c r="Y64" s="181"/>
      <c r="Z64" s="54" t="s">
        <v>99</v>
      </c>
      <c r="AA64" s="100" t="s">
        <v>122</v>
      </c>
      <c r="AB64" s="177">
        <v>1.1</v>
      </c>
      <c r="AC64" s="177">
        <v>2022.0</v>
      </c>
      <c r="AD64" s="42" t="s">
        <v>93</v>
      </c>
      <c r="AE64" s="50" t="s">
        <v>97</v>
      </c>
      <c r="AF64" s="180"/>
      <c r="AG64" s="180"/>
      <c r="AH64" s="180"/>
      <c r="AI64" s="180"/>
      <c r="AJ64" s="181"/>
      <c r="AK64" s="47" t="s">
        <v>94</v>
      </c>
      <c r="AL64" s="171" t="s">
        <v>147</v>
      </c>
      <c r="AM64" s="177">
        <v>0.8</v>
      </c>
      <c r="AN64" s="177">
        <v>2022.0</v>
      </c>
      <c r="AO64" s="42" t="s">
        <v>93</v>
      </c>
      <c r="AP64" s="59" t="s">
        <v>97</v>
      </c>
      <c r="AQ64" s="54" t="s">
        <v>99</v>
      </c>
      <c r="AR64" s="177">
        <v>0.8</v>
      </c>
      <c r="AS64" s="177">
        <v>2022.0</v>
      </c>
      <c r="AT64" s="42" t="s">
        <v>93</v>
      </c>
      <c r="AU64" s="59" t="s">
        <v>97</v>
      </c>
      <c r="AV64" s="40" t="s">
        <v>50</v>
      </c>
      <c r="AW64" s="62" t="s">
        <v>104</v>
      </c>
      <c r="AX64" s="182">
        <v>2022.0</v>
      </c>
      <c r="AY64" s="182">
        <v>0.2</v>
      </c>
      <c r="AZ64" s="45" t="s">
        <v>93</v>
      </c>
      <c r="BA64" s="71" t="s">
        <v>63</v>
      </c>
      <c r="BB64" s="56" t="s">
        <v>100</v>
      </c>
      <c r="BC64" s="59" t="s">
        <v>97</v>
      </c>
      <c r="BD64" s="40" t="s">
        <v>107</v>
      </c>
      <c r="BE64" s="42" t="s">
        <v>93</v>
      </c>
      <c r="BF64" s="180"/>
      <c r="BG64" s="23"/>
      <c r="BH64" s="23"/>
      <c r="BI64" s="23"/>
      <c r="BJ64" s="23"/>
      <c r="BK64" s="23"/>
      <c r="BL64" s="23"/>
    </row>
    <row r="65" ht="12.0" customHeight="1">
      <c r="A65" s="162">
        <v>46227.480542060184</v>
      </c>
      <c r="B65" s="163" t="s">
        <v>85</v>
      </c>
      <c r="C65" s="67" t="s">
        <v>233</v>
      </c>
      <c r="D65" s="67">
        <v>70.0</v>
      </c>
      <c r="E65" s="164" t="s">
        <v>87</v>
      </c>
      <c r="F65" s="165" t="s">
        <v>163</v>
      </c>
      <c r="G65" s="165" t="s">
        <v>221</v>
      </c>
      <c r="H65" s="166">
        <v>303.0</v>
      </c>
      <c r="I65" s="167" t="s">
        <v>283</v>
      </c>
      <c r="J65" s="40" t="s">
        <v>50</v>
      </c>
      <c r="K65" s="41" t="s">
        <v>91</v>
      </c>
      <c r="L65" s="42" t="s">
        <v>92</v>
      </c>
      <c r="M65" s="168">
        <v>5.6</v>
      </c>
      <c r="N65" s="45" t="s">
        <v>93</v>
      </c>
      <c r="O65" s="47" t="s">
        <v>94</v>
      </c>
      <c r="P65" s="100" t="s">
        <v>122</v>
      </c>
      <c r="Q65" s="168">
        <v>1.4</v>
      </c>
      <c r="R65" s="166">
        <v>2022.0</v>
      </c>
      <c r="S65" s="42" t="s">
        <v>93</v>
      </c>
      <c r="T65" s="50" t="s">
        <v>97</v>
      </c>
      <c r="U65" s="169"/>
      <c r="V65" s="169"/>
      <c r="W65" s="169"/>
      <c r="X65" s="169"/>
      <c r="Y65" s="170"/>
      <c r="Z65" s="54" t="s">
        <v>99</v>
      </c>
      <c r="AA65" s="100" t="s">
        <v>122</v>
      </c>
      <c r="AB65" s="166">
        <v>1.4</v>
      </c>
      <c r="AC65" s="166">
        <v>2022.0</v>
      </c>
      <c r="AD65" s="42" t="s">
        <v>93</v>
      </c>
      <c r="AE65" s="50" t="s">
        <v>97</v>
      </c>
      <c r="AF65" s="169"/>
      <c r="AG65" s="169"/>
      <c r="AH65" s="169"/>
      <c r="AI65" s="169"/>
      <c r="AJ65" s="170"/>
      <c r="AK65" s="47" t="s">
        <v>94</v>
      </c>
      <c r="AL65" s="171" t="s">
        <v>147</v>
      </c>
      <c r="AM65" s="166">
        <v>0.8</v>
      </c>
      <c r="AN65" s="166">
        <v>2022.0</v>
      </c>
      <c r="AO65" s="42" t="s">
        <v>93</v>
      </c>
      <c r="AP65" s="59" t="s">
        <v>97</v>
      </c>
      <c r="AQ65" s="54" t="s">
        <v>99</v>
      </c>
      <c r="AR65" s="166">
        <v>0.8</v>
      </c>
      <c r="AS65" s="166">
        <v>2022.0</v>
      </c>
      <c r="AT65" s="42" t="s">
        <v>93</v>
      </c>
      <c r="AU65" s="59" t="s">
        <v>97</v>
      </c>
      <c r="AV65" s="40" t="s">
        <v>50</v>
      </c>
      <c r="AW65" s="62" t="s">
        <v>104</v>
      </c>
      <c r="AX65" s="172">
        <v>2022.0</v>
      </c>
      <c r="AY65" s="172">
        <v>0.2</v>
      </c>
      <c r="AZ65" s="45" t="s">
        <v>93</v>
      </c>
      <c r="BA65" s="71" t="s">
        <v>63</v>
      </c>
      <c r="BB65" s="56" t="s">
        <v>100</v>
      </c>
      <c r="BC65" s="59" t="s">
        <v>97</v>
      </c>
      <c r="BD65" s="40" t="s">
        <v>107</v>
      </c>
      <c r="BE65" s="42" t="s">
        <v>93</v>
      </c>
      <c r="BF65" s="169"/>
      <c r="BG65" s="23"/>
      <c r="BH65" s="23"/>
      <c r="BI65" s="23"/>
      <c r="BJ65" s="23"/>
      <c r="BK65" s="23"/>
      <c r="BL65" s="23"/>
    </row>
    <row r="66" ht="12.0" customHeight="1">
      <c r="A66" s="173">
        <v>46227.485086747685</v>
      </c>
      <c r="B66" s="174" t="s">
        <v>85</v>
      </c>
      <c r="C66" s="67" t="s">
        <v>233</v>
      </c>
      <c r="D66" s="67">
        <v>71.0</v>
      </c>
      <c r="E66" s="175" t="s">
        <v>87</v>
      </c>
      <c r="F66" s="176" t="s">
        <v>168</v>
      </c>
      <c r="G66" s="176" t="s">
        <v>221</v>
      </c>
      <c r="H66" s="177">
        <v>307.0</v>
      </c>
      <c r="I66" s="178" t="s">
        <v>284</v>
      </c>
      <c r="J66" s="40" t="s">
        <v>50</v>
      </c>
      <c r="K66" s="41" t="s">
        <v>91</v>
      </c>
      <c r="L66" s="42" t="s">
        <v>92</v>
      </c>
      <c r="M66" s="179">
        <v>5.5</v>
      </c>
      <c r="N66" s="158" t="s">
        <v>100</v>
      </c>
      <c r="O66" s="47" t="s">
        <v>94</v>
      </c>
      <c r="P66" s="100" t="s">
        <v>122</v>
      </c>
      <c r="Q66" s="179">
        <v>0.6</v>
      </c>
      <c r="R66" s="177">
        <v>2022.0</v>
      </c>
      <c r="S66" s="42" t="s">
        <v>93</v>
      </c>
      <c r="T66" s="50" t="s">
        <v>97</v>
      </c>
      <c r="U66" s="180"/>
      <c r="V66" s="180"/>
      <c r="W66" s="180"/>
      <c r="X66" s="180"/>
      <c r="Y66" s="181"/>
      <c r="Z66" s="54" t="s">
        <v>99</v>
      </c>
      <c r="AA66" s="100" t="s">
        <v>122</v>
      </c>
      <c r="AB66" s="177">
        <v>0.6</v>
      </c>
      <c r="AC66" s="177">
        <v>2022.0</v>
      </c>
      <c r="AD66" s="42" t="s">
        <v>93</v>
      </c>
      <c r="AE66" s="50" t="s">
        <v>97</v>
      </c>
      <c r="AF66" s="180"/>
      <c r="AG66" s="180"/>
      <c r="AH66" s="180"/>
      <c r="AI66" s="180"/>
      <c r="AJ66" s="181"/>
      <c r="AK66" s="47" t="s">
        <v>94</v>
      </c>
      <c r="AL66" s="171" t="s">
        <v>147</v>
      </c>
      <c r="AM66" s="177">
        <v>0.8</v>
      </c>
      <c r="AN66" s="177">
        <v>2022.0</v>
      </c>
      <c r="AO66" s="42" t="s">
        <v>93</v>
      </c>
      <c r="AP66" s="59" t="s">
        <v>97</v>
      </c>
      <c r="AQ66" s="54" t="s">
        <v>99</v>
      </c>
      <c r="AR66" s="177">
        <v>0.8</v>
      </c>
      <c r="AS66" s="177">
        <v>2022.0</v>
      </c>
      <c r="AT66" s="42" t="s">
        <v>93</v>
      </c>
      <c r="AU66" s="59" t="s">
        <v>97</v>
      </c>
      <c r="AV66" s="40" t="s">
        <v>50</v>
      </c>
      <c r="AW66" s="62" t="s">
        <v>104</v>
      </c>
      <c r="AX66" s="182">
        <v>2022.0</v>
      </c>
      <c r="AY66" s="182">
        <v>0.2</v>
      </c>
      <c r="AZ66" s="45" t="s">
        <v>93</v>
      </c>
      <c r="BA66" s="71" t="s">
        <v>63</v>
      </c>
      <c r="BB66" s="56" t="s">
        <v>100</v>
      </c>
      <c r="BC66" s="59" t="s">
        <v>97</v>
      </c>
      <c r="BD66" s="40" t="s">
        <v>107</v>
      </c>
      <c r="BE66" s="42" t="s">
        <v>93</v>
      </c>
      <c r="BF66" s="180"/>
      <c r="BG66" s="23"/>
      <c r="BH66" s="23"/>
      <c r="BI66" s="23"/>
      <c r="BJ66" s="23"/>
      <c r="BK66" s="23"/>
      <c r="BL66" s="23"/>
    </row>
    <row r="67" ht="12.0" customHeight="1">
      <c r="A67" s="66">
        <v>46228.48283570602</v>
      </c>
      <c r="B67" s="67" t="s">
        <v>85</v>
      </c>
      <c r="C67" s="67" t="s">
        <v>188</v>
      </c>
      <c r="D67" s="67">
        <v>49.0</v>
      </c>
      <c r="E67" s="67" t="s">
        <v>87</v>
      </c>
      <c r="F67" s="67" t="s">
        <v>285</v>
      </c>
      <c r="G67" s="67" t="s">
        <v>286</v>
      </c>
      <c r="H67" s="67">
        <v>221.0</v>
      </c>
      <c r="I67" s="95" t="s">
        <v>287</v>
      </c>
      <c r="J67" s="71" t="s">
        <v>63</v>
      </c>
      <c r="K67" s="72" t="s">
        <v>98</v>
      </c>
      <c r="L67" s="42" t="s">
        <v>92</v>
      </c>
      <c r="M67" s="73">
        <v>5.0</v>
      </c>
      <c r="N67" s="45" t="s">
        <v>93</v>
      </c>
      <c r="O67" s="47" t="s">
        <v>94</v>
      </c>
      <c r="P67" s="48" t="s">
        <v>95</v>
      </c>
      <c r="Q67" s="119">
        <v>0.0</v>
      </c>
      <c r="R67" s="151" t="s">
        <v>58</v>
      </c>
      <c r="S67" s="56" t="s">
        <v>100</v>
      </c>
      <c r="T67" s="50" t="s">
        <v>97</v>
      </c>
      <c r="U67" s="78"/>
      <c r="V67" s="78"/>
      <c r="W67" s="78"/>
      <c r="X67" s="78"/>
      <c r="Y67" s="81"/>
      <c r="Z67" s="54" t="s">
        <v>99</v>
      </c>
      <c r="AA67" s="48" t="s">
        <v>95</v>
      </c>
      <c r="AB67" s="120">
        <v>0.0</v>
      </c>
      <c r="AC67" s="151" t="s">
        <v>58</v>
      </c>
      <c r="AD67" s="56" t="s">
        <v>100</v>
      </c>
      <c r="AE67" s="50" t="s">
        <v>97</v>
      </c>
      <c r="AF67" s="78"/>
      <c r="AG67" s="78"/>
      <c r="AH67" s="78"/>
      <c r="AI67" s="78"/>
      <c r="AJ67" s="81"/>
      <c r="AK67" s="75" t="s">
        <v>115</v>
      </c>
      <c r="AL67" s="42" t="s">
        <v>103</v>
      </c>
      <c r="AM67" s="67">
        <v>0.8</v>
      </c>
      <c r="AN67" s="67">
        <v>2022.0</v>
      </c>
      <c r="AO67" s="42" t="s">
        <v>93</v>
      </c>
      <c r="AP67" s="59" t="s">
        <v>97</v>
      </c>
      <c r="AQ67" s="54" t="s">
        <v>99</v>
      </c>
      <c r="AR67" s="67">
        <v>0.8</v>
      </c>
      <c r="AS67" s="67">
        <v>2022.0</v>
      </c>
      <c r="AT67" s="42" t="s">
        <v>93</v>
      </c>
      <c r="AU67" s="59" t="s">
        <v>97</v>
      </c>
      <c r="AV67" s="40" t="s">
        <v>50</v>
      </c>
      <c r="AW67" s="62" t="s">
        <v>104</v>
      </c>
      <c r="AX67" s="67">
        <v>2022.0</v>
      </c>
      <c r="AY67" s="67">
        <v>0.2</v>
      </c>
      <c r="AZ67" s="45" t="s">
        <v>93</v>
      </c>
      <c r="BA67" s="71" t="s">
        <v>63</v>
      </c>
      <c r="BB67" s="56" t="s">
        <v>100</v>
      </c>
      <c r="BC67" s="59" t="s">
        <v>97</v>
      </c>
      <c r="BD67" s="40" t="s">
        <v>107</v>
      </c>
      <c r="BE67" s="42" t="s">
        <v>93</v>
      </c>
      <c r="BF67" s="78"/>
      <c r="BG67" s="23"/>
      <c r="BH67" s="23"/>
      <c r="BI67" s="23"/>
      <c r="BJ67" s="23"/>
      <c r="BK67" s="23"/>
      <c r="BL67" s="23"/>
    </row>
    <row r="68" ht="12.0" customHeight="1">
      <c r="A68" s="66">
        <v>46228.4855592824</v>
      </c>
      <c r="B68" s="67" t="s">
        <v>85</v>
      </c>
      <c r="C68" s="67" t="s">
        <v>219</v>
      </c>
      <c r="D68" s="67">
        <v>52.0</v>
      </c>
      <c r="E68" s="67" t="s">
        <v>217</v>
      </c>
      <c r="F68" s="67" t="s">
        <v>88</v>
      </c>
      <c r="G68" s="67" t="s">
        <v>286</v>
      </c>
      <c r="H68" s="67">
        <v>41.0</v>
      </c>
      <c r="I68" s="95" t="s">
        <v>288</v>
      </c>
      <c r="J68" s="71" t="s">
        <v>63</v>
      </c>
      <c r="K68" s="72" t="s">
        <v>98</v>
      </c>
      <c r="L68" s="42" t="s">
        <v>92</v>
      </c>
      <c r="M68" s="73">
        <v>5.5</v>
      </c>
      <c r="N68" s="45" t="s">
        <v>93</v>
      </c>
      <c r="O68" s="75" t="s">
        <v>115</v>
      </c>
      <c r="P68" s="48" t="s">
        <v>95</v>
      </c>
      <c r="Q68" s="119">
        <v>0.0</v>
      </c>
      <c r="R68" s="151" t="s">
        <v>58</v>
      </c>
      <c r="S68" s="56" t="s">
        <v>100</v>
      </c>
      <c r="T68" s="50" t="s">
        <v>97</v>
      </c>
      <c r="U68" s="78"/>
      <c r="V68" s="78"/>
      <c r="W68" s="78"/>
      <c r="X68" s="78"/>
      <c r="Y68" s="81"/>
      <c r="Z68" s="83" t="s">
        <v>119</v>
      </c>
      <c r="AA68" s="48" t="s">
        <v>95</v>
      </c>
      <c r="AB68" s="67">
        <v>0.0</v>
      </c>
      <c r="AC68" s="151" t="s">
        <v>58</v>
      </c>
      <c r="AD68" s="56" t="s">
        <v>100</v>
      </c>
      <c r="AE68" s="50" t="s">
        <v>97</v>
      </c>
      <c r="AF68" s="78"/>
      <c r="AG68" s="78"/>
      <c r="AH68" s="78"/>
      <c r="AI68" s="78"/>
      <c r="AJ68" s="81"/>
      <c r="AK68" s="75" t="s">
        <v>115</v>
      </c>
      <c r="AL68" s="42" t="s">
        <v>103</v>
      </c>
      <c r="AM68" s="67">
        <v>0.8</v>
      </c>
      <c r="AN68" s="67">
        <v>2022.0</v>
      </c>
      <c r="AO68" s="63" t="s">
        <v>105</v>
      </c>
      <c r="AP68" s="59" t="s">
        <v>97</v>
      </c>
      <c r="AQ68" s="83" t="s">
        <v>119</v>
      </c>
      <c r="AR68" s="67">
        <v>0.8</v>
      </c>
      <c r="AS68" s="67">
        <v>2022.0</v>
      </c>
      <c r="AT68" s="63" t="s">
        <v>105</v>
      </c>
      <c r="AU68" s="59" t="s">
        <v>97</v>
      </c>
      <c r="AV68" s="71" t="s">
        <v>63</v>
      </c>
      <c r="AW68" s="150" t="s">
        <v>136</v>
      </c>
      <c r="AX68" s="151" t="s">
        <v>58</v>
      </c>
      <c r="AY68" s="50">
        <v>0.0</v>
      </c>
      <c r="AZ68" s="155" t="s">
        <v>136</v>
      </c>
      <c r="BA68" s="71" t="s">
        <v>63</v>
      </c>
      <c r="BB68" s="56" t="s">
        <v>100</v>
      </c>
      <c r="BC68" s="59" t="s">
        <v>97</v>
      </c>
      <c r="BD68" s="40" t="s">
        <v>107</v>
      </c>
      <c r="BE68" s="42" t="s">
        <v>93</v>
      </c>
      <c r="BF68" s="78"/>
      <c r="BG68" s="23"/>
      <c r="BH68" s="23"/>
      <c r="BI68" s="23"/>
      <c r="BJ68" s="23"/>
      <c r="BK68" s="23"/>
      <c r="BL68" s="23"/>
    </row>
    <row r="69" ht="12.0" customHeight="1">
      <c r="A69" s="66">
        <v>46228.493652916666</v>
      </c>
      <c r="B69" s="67" t="s">
        <v>85</v>
      </c>
      <c r="C69" s="67" t="s">
        <v>219</v>
      </c>
      <c r="D69" s="36">
        <v>57.0</v>
      </c>
      <c r="E69" s="67" t="s">
        <v>220</v>
      </c>
      <c r="F69" s="67" t="s">
        <v>126</v>
      </c>
      <c r="G69" s="67" t="s">
        <v>286</v>
      </c>
      <c r="H69" s="67">
        <v>29.0</v>
      </c>
      <c r="I69" s="95" t="s">
        <v>289</v>
      </c>
      <c r="J69" s="71" t="s">
        <v>63</v>
      </c>
      <c r="K69" s="41" t="s">
        <v>91</v>
      </c>
      <c r="L69" s="41" t="s">
        <v>112</v>
      </c>
      <c r="M69" s="73">
        <v>5.3</v>
      </c>
      <c r="N69" s="158" t="s">
        <v>100</v>
      </c>
      <c r="O69" s="47" t="s">
        <v>94</v>
      </c>
      <c r="P69" s="150" t="s">
        <v>136</v>
      </c>
      <c r="Q69" s="119">
        <v>0.0</v>
      </c>
      <c r="R69" s="151" t="s">
        <v>58</v>
      </c>
      <c r="S69" s="56" t="s">
        <v>100</v>
      </c>
      <c r="T69" s="50" t="s">
        <v>97</v>
      </c>
      <c r="U69" s="78"/>
      <c r="V69" s="78"/>
      <c r="W69" s="78"/>
      <c r="X69" s="78"/>
      <c r="Y69" s="81"/>
      <c r="Z69" s="54" t="s">
        <v>99</v>
      </c>
      <c r="AA69" s="150" t="s">
        <v>136</v>
      </c>
      <c r="AB69" s="120">
        <v>0.0</v>
      </c>
      <c r="AC69" s="151" t="s">
        <v>58</v>
      </c>
      <c r="AD69" s="56" t="s">
        <v>100</v>
      </c>
      <c r="AE69" s="50" t="s">
        <v>97</v>
      </c>
      <c r="AF69" s="78"/>
      <c r="AG69" s="78"/>
      <c r="AH69" s="78"/>
      <c r="AI69" s="78"/>
      <c r="AJ69" s="81"/>
      <c r="AK69" s="47" t="s">
        <v>94</v>
      </c>
      <c r="AL69" s="42" t="s">
        <v>103</v>
      </c>
      <c r="AM69" s="67">
        <v>0.6</v>
      </c>
      <c r="AN69" s="67">
        <v>2020.0</v>
      </c>
      <c r="AO69" s="42" t="s">
        <v>93</v>
      </c>
      <c r="AP69" s="59" t="s">
        <v>97</v>
      </c>
      <c r="AQ69" s="54" t="s">
        <v>99</v>
      </c>
      <c r="AR69" s="67">
        <v>0.6</v>
      </c>
      <c r="AS69" s="67">
        <v>2020.0</v>
      </c>
      <c r="AT69" s="42" t="s">
        <v>93</v>
      </c>
      <c r="AU69" s="59" t="s">
        <v>97</v>
      </c>
      <c r="AV69" s="71" t="s">
        <v>63</v>
      </c>
      <c r="AW69" s="150" t="s">
        <v>136</v>
      </c>
      <c r="AX69" s="151" t="s">
        <v>58</v>
      </c>
      <c r="AY69" s="50">
        <v>0.0</v>
      </c>
      <c r="AZ69" s="155" t="s">
        <v>136</v>
      </c>
      <c r="BA69" s="71" t="s">
        <v>63</v>
      </c>
      <c r="BB69" s="150" t="s">
        <v>136</v>
      </c>
      <c r="BC69" s="59" t="s">
        <v>97</v>
      </c>
      <c r="BD69" s="40" t="s">
        <v>107</v>
      </c>
      <c r="BE69" s="42" t="s">
        <v>93</v>
      </c>
      <c r="BF69" s="78"/>
      <c r="BG69" s="23"/>
      <c r="BH69" s="23"/>
      <c r="BI69" s="23"/>
      <c r="BJ69" s="23"/>
      <c r="BK69" s="23"/>
      <c r="BL69" s="23"/>
    </row>
    <row r="70" ht="12.0" customHeight="1">
      <c r="A70" s="66">
        <v>46228.506188784726</v>
      </c>
      <c r="B70" s="67" t="s">
        <v>85</v>
      </c>
      <c r="C70" s="67" t="s">
        <v>219</v>
      </c>
      <c r="D70" s="36">
        <v>59.0</v>
      </c>
      <c r="E70" s="67" t="s">
        <v>87</v>
      </c>
      <c r="F70" s="67" t="s">
        <v>134</v>
      </c>
      <c r="G70" s="67" t="s">
        <v>290</v>
      </c>
      <c r="H70" s="67">
        <v>105.0</v>
      </c>
      <c r="I70" s="95" t="s">
        <v>291</v>
      </c>
      <c r="J70" s="71" t="s">
        <v>63</v>
      </c>
      <c r="K70" s="41" t="s">
        <v>91</v>
      </c>
      <c r="L70" s="42" t="s">
        <v>92</v>
      </c>
      <c r="M70" s="73">
        <v>5.2</v>
      </c>
      <c r="N70" s="45" t="s">
        <v>93</v>
      </c>
      <c r="O70" s="47" t="s">
        <v>94</v>
      </c>
      <c r="P70" s="150" t="s">
        <v>136</v>
      </c>
      <c r="Q70" s="119">
        <v>0.0</v>
      </c>
      <c r="R70" s="151" t="s">
        <v>58</v>
      </c>
      <c r="S70" s="56" t="s">
        <v>100</v>
      </c>
      <c r="T70" s="50" t="s">
        <v>97</v>
      </c>
      <c r="U70" s="78"/>
      <c r="V70" s="78"/>
      <c r="W70" s="78"/>
      <c r="X70" s="78"/>
      <c r="Y70" s="81"/>
      <c r="Z70" s="54" t="s">
        <v>99</v>
      </c>
      <c r="AA70" s="150" t="s">
        <v>136</v>
      </c>
      <c r="AB70" s="120">
        <v>0.0</v>
      </c>
      <c r="AC70" s="151" t="s">
        <v>58</v>
      </c>
      <c r="AD70" s="56" t="s">
        <v>100</v>
      </c>
      <c r="AE70" s="50" t="s">
        <v>97</v>
      </c>
      <c r="AF70" s="78"/>
      <c r="AG70" s="78"/>
      <c r="AH70" s="78"/>
      <c r="AI70" s="78"/>
      <c r="AJ70" s="81"/>
      <c r="AK70" s="75" t="s">
        <v>115</v>
      </c>
      <c r="AL70" s="42" t="s">
        <v>103</v>
      </c>
      <c r="AM70" s="48" t="s">
        <v>96</v>
      </c>
      <c r="AN70" s="48" t="s">
        <v>96</v>
      </c>
      <c r="AO70" s="63" t="s">
        <v>105</v>
      </c>
      <c r="AP70" s="59" t="s">
        <v>97</v>
      </c>
      <c r="AQ70" s="83" t="s">
        <v>119</v>
      </c>
      <c r="AR70" s="67">
        <v>0.6</v>
      </c>
      <c r="AS70" s="185" t="s">
        <v>96</v>
      </c>
      <c r="AT70" s="63" t="s">
        <v>105</v>
      </c>
      <c r="AU70" s="59" t="s">
        <v>97</v>
      </c>
      <c r="AV70" s="71" t="s">
        <v>63</v>
      </c>
      <c r="AW70" s="150" t="s">
        <v>136</v>
      </c>
      <c r="AX70" s="151" t="s">
        <v>58</v>
      </c>
      <c r="AY70" s="50">
        <v>0.0</v>
      </c>
      <c r="AZ70" s="155" t="s">
        <v>136</v>
      </c>
      <c r="BA70" s="71" t="s">
        <v>63</v>
      </c>
      <c r="BB70" s="150" t="s">
        <v>136</v>
      </c>
      <c r="BC70" s="59" t="s">
        <v>97</v>
      </c>
      <c r="BD70" s="40" t="s">
        <v>107</v>
      </c>
      <c r="BE70" s="42" t="s">
        <v>93</v>
      </c>
      <c r="BF70" s="78"/>
      <c r="BG70" s="23"/>
      <c r="BH70" s="23"/>
      <c r="BI70" s="23"/>
      <c r="BJ70" s="23"/>
      <c r="BK70" s="23"/>
      <c r="BL70" s="23"/>
    </row>
    <row r="71" ht="12.0" customHeight="1">
      <c r="A71" s="66">
        <v>46228.51501996528</v>
      </c>
      <c r="B71" s="67" t="s">
        <v>85</v>
      </c>
      <c r="C71" s="67" t="s">
        <v>188</v>
      </c>
      <c r="D71" s="67">
        <v>60.0</v>
      </c>
      <c r="E71" s="67" t="s">
        <v>189</v>
      </c>
      <c r="F71" s="67" t="s">
        <v>292</v>
      </c>
      <c r="G71" s="67" t="s">
        <v>293</v>
      </c>
      <c r="H71" s="67">
        <v>162.0</v>
      </c>
      <c r="I71" s="95" t="s">
        <v>294</v>
      </c>
      <c r="J71" s="71" t="s">
        <v>63</v>
      </c>
      <c r="K71" s="41" t="s">
        <v>91</v>
      </c>
      <c r="L71" s="72" t="s">
        <v>108</v>
      </c>
      <c r="M71" s="73">
        <v>5.8</v>
      </c>
      <c r="N71" s="158" t="s">
        <v>100</v>
      </c>
      <c r="O71" s="75" t="s">
        <v>115</v>
      </c>
      <c r="P71" s="150" t="s">
        <v>136</v>
      </c>
      <c r="Q71" s="119">
        <v>0.0</v>
      </c>
      <c r="R71" s="151" t="s">
        <v>58</v>
      </c>
      <c r="S71" s="56" t="s">
        <v>100</v>
      </c>
      <c r="T71" s="50" t="s">
        <v>97</v>
      </c>
      <c r="U71" s="78"/>
      <c r="V71" s="78"/>
      <c r="W71" s="78"/>
      <c r="X71" s="78"/>
      <c r="Y71" s="81"/>
      <c r="Z71" s="83" t="s">
        <v>119</v>
      </c>
      <c r="AA71" s="150" t="s">
        <v>136</v>
      </c>
      <c r="AB71" s="120">
        <v>0.0</v>
      </c>
      <c r="AC71" s="151" t="s">
        <v>58</v>
      </c>
      <c r="AD71" s="56" t="s">
        <v>100</v>
      </c>
      <c r="AE71" s="50" t="s">
        <v>97</v>
      </c>
      <c r="AF71" s="78"/>
      <c r="AG71" s="78"/>
      <c r="AH71" s="78"/>
      <c r="AI71" s="78"/>
      <c r="AJ71" s="81"/>
      <c r="AK71" s="75" t="s">
        <v>115</v>
      </c>
      <c r="AL71" s="56" t="s">
        <v>100</v>
      </c>
      <c r="AM71" s="48" t="s">
        <v>96</v>
      </c>
      <c r="AN71" s="151" t="s">
        <v>58</v>
      </c>
      <c r="AO71" s="56" t="s">
        <v>100</v>
      </c>
      <c r="AP71" s="59" t="s">
        <v>97</v>
      </c>
      <c r="AQ71" s="83" t="s">
        <v>119</v>
      </c>
      <c r="AR71" s="50">
        <v>0.0</v>
      </c>
      <c r="AS71" s="50" t="s">
        <v>58</v>
      </c>
      <c r="AT71" s="56" t="s">
        <v>100</v>
      </c>
      <c r="AU71" s="59" t="s">
        <v>97</v>
      </c>
      <c r="AV71" s="71" t="s">
        <v>63</v>
      </c>
      <c r="AW71" s="150" t="s">
        <v>136</v>
      </c>
      <c r="AX71" s="151" t="s">
        <v>58</v>
      </c>
      <c r="AY71" s="50">
        <v>0.0</v>
      </c>
      <c r="AZ71" s="155" t="s">
        <v>136</v>
      </c>
      <c r="BA71" s="71" t="s">
        <v>63</v>
      </c>
      <c r="BB71" s="150" t="s">
        <v>136</v>
      </c>
      <c r="BC71" s="59" t="s">
        <v>97</v>
      </c>
      <c r="BD71" s="40" t="s">
        <v>107</v>
      </c>
      <c r="BE71" s="42" t="s">
        <v>93</v>
      </c>
      <c r="BF71" s="78"/>
      <c r="BG71" s="23"/>
      <c r="BH71" s="23"/>
      <c r="BI71" s="23"/>
      <c r="BJ71" s="23"/>
      <c r="BK71" s="23"/>
      <c r="BL71" s="23"/>
    </row>
    <row r="72" ht="12.0" customHeight="1">
      <c r="A72" s="66">
        <v>46228.47490231482</v>
      </c>
      <c r="B72" s="67" t="s">
        <v>85</v>
      </c>
      <c r="C72" s="67" t="s">
        <v>188</v>
      </c>
      <c r="D72" s="67">
        <v>46.0</v>
      </c>
      <c r="E72" s="67" t="s">
        <v>87</v>
      </c>
      <c r="F72" s="78"/>
      <c r="G72" s="67" t="s">
        <v>290</v>
      </c>
      <c r="H72" s="67">
        <v>638.0</v>
      </c>
      <c r="I72" s="95" t="s">
        <v>295</v>
      </c>
      <c r="J72" s="71" t="s">
        <v>63</v>
      </c>
      <c r="K72" s="72" t="s">
        <v>98</v>
      </c>
      <c r="L72" s="42" t="s">
        <v>92</v>
      </c>
      <c r="M72" s="73">
        <v>5.0</v>
      </c>
      <c r="N72" s="45" t="s">
        <v>93</v>
      </c>
      <c r="O72" s="75" t="s">
        <v>115</v>
      </c>
      <c r="P72" s="48" t="s">
        <v>95</v>
      </c>
      <c r="Q72" s="73">
        <v>1.0</v>
      </c>
      <c r="R72" s="151" t="s">
        <v>58</v>
      </c>
      <c r="S72" s="56" t="s">
        <v>100</v>
      </c>
      <c r="T72" s="50" t="s">
        <v>97</v>
      </c>
      <c r="U72" s="78"/>
      <c r="V72" s="78"/>
      <c r="W72" s="78"/>
      <c r="X72" s="78"/>
      <c r="Y72" s="81"/>
      <c r="Z72" s="83" t="s">
        <v>119</v>
      </c>
      <c r="AA72" s="48" t="s">
        <v>95</v>
      </c>
      <c r="AB72" s="67">
        <v>1.0</v>
      </c>
      <c r="AC72" s="151" t="s">
        <v>58</v>
      </c>
      <c r="AD72" s="56" t="s">
        <v>100</v>
      </c>
      <c r="AE72" s="50" t="s">
        <v>97</v>
      </c>
      <c r="AF72" s="78"/>
      <c r="AG72" s="78"/>
      <c r="AH72" s="78"/>
      <c r="AI72" s="78"/>
      <c r="AJ72" s="81"/>
      <c r="AK72" s="75" t="s">
        <v>115</v>
      </c>
      <c r="AL72" s="42" t="s">
        <v>103</v>
      </c>
      <c r="AM72" s="67">
        <v>0.8</v>
      </c>
      <c r="AN72" s="67">
        <v>2020.0</v>
      </c>
      <c r="AO72" s="42" t="s">
        <v>93</v>
      </c>
      <c r="AP72" s="59" t="s">
        <v>97</v>
      </c>
      <c r="AQ72" s="83" t="s">
        <v>119</v>
      </c>
      <c r="AR72" s="67">
        <v>0.8</v>
      </c>
      <c r="AS72" s="67">
        <v>2020.0</v>
      </c>
      <c r="AT72" s="42" t="s">
        <v>93</v>
      </c>
      <c r="AU72" s="59" t="s">
        <v>97</v>
      </c>
      <c r="AV72" s="71" t="s">
        <v>63</v>
      </c>
      <c r="AW72" s="150" t="s">
        <v>136</v>
      </c>
      <c r="AX72" s="151" t="s">
        <v>58</v>
      </c>
      <c r="AY72" s="50">
        <v>0.0</v>
      </c>
      <c r="AZ72" s="155" t="s">
        <v>136</v>
      </c>
      <c r="BA72" s="71" t="s">
        <v>63</v>
      </c>
      <c r="BB72" s="56" t="s">
        <v>100</v>
      </c>
      <c r="BC72" s="59" t="s">
        <v>97</v>
      </c>
      <c r="BD72" s="40" t="s">
        <v>107</v>
      </c>
      <c r="BE72" s="42" t="s">
        <v>93</v>
      </c>
      <c r="BF72" s="78"/>
      <c r="BG72" s="23"/>
      <c r="BH72" s="23"/>
      <c r="BI72" s="23"/>
      <c r="BJ72" s="23"/>
      <c r="BK72" s="23"/>
      <c r="BL72" s="23"/>
    </row>
    <row r="73" ht="12.0" customHeight="1">
      <c r="A73" s="66">
        <v>46228.5004862037</v>
      </c>
      <c r="B73" s="67" t="s">
        <v>85</v>
      </c>
      <c r="C73" s="67" t="s">
        <v>219</v>
      </c>
      <c r="D73" s="67">
        <v>73.0</v>
      </c>
      <c r="E73" s="67" t="s">
        <v>296</v>
      </c>
      <c r="F73" s="78"/>
      <c r="G73" s="67" t="s">
        <v>290</v>
      </c>
      <c r="H73" s="67">
        <v>573.0</v>
      </c>
      <c r="I73" s="95" t="s">
        <v>297</v>
      </c>
      <c r="J73" s="71" t="s">
        <v>63</v>
      </c>
      <c r="K73" s="41" t="s">
        <v>91</v>
      </c>
      <c r="L73" s="42" t="s">
        <v>92</v>
      </c>
      <c r="M73" s="73">
        <v>4.3</v>
      </c>
      <c r="N73" s="158" t="s">
        <v>100</v>
      </c>
      <c r="O73" s="75" t="s">
        <v>115</v>
      </c>
      <c r="P73" s="150" t="s">
        <v>136</v>
      </c>
      <c r="Q73" s="119">
        <v>0.0</v>
      </c>
      <c r="R73" s="151" t="s">
        <v>58</v>
      </c>
      <c r="S73" s="56" t="s">
        <v>100</v>
      </c>
      <c r="T73" s="50" t="s">
        <v>97</v>
      </c>
      <c r="U73" s="78"/>
      <c r="V73" s="78"/>
      <c r="W73" s="78"/>
      <c r="X73" s="78"/>
      <c r="Y73" s="81"/>
      <c r="Z73" s="83" t="s">
        <v>119</v>
      </c>
      <c r="AA73" s="150" t="s">
        <v>136</v>
      </c>
      <c r="AB73" s="120">
        <v>0.0</v>
      </c>
      <c r="AC73" s="151" t="s">
        <v>58</v>
      </c>
      <c r="AD73" s="56" t="s">
        <v>100</v>
      </c>
      <c r="AE73" s="50" t="s">
        <v>97</v>
      </c>
      <c r="AF73" s="78"/>
      <c r="AG73" s="78"/>
      <c r="AH73" s="78"/>
      <c r="AI73" s="78"/>
      <c r="AJ73" s="81"/>
      <c r="AK73" s="75" t="s">
        <v>115</v>
      </c>
      <c r="AL73" s="186" t="s">
        <v>298</v>
      </c>
      <c r="AM73" s="48" t="s">
        <v>96</v>
      </c>
      <c r="AN73" s="151" t="s">
        <v>58</v>
      </c>
      <c r="AO73" s="56" t="s">
        <v>100</v>
      </c>
      <c r="AP73" s="59" t="s">
        <v>97</v>
      </c>
      <c r="AQ73" s="83" t="s">
        <v>119</v>
      </c>
      <c r="AR73" s="50">
        <v>0.0</v>
      </c>
      <c r="AS73" s="50" t="s">
        <v>58</v>
      </c>
      <c r="AT73" s="56" t="s">
        <v>100</v>
      </c>
      <c r="AU73" s="59" t="s">
        <v>97</v>
      </c>
      <c r="AV73" s="71" t="s">
        <v>63</v>
      </c>
      <c r="AW73" s="150" t="s">
        <v>136</v>
      </c>
      <c r="AX73" s="151" t="s">
        <v>58</v>
      </c>
      <c r="AY73" s="50">
        <v>0.0</v>
      </c>
      <c r="AZ73" s="158" t="s">
        <v>100</v>
      </c>
      <c r="BA73" s="71" t="s">
        <v>63</v>
      </c>
      <c r="BB73" s="56" t="s">
        <v>100</v>
      </c>
      <c r="BC73" s="59" t="s">
        <v>97</v>
      </c>
      <c r="BD73" s="40" t="s">
        <v>107</v>
      </c>
      <c r="BE73" s="42" t="s">
        <v>93</v>
      </c>
      <c r="BF73" s="78"/>
      <c r="BG73" s="23"/>
      <c r="BH73" s="23"/>
      <c r="BI73" s="23"/>
      <c r="BJ73" s="23"/>
      <c r="BK73" s="23"/>
      <c r="BL73" s="23"/>
    </row>
    <row r="74" ht="12.0" customHeight="1">
      <c r="A74" s="173">
        <v>46227.44872758102</v>
      </c>
      <c r="B74" s="174" t="s">
        <v>85</v>
      </c>
      <c r="C74" s="67" t="s">
        <v>233</v>
      </c>
      <c r="D74" s="67">
        <v>74.0</v>
      </c>
      <c r="E74" s="176" t="s">
        <v>299</v>
      </c>
      <c r="F74" s="174"/>
      <c r="G74" s="176" t="s">
        <v>221</v>
      </c>
      <c r="H74" s="177">
        <v>415.0</v>
      </c>
      <c r="I74" s="178" t="s">
        <v>300</v>
      </c>
      <c r="J74" s="71" t="s">
        <v>63</v>
      </c>
      <c r="K74" s="41" t="s">
        <v>91</v>
      </c>
      <c r="L74" s="42" t="s">
        <v>92</v>
      </c>
      <c r="M74" s="179">
        <v>7.1</v>
      </c>
      <c r="N74" s="45" t="s">
        <v>93</v>
      </c>
      <c r="O74" s="75" t="s">
        <v>115</v>
      </c>
      <c r="P74" s="100" t="s">
        <v>122</v>
      </c>
      <c r="Q74" s="179">
        <v>1.5</v>
      </c>
      <c r="R74" s="177">
        <v>2022.0</v>
      </c>
      <c r="S74" s="42" t="s">
        <v>93</v>
      </c>
      <c r="T74" s="50" t="s">
        <v>97</v>
      </c>
      <c r="U74" s="180"/>
      <c r="V74" s="180"/>
      <c r="W74" s="180"/>
      <c r="X74" s="180"/>
      <c r="Y74" s="181"/>
      <c r="Z74" s="83" t="s">
        <v>119</v>
      </c>
      <c r="AA74" s="100" t="s">
        <v>122</v>
      </c>
      <c r="AB74" s="177">
        <v>1.5</v>
      </c>
      <c r="AC74" s="177">
        <v>2022.0</v>
      </c>
      <c r="AD74" s="42" t="s">
        <v>93</v>
      </c>
      <c r="AE74" s="50" t="s">
        <v>97</v>
      </c>
      <c r="AF74" s="180"/>
      <c r="AG74" s="180"/>
      <c r="AH74" s="180"/>
      <c r="AI74" s="180"/>
      <c r="AJ74" s="181"/>
      <c r="AK74" s="75" t="s">
        <v>115</v>
      </c>
      <c r="AL74" s="171" t="s">
        <v>147</v>
      </c>
      <c r="AM74" s="174"/>
      <c r="AN74" s="177">
        <v>2022.0</v>
      </c>
      <c r="AO74" s="42" t="s">
        <v>93</v>
      </c>
      <c r="AP74" s="59" t="s">
        <v>97</v>
      </c>
      <c r="AQ74" s="83" t="s">
        <v>119</v>
      </c>
      <c r="AR74" s="177">
        <v>1.5</v>
      </c>
      <c r="AS74" s="177">
        <v>2022.0</v>
      </c>
      <c r="AT74" s="42" t="s">
        <v>93</v>
      </c>
      <c r="AU74" s="59" t="s">
        <v>97</v>
      </c>
      <c r="AV74" s="40" t="s">
        <v>50</v>
      </c>
      <c r="AW74" s="62" t="s">
        <v>104</v>
      </c>
      <c r="AX74" s="182">
        <v>2022.0</v>
      </c>
      <c r="AY74" s="182">
        <v>0.2</v>
      </c>
      <c r="AZ74" s="45" t="s">
        <v>93</v>
      </c>
      <c r="BA74" s="71" t="s">
        <v>63</v>
      </c>
      <c r="BB74" s="56" t="s">
        <v>100</v>
      </c>
      <c r="BC74" s="59" t="s">
        <v>97</v>
      </c>
      <c r="BD74" s="40" t="s">
        <v>107</v>
      </c>
      <c r="BE74" s="42" t="s">
        <v>93</v>
      </c>
      <c r="BF74" s="180"/>
      <c r="BG74" s="23"/>
      <c r="BH74" s="23"/>
      <c r="BI74" s="23"/>
      <c r="BJ74" s="23"/>
      <c r="BK74" s="23"/>
      <c r="BL74" s="23"/>
    </row>
    <row r="75" ht="12.0" customHeight="1">
      <c r="A75" s="66">
        <v>46225.516752372685</v>
      </c>
      <c r="B75" s="67" t="s">
        <v>85</v>
      </c>
      <c r="C75" s="67" t="s">
        <v>86</v>
      </c>
      <c r="D75" s="36">
        <v>72.0</v>
      </c>
      <c r="E75" s="67" t="s">
        <v>301</v>
      </c>
      <c r="F75" s="67" t="s">
        <v>134</v>
      </c>
      <c r="G75" s="67" t="s">
        <v>111</v>
      </c>
      <c r="H75" s="67">
        <v>452.0</v>
      </c>
      <c r="I75" s="95" t="s">
        <v>302</v>
      </c>
      <c r="J75" s="71" t="s">
        <v>63</v>
      </c>
      <c r="K75" s="72" t="s">
        <v>98</v>
      </c>
      <c r="L75" s="42" t="s">
        <v>92</v>
      </c>
      <c r="M75" s="73">
        <v>4.7</v>
      </c>
      <c r="N75" s="45" t="s">
        <v>93</v>
      </c>
      <c r="O75" s="75" t="s">
        <v>115</v>
      </c>
      <c r="P75" s="97" t="s">
        <v>128</v>
      </c>
      <c r="Q75" s="73">
        <v>1.3</v>
      </c>
      <c r="R75" s="77">
        <v>45495.0</v>
      </c>
      <c r="S75" s="42" t="s">
        <v>93</v>
      </c>
      <c r="T75" s="50" t="s">
        <v>97</v>
      </c>
      <c r="U75" s="78"/>
      <c r="V75" s="78"/>
      <c r="W75" s="78"/>
      <c r="X75" s="78"/>
      <c r="Y75" s="81"/>
      <c r="Z75" s="83" t="s">
        <v>119</v>
      </c>
      <c r="AA75" s="97" t="s">
        <v>128</v>
      </c>
      <c r="AB75" s="67">
        <v>1.3</v>
      </c>
      <c r="AC75" s="84">
        <v>45495.0</v>
      </c>
      <c r="AD75" s="42" t="s">
        <v>93</v>
      </c>
      <c r="AE75" s="50" t="s">
        <v>97</v>
      </c>
      <c r="AF75" s="78"/>
      <c r="AG75" s="78"/>
      <c r="AH75" s="78"/>
      <c r="AI75" s="78"/>
      <c r="AJ75" s="81"/>
      <c r="AK75" s="75" t="s">
        <v>115</v>
      </c>
      <c r="AL75" s="42" t="s">
        <v>103</v>
      </c>
      <c r="AM75" s="67">
        <v>0.9</v>
      </c>
      <c r="AN75" s="84">
        <v>45495.0</v>
      </c>
      <c r="AO75" s="42" t="s">
        <v>93</v>
      </c>
      <c r="AP75" s="59" t="s">
        <v>97</v>
      </c>
      <c r="AQ75" s="83" t="s">
        <v>119</v>
      </c>
      <c r="AR75" s="67">
        <v>0.9</v>
      </c>
      <c r="AS75" s="84">
        <v>45495.0</v>
      </c>
      <c r="AT75" s="42" t="s">
        <v>93</v>
      </c>
      <c r="AU75" s="59" t="s">
        <v>97</v>
      </c>
      <c r="AV75" s="40" t="s">
        <v>50</v>
      </c>
      <c r="AW75" s="62" t="s">
        <v>104</v>
      </c>
      <c r="AX75" s="84">
        <v>45495.0</v>
      </c>
      <c r="AY75" s="67">
        <v>0.15</v>
      </c>
      <c r="AZ75" s="45" t="s">
        <v>93</v>
      </c>
      <c r="BA75" s="40" t="s">
        <v>50</v>
      </c>
      <c r="BB75" s="63" t="s">
        <v>105</v>
      </c>
      <c r="BC75" s="92" t="s">
        <v>303</v>
      </c>
      <c r="BD75" s="40" t="s">
        <v>107</v>
      </c>
      <c r="BE75" s="42" t="s">
        <v>93</v>
      </c>
      <c r="BF75" s="93"/>
      <c r="BG75" s="23"/>
      <c r="BH75" s="23"/>
      <c r="BI75" s="23"/>
      <c r="BJ75" s="23"/>
      <c r="BK75" s="23"/>
      <c r="BL75" s="23"/>
    </row>
    <row r="76" ht="12.0" customHeight="1">
      <c r="A76" s="66">
        <v>46226.42889298611</v>
      </c>
      <c r="B76" s="67" t="s">
        <v>85</v>
      </c>
      <c r="C76" s="67" t="s">
        <v>233</v>
      </c>
      <c r="D76" s="36">
        <v>75.0</v>
      </c>
      <c r="E76" s="67" t="s">
        <v>304</v>
      </c>
      <c r="F76" s="78"/>
      <c r="G76" s="67" t="s">
        <v>305</v>
      </c>
      <c r="H76" s="67">
        <v>267.0</v>
      </c>
      <c r="I76" s="95" t="s">
        <v>306</v>
      </c>
      <c r="J76" s="71" t="s">
        <v>63</v>
      </c>
      <c r="K76" s="72" t="s">
        <v>98</v>
      </c>
      <c r="L76" s="42" t="s">
        <v>92</v>
      </c>
      <c r="M76" s="73">
        <v>4.9</v>
      </c>
      <c r="N76" s="45" t="s">
        <v>93</v>
      </c>
      <c r="O76" s="75" t="s">
        <v>115</v>
      </c>
      <c r="P76" s="100" t="s">
        <v>122</v>
      </c>
      <c r="Q76" s="73">
        <v>1.2</v>
      </c>
      <c r="R76" s="118">
        <v>2023.0</v>
      </c>
      <c r="S76" s="56" t="s">
        <v>100</v>
      </c>
      <c r="T76" s="67" t="s">
        <v>212</v>
      </c>
      <c r="U76" s="78"/>
      <c r="V76" s="78"/>
      <c r="W76" s="78"/>
      <c r="X76" s="78"/>
      <c r="Y76" s="81"/>
      <c r="Z76" s="83" t="s">
        <v>119</v>
      </c>
      <c r="AA76" s="48" t="s">
        <v>95</v>
      </c>
      <c r="AB76" s="120">
        <v>0.0</v>
      </c>
      <c r="AC76" s="159" t="s">
        <v>96</v>
      </c>
      <c r="AD76" s="48" t="s">
        <v>96</v>
      </c>
      <c r="AE76" s="67" t="s">
        <v>212</v>
      </c>
      <c r="AF76" s="78"/>
      <c r="AG76" s="78"/>
      <c r="AH76" s="78"/>
      <c r="AI76" s="78"/>
      <c r="AJ76" s="81"/>
      <c r="AK76" s="75" t="s">
        <v>115</v>
      </c>
      <c r="AL76" s="42" t="s">
        <v>103</v>
      </c>
      <c r="AM76" s="67">
        <v>0.9</v>
      </c>
      <c r="AN76" s="67">
        <v>2023.0</v>
      </c>
      <c r="AO76" s="42" t="s">
        <v>93</v>
      </c>
      <c r="AP76" s="59" t="s">
        <v>97</v>
      </c>
      <c r="AQ76" s="83" t="s">
        <v>119</v>
      </c>
      <c r="AR76" s="67">
        <v>0.9</v>
      </c>
      <c r="AS76" s="67">
        <v>2023.0</v>
      </c>
      <c r="AT76" s="42" t="s">
        <v>93</v>
      </c>
      <c r="AU76" s="59" t="s">
        <v>97</v>
      </c>
      <c r="AV76" s="40" t="s">
        <v>50</v>
      </c>
      <c r="AW76" s="62" t="s">
        <v>104</v>
      </c>
      <c r="AX76" s="67">
        <v>2023.0</v>
      </c>
      <c r="AY76" s="67">
        <v>0.2</v>
      </c>
      <c r="AZ76" s="45" t="s">
        <v>93</v>
      </c>
      <c r="BA76" s="40" t="s">
        <v>50</v>
      </c>
      <c r="BB76" s="63" t="s">
        <v>105</v>
      </c>
      <c r="BC76" s="92" t="s">
        <v>307</v>
      </c>
      <c r="BD76" s="40" t="s">
        <v>107</v>
      </c>
      <c r="BE76" s="42" t="s">
        <v>93</v>
      </c>
      <c r="BF76" s="78"/>
      <c r="BG76" s="23"/>
      <c r="BH76" s="23"/>
      <c r="BI76" s="23"/>
      <c r="BJ76" s="23"/>
      <c r="BK76" s="23"/>
      <c r="BL76" s="23"/>
    </row>
    <row r="77" ht="12.0" customHeight="1">
      <c r="A77" s="66">
        <v>46226.43329399306</v>
      </c>
      <c r="B77" s="67" t="s">
        <v>85</v>
      </c>
      <c r="C77" s="67" t="s">
        <v>233</v>
      </c>
      <c r="D77" s="67">
        <v>76.0</v>
      </c>
      <c r="E77" s="67" t="s">
        <v>304</v>
      </c>
      <c r="F77" s="67" t="s">
        <v>88</v>
      </c>
      <c r="G77" s="67" t="s">
        <v>308</v>
      </c>
      <c r="H77" s="67">
        <v>94.0</v>
      </c>
      <c r="I77" s="95" t="s">
        <v>309</v>
      </c>
      <c r="J77" s="71" t="s">
        <v>63</v>
      </c>
      <c r="K77" s="72" t="s">
        <v>98</v>
      </c>
      <c r="L77" s="42" t="s">
        <v>92</v>
      </c>
      <c r="M77" s="73">
        <v>5.4</v>
      </c>
      <c r="N77" s="45" t="s">
        <v>93</v>
      </c>
      <c r="O77" s="47" t="s">
        <v>94</v>
      </c>
      <c r="P77" s="48" t="s">
        <v>95</v>
      </c>
      <c r="Q77" s="119">
        <v>0.0</v>
      </c>
      <c r="R77" s="151" t="s">
        <v>58</v>
      </c>
      <c r="S77" s="56" t="s">
        <v>100</v>
      </c>
      <c r="T77" s="67" t="s">
        <v>212</v>
      </c>
      <c r="U77" s="78"/>
      <c r="V77" s="78"/>
      <c r="W77" s="78"/>
      <c r="X77" s="78"/>
      <c r="Y77" s="81"/>
      <c r="Z77" s="83" t="s">
        <v>119</v>
      </c>
      <c r="AA77" s="48" t="s">
        <v>95</v>
      </c>
      <c r="AB77" s="120">
        <v>0.0</v>
      </c>
      <c r="AC77" s="159" t="s">
        <v>96</v>
      </c>
      <c r="AD77" s="48" t="s">
        <v>96</v>
      </c>
      <c r="AE77" s="67" t="s">
        <v>212</v>
      </c>
      <c r="AF77" s="78"/>
      <c r="AG77" s="78"/>
      <c r="AH77" s="78"/>
      <c r="AI77" s="78"/>
      <c r="AJ77" s="81"/>
      <c r="AK77" s="47" t="s">
        <v>94</v>
      </c>
      <c r="AL77" s="42" t="s">
        <v>103</v>
      </c>
      <c r="AM77" s="67">
        <v>0.6</v>
      </c>
      <c r="AN77" s="67">
        <v>2023.0</v>
      </c>
      <c r="AO77" s="42" t="s">
        <v>93</v>
      </c>
      <c r="AP77" s="59" t="s">
        <v>97</v>
      </c>
      <c r="AQ77" s="54" t="s">
        <v>99</v>
      </c>
      <c r="AR77" s="67">
        <v>0.6</v>
      </c>
      <c r="AS77" s="67">
        <v>2023.0</v>
      </c>
      <c r="AT77" s="42" t="s">
        <v>93</v>
      </c>
      <c r="AU77" s="59" t="s">
        <v>97</v>
      </c>
      <c r="AV77" s="40" t="s">
        <v>50</v>
      </c>
      <c r="AW77" s="62" t="s">
        <v>104</v>
      </c>
      <c r="AX77" s="67">
        <v>2023.0</v>
      </c>
      <c r="AY77" s="67">
        <v>0.15</v>
      </c>
      <c r="AZ77" s="45" t="s">
        <v>93</v>
      </c>
      <c r="BA77" s="40" t="s">
        <v>50</v>
      </c>
      <c r="BB77" s="63" t="s">
        <v>105</v>
      </c>
      <c r="BC77" s="92" t="s">
        <v>307</v>
      </c>
      <c r="BD77" s="40" t="s">
        <v>107</v>
      </c>
      <c r="BE77" s="42" t="s">
        <v>93</v>
      </c>
      <c r="BF77" s="78"/>
      <c r="BG77" s="23"/>
      <c r="BH77" s="23"/>
      <c r="BI77" s="23"/>
      <c r="BJ77" s="23"/>
      <c r="BK77" s="23"/>
      <c r="BL77" s="23"/>
    </row>
    <row r="78" ht="12.0" customHeight="1">
      <c r="A78" s="66">
        <v>46226.4372274537</v>
      </c>
      <c r="B78" s="67" t="s">
        <v>85</v>
      </c>
      <c r="C78" s="67" t="s">
        <v>233</v>
      </c>
      <c r="D78" s="67">
        <v>77.0</v>
      </c>
      <c r="E78" s="67" t="s">
        <v>304</v>
      </c>
      <c r="F78" s="67" t="s">
        <v>310</v>
      </c>
      <c r="G78" s="67" t="s">
        <v>308</v>
      </c>
      <c r="H78" s="67">
        <v>98.0</v>
      </c>
      <c r="I78" s="95" t="s">
        <v>311</v>
      </c>
      <c r="J78" s="71" t="s">
        <v>63</v>
      </c>
      <c r="K78" s="72" t="s">
        <v>98</v>
      </c>
      <c r="L78" s="42" t="s">
        <v>92</v>
      </c>
      <c r="M78" s="73">
        <v>3.5</v>
      </c>
      <c r="N78" s="45" t="s">
        <v>93</v>
      </c>
      <c r="O78" s="47" t="s">
        <v>94</v>
      </c>
      <c r="P78" s="48" t="s">
        <v>95</v>
      </c>
      <c r="Q78" s="187">
        <v>0.0</v>
      </c>
      <c r="R78" s="159" t="s">
        <v>96</v>
      </c>
      <c r="S78" s="56" t="s">
        <v>100</v>
      </c>
      <c r="T78" s="67" t="s">
        <v>212</v>
      </c>
      <c r="U78" s="78"/>
      <c r="V78" s="78"/>
      <c r="W78" s="78"/>
      <c r="X78" s="78"/>
      <c r="Y78" s="81"/>
      <c r="Z78" s="54" t="s">
        <v>99</v>
      </c>
      <c r="AA78" s="100" t="s">
        <v>122</v>
      </c>
      <c r="AB78" s="67">
        <v>0.6</v>
      </c>
      <c r="AC78" s="67">
        <v>2023.0</v>
      </c>
      <c r="AD78" s="42" t="s">
        <v>93</v>
      </c>
      <c r="AE78" s="50" t="s">
        <v>97</v>
      </c>
      <c r="AF78" s="78"/>
      <c r="AG78" s="78"/>
      <c r="AH78" s="78"/>
      <c r="AI78" s="78"/>
      <c r="AJ78" s="81"/>
      <c r="AK78" s="47" t="s">
        <v>94</v>
      </c>
      <c r="AL78" s="42" t="s">
        <v>103</v>
      </c>
      <c r="AM78" s="67">
        <v>0.6</v>
      </c>
      <c r="AN78" s="67">
        <v>2023.0</v>
      </c>
      <c r="AO78" s="42" t="s">
        <v>93</v>
      </c>
      <c r="AP78" s="59" t="s">
        <v>97</v>
      </c>
      <c r="AQ78" s="54" t="s">
        <v>99</v>
      </c>
      <c r="AR78" s="67">
        <v>0.6</v>
      </c>
      <c r="AS78" s="67">
        <v>2023.0</v>
      </c>
      <c r="AT78" s="42" t="s">
        <v>93</v>
      </c>
      <c r="AU78" s="59" t="s">
        <v>97</v>
      </c>
      <c r="AV78" s="40" t="s">
        <v>50</v>
      </c>
      <c r="AW78" s="62" t="s">
        <v>104</v>
      </c>
      <c r="AX78" s="67">
        <v>2023.0</v>
      </c>
      <c r="AY78" s="67">
        <v>0.15</v>
      </c>
      <c r="AZ78" s="45" t="s">
        <v>93</v>
      </c>
      <c r="BA78" s="40" t="s">
        <v>50</v>
      </c>
      <c r="BB78" s="63" t="s">
        <v>105</v>
      </c>
      <c r="BC78" s="92" t="s">
        <v>307</v>
      </c>
      <c r="BD78" s="40" t="s">
        <v>107</v>
      </c>
      <c r="BE78" s="42" t="s">
        <v>93</v>
      </c>
      <c r="BF78" s="78"/>
      <c r="BG78" s="23"/>
      <c r="BH78" s="23"/>
      <c r="BI78" s="23"/>
      <c r="BJ78" s="23"/>
      <c r="BK78" s="23"/>
      <c r="BL78" s="23"/>
    </row>
    <row r="79" ht="12.0" customHeight="1">
      <c r="A79" s="66">
        <v>46226.44126709491</v>
      </c>
      <c r="B79" s="67" t="s">
        <v>85</v>
      </c>
      <c r="C79" s="67" t="s">
        <v>233</v>
      </c>
      <c r="D79" s="36">
        <v>78.0</v>
      </c>
      <c r="E79" s="67" t="s">
        <v>304</v>
      </c>
      <c r="F79" s="67" t="s">
        <v>312</v>
      </c>
      <c r="G79" s="67" t="s">
        <v>305</v>
      </c>
      <c r="H79" s="67">
        <v>59.0</v>
      </c>
      <c r="I79" s="95" t="s">
        <v>313</v>
      </c>
      <c r="J79" s="71" t="s">
        <v>63</v>
      </c>
      <c r="K79" s="72" t="s">
        <v>98</v>
      </c>
      <c r="L79" s="42" t="s">
        <v>92</v>
      </c>
      <c r="M79" s="73">
        <v>4.1</v>
      </c>
      <c r="N79" s="45" t="s">
        <v>93</v>
      </c>
      <c r="O79" s="75" t="s">
        <v>115</v>
      </c>
      <c r="P79" s="100" t="s">
        <v>122</v>
      </c>
      <c r="Q79" s="73">
        <v>0.8</v>
      </c>
      <c r="R79" s="118">
        <v>2023.0</v>
      </c>
      <c r="S79" s="42" t="s">
        <v>93</v>
      </c>
      <c r="T79" s="50" t="s">
        <v>97</v>
      </c>
      <c r="U79" s="78"/>
      <c r="V79" s="78"/>
      <c r="W79" s="78"/>
      <c r="X79" s="78"/>
      <c r="Y79" s="81"/>
      <c r="Z79" s="83" t="s">
        <v>119</v>
      </c>
      <c r="AA79" s="100" t="s">
        <v>122</v>
      </c>
      <c r="AB79" s="67">
        <v>0.8</v>
      </c>
      <c r="AC79" s="67">
        <v>2023.0</v>
      </c>
      <c r="AD79" s="42" t="s">
        <v>93</v>
      </c>
      <c r="AE79" s="50" t="s">
        <v>97</v>
      </c>
      <c r="AF79" s="78"/>
      <c r="AG79" s="78"/>
      <c r="AH79" s="78"/>
      <c r="AI79" s="78"/>
      <c r="AJ79" s="81"/>
      <c r="AK79" s="75" t="s">
        <v>115</v>
      </c>
      <c r="AL79" s="42" t="s">
        <v>103</v>
      </c>
      <c r="AM79" s="67">
        <v>0.6</v>
      </c>
      <c r="AN79" s="67">
        <v>2023.0</v>
      </c>
      <c r="AO79" s="42" t="s">
        <v>93</v>
      </c>
      <c r="AP79" s="59" t="s">
        <v>97</v>
      </c>
      <c r="AQ79" s="83" t="s">
        <v>119</v>
      </c>
      <c r="AR79" s="67">
        <v>0.6</v>
      </c>
      <c r="AS79" s="67">
        <v>2023.0</v>
      </c>
      <c r="AT79" s="42" t="s">
        <v>93</v>
      </c>
      <c r="AU79" s="59" t="s">
        <v>97</v>
      </c>
      <c r="AV79" s="40" t="s">
        <v>50</v>
      </c>
      <c r="AW79" s="62" t="s">
        <v>104</v>
      </c>
      <c r="AX79" s="67">
        <v>2023.0</v>
      </c>
      <c r="AY79" s="67">
        <v>0.15</v>
      </c>
      <c r="AZ79" s="45" t="s">
        <v>93</v>
      </c>
      <c r="BA79" s="40" t="s">
        <v>50</v>
      </c>
      <c r="BB79" s="63" t="s">
        <v>105</v>
      </c>
      <c r="BC79" s="92" t="s">
        <v>307</v>
      </c>
      <c r="BD79" s="40" t="s">
        <v>107</v>
      </c>
      <c r="BE79" s="42" t="s">
        <v>93</v>
      </c>
      <c r="BF79" s="78"/>
      <c r="BG79" s="23"/>
      <c r="BH79" s="23"/>
      <c r="BI79" s="23"/>
      <c r="BJ79" s="23"/>
      <c r="BK79" s="23"/>
      <c r="BL79" s="23"/>
    </row>
    <row r="80" ht="12.0" customHeight="1">
      <c r="A80" s="66">
        <v>46226.44518217593</v>
      </c>
      <c r="B80" s="67" t="s">
        <v>85</v>
      </c>
      <c r="C80" s="67" t="s">
        <v>233</v>
      </c>
      <c r="D80" s="67">
        <v>79.0</v>
      </c>
      <c r="E80" s="67" t="s">
        <v>314</v>
      </c>
      <c r="F80" s="67" t="s">
        <v>315</v>
      </c>
      <c r="G80" s="67" t="s">
        <v>316</v>
      </c>
      <c r="H80" s="67">
        <v>58.0</v>
      </c>
      <c r="I80" s="95" t="s">
        <v>317</v>
      </c>
      <c r="J80" s="71" t="s">
        <v>63</v>
      </c>
      <c r="K80" s="72" t="s">
        <v>98</v>
      </c>
      <c r="L80" s="42" t="s">
        <v>92</v>
      </c>
      <c r="M80" s="73">
        <v>4.1</v>
      </c>
      <c r="N80" s="45" t="s">
        <v>93</v>
      </c>
      <c r="O80" s="75" t="s">
        <v>115</v>
      </c>
      <c r="P80" s="100" t="s">
        <v>122</v>
      </c>
      <c r="Q80" s="73">
        <v>1.0</v>
      </c>
      <c r="R80" s="118">
        <v>2023.0</v>
      </c>
      <c r="S80" s="42" t="s">
        <v>93</v>
      </c>
      <c r="T80" s="50" t="s">
        <v>97</v>
      </c>
      <c r="U80" s="78"/>
      <c r="V80" s="78"/>
      <c r="W80" s="78"/>
      <c r="X80" s="78"/>
      <c r="Y80" s="81"/>
      <c r="Z80" s="83" t="s">
        <v>119</v>
      </c>
      <c r="AA80" s="100" t="s">
        <v>122</v>
      </c>
      <c r="AB80" s="67">
        <v>1.0</v>
      </c>
      <c r="AC80" s="67">
        <v>2023.0</v>
      </c>
      <c r="AD80" s="42" t="s">
        <v>93</v>
      </c>
      <c r="AE80" s="50" t="s">
        <v>97</v>
      </c>
      <c r="AF80" s="78"/>
      <c r="AG80" s="78"/>
      <c r="AH80" s="78"/>
      <c r="AI80" s="78"/>
      <c r="AJ80" s="81"/>
      <c r="AK80" s="75" t="s">
        <v>115</v>
      </c>
      <c r="AL80" s="42" t="s">
        <v>103</v>
      </c>
      <c r="AM80" s="67">
        <v>0.6</v>
      </c>
      <c r="AN80" s="67">
        <v>2023.0</v>
      </c>
      <c r="AO80" s="42" t="s">
        <v>93</v>
      </c>
      <c r="AP80" s="59" t="s">
        <v>97</v>
      </c>
      <c r="AQ80" s="83" t="s">
        <v>119</v>
      </c>
      <c r="AR80" s="67">
        <v>0.6</v>
      </c>
      <c r="AS80" s="67">
        <v>2023.0</v>
      </c>
      <c r="AT80" s="42" t="s">
        <v>93</v>
      </c>
      <c r="AU80" s="59" t="s">
        <v>97</v>
      </c>
      <c r="AV80" s="40" t="s">
        <v>50</v>
      </c>
      <c r="AW80" s="62" t="s">
        <v>104</v>
      </c>
      <c r="AX80" s="67">
        <v>2023.0</v>
      </c>
      <c r="AY80" s="67">
        <v>0.15</v>
      </c>
      <c r="AZ80" s="45" t="s">
        <v>93</v>
      </c>
      <c r="BA80" s="40" t="s">
        <v>50</v>
      </c>
      <c r="BB80" s="63" t="s">
        <v>105</v>
      </c>
      <c r="BC80" s="92" t="s">
        <v>307</v>
      </c>
      <c r="BD80" s="40" t="s">
        <v>107</v>
      </c>
      <c r="BE80" s="42" t="s">
        <v>93</v>
      </c>
      <c r="BF80" s="78"/>
      <c r="BG80" s="23"/>
      <c r="BH80" s="23"/>
      <c r="BI80" s="23"/>
      <c r="BJ80" s="23"/>
      <c r="BK80" s="23"/>
      <c r="BL80" s="23"/>
    </row>
    <row r="81" ht="12.0" customHeight="1">
      <c r="A81" s="66">
        <v>46226.45371935185</v>
      </c>
      <c r="B81" s="67" t="s">
        <v>85</v>
      </c>
      <c r="C81" s="67" t="s">
        <v>233</v>
      </c>
      <c r="D81" s="36">
        <v>80.0</v>
      </c>
      <c r="E81" s="67" t="s">
        <v>304</v>
      </c>
      <c r="F81" s="67" t="s">
        <v>134</v>
      </c>
      <c r="G81" s="67" t="s">
        <v>316</v>
      </c>
      <c r="H81" s="67">
        <v>95.0</v>
      </c>
      <c r="I81" s="95" t="s">
        <v>318</v>
      </c>
      <c r="J81" s="40" t="s">
        <v>50</v>
      </c>
      <c r="K81" s="72" t="s">
        <v>98</v>
      </c>
      <c r="L81" s="42" t="s">
        <v>92</v>
      </c>
      <c r="M81" s="73">
        <v>4.0</v>
      </c>
      <c r="N81" s="45" t="s">
        <v>93</v>
      </c>
      <c r="O81" s="47" t="s">
        <v>94</v>
      </c>
      <c r="P81" s="100" t="s">
        <v>122</v>
      </c>
      <c r="Q81" s="73">
        <v>1.2</v>
      </c>
      <c r="R81" s="118">
        <v>2023.0</v>
      </c>
      <c r="S81" s="42" t="s">
        <v>93</v>
      </c>
      <c r="T81" s="50" t="s">
        <v>97</v>
      </c>
      <c r="U81" s="78"/>
      <c r="V81" s="78"/>
      <c r="W81" s="78"/>
      <c r="X81" s="78"/>
      <c r="Y81" s="81"/>
      <c r="Z81" s="54" t="s">
        <v>99</v>
      </c>
      <c r="AA81" s="100" t="s">
        <v>122</v>
      </c>
      <c r="AB81" s="67">
        <v>4.0</v>
      </c>
      <c r="AC81" s="67">
        <v>2023.0</v>
      </c>
      <c r="AD81" s="42" t="s">
        <v>93</v>
      </c>
      <c r="AE81" s="42" t="s">
        <v>93</v>
      </c>
      <c r="AF81" s="78"/>
      <c r="AG81" s="78"/>
      <c r="AH81" s="78"/>
      <c r="AI81" s="78"/>
      <c r="AJ81" s="81"/>
      <c r="AK81" s="47" t="s">
        <v>94</v>
      </c>
      <c r="AL81" s="42" t="s">
        <v>103</v>
      </c>
      <c r="AM81" s="67">
        <v>0.7</v>
      </c>
      <c r="AN81" s="67">
        <v>2023.0</v>
      </c>
      <c r="AO81" s="42" t="s">
        <v>93</v>
      </c>
      <c r="AP81" s="59" t="s">
        <v>97</v>
      </c>
      <c r="AQ81" s="54" t="s">
        <v>99</v>
      </c>
      <c r="AR81" s="67">
        <v>0.7</v>
      </c>
      <c r="AS81" s="67">
        <v>2023.0</v>
      </c>
      <c r="AT81" s="42" t="s">
        <v>93</v>
      </c>
      <c r="AU81" s="59" t="s">
        <v>97</v>
      </c>
      <c r="AV81" s="40" t="s">
        <v>50</v>
      </c>
      <c r="AW81" s="62" t="s">
        <v>104</v>
      </c>
      <c r="AX81" s="67">
        <v>2023.0</v>
      </c>
      <c r="AY81" s="67">
        <v>0.15</v>
      </c>
      <c r="AZ81" s="45" t="s">
        <v>93</v>
      </c>
      <c r="BA81" s="40" t="s">
        <v>50</v>
      </c>
      <c r="BB81" s="63" t="s">
        <v>105</v>
      </c>
      <c r="BC81" s="92" t="s">
        <v>307</v>
      </c>
      <c r="BD81" s="40" t="s">
        <v>107</v>
      </c>
      <c r="BE81" s="42" t="s">
        <v>93</v>
      </c>
      <c r="BF81" s="78"/>
      <c r="BG81" s="23"/>
      <c r="BH81" s="23"/>
      <c r="BI81" s="23"/>
      <c r="BJ81" s="23"/>
      <c r="BK81" s="23"/>
      <c r="BL81" s="23"/>
    </row>
    <row r="82" ht="12.0" customHeight="1">
      <c r="A82" s="162">
        <v>46227.44317871528</v>
      </c>
      <c r="B82" s="163" t="s">
        <v>85</v>
      </c>
      <c r="C82" s="67" t="s">
        <v>233</v>
      </c>
      <c r="D82" s="36">
        <v>81.0</v>
      </c>
      <c r="E82" s="164" t="s">
        <v>304</v>
      </c>
      <c r="F82" s="165"/>
      <c r="G82" s="165" t="s">
        <v>221</v>
      </c>
      <c r="H82" s="166">
        <v>460.0</v>
      </c>
      <c r="I82" s="167" t="s">
        <v>319</v>
      </c>
      <c r="J82" s="71" t="s">
        <v>63</v>
      </c>
      <c r="K82" s="41" t="s">
        <v>91</v>
      </c>
      <c r="L82" s="42" t="s">
        <v>92</v>
      </c>
      <c r="M82" s="168">
        <v>7.1</v>
      </c>
      <c r="N82" s="45" t="s">
        <v>93</v>
      </c>
      <c r="O82" s="75" t="s">
        <v>115</v>
      </c>
      <c r="P82" s="100" t="s">
        <v>122</v>
      </c>
      <c r="Q82" s="168">
        <v>1.4</v>
      </c>
      <c r="R82" s="166">
        <v>2022.0</v>
      </c>
      <c r="S82" s="42" t="s">
        <v>93</v>
      </c>
      <c r="T82" s="50" t="s">
        <v>97</v>
      </c>
      <c r="U82" s="169"/>
      <c r="V82" s="169"/>
      <c r="W82" s="169"/>
      <c r="X82" s="169"/>
      <c r="Y82" s="170"/>
      <c r="Z82" s="83" t="s">
        <v>119</v>
      </c>
      <c r="AA82" s="100" t="s">
        <v>122</v>
      </c>
      <c r="AB82" s="166">
        <v>1.4</v>
      </c>
      <c r="AC82" s="166">
        <v>2022.0</v>
      </c>
      <c r="AD82" s="42" t="s">
        <v>93</v>
      </c>
      <c r="AE82" s="50" t="s">
        <v>97</v>
      </c>
      <c r="AF82" s="169"/>
      <c r="AG82" s="169"/>
      <c r="AH82" s="169"/>
      <c r="AI82" s="169"/>
      <c r="AJ82" s="170"/>
      <c r="AK82" s="75" t="s">
        <v>115</v>
      </c>
      <c r="AL82" s="171" t="s">
        <v>147</v>
      </c>
      <c r="AM82" s="166">
        <v>0.7</v>
      </c>
      <c r="AN82" s="166">
        <v>2022.0</v>
      </c>
      <c r="AO82" s="42" t="s">
        <v>93</v>
      </c>
      <c r="AP82" s="59" t="s">
        <v>97</v>
      </c>
      <c r="AQ82" s="83" t="s">
        <v>119</v>
      </c>
      <c r="AR82" s="166">
        <v>0.7</v>
      </c>
      <c r="AS82" s="166">
        <v>2022.0</v>
      </c>
      <c r="AT82" s="42" t="s">
        <v>93</v>
      </c>
      <c r="AU82" s="59" t="s">
        <v>97</v>
      </c>
      <c r="AV82" s="40" t="s">
        <v>50</v>
      </c>
      <c r="AW82" s="185" t="s">
        <v>96</v>
      </c>
      <c r="AX82" s="172">
        <v>2022.0</v>
      </c>
      <c r="AY82" s="172">
        <v>0.2</v>
      </c>
      <c r="AZ82" s="45" t="s">
        <v>93</v>
      </c>
      <c r="BA82" s="71" t="s">
        <v>63</v>
      </c>
      <c r="BB82" s="56" t="s">
        <v>100</v>
      </c>
      <c r="BC82" s="59" t="s">
        <v>97</v>
      </c>
      <c r="BD82" s="40" t="s">
        <v>107</v>
      </c>
      <c r="BE82" s="42" t="s">
        <v>93</v>
      </c>
      <c r="BF82" s="169"/>
      <c r="BG82" s="23"/>
      <c r="BH82" s="23"/>
      <c r="BI82" s="23"/>
      <c r="BJ82" s="23"/>
      <c r="BK82" s="23"/>
      <c r="BL82" s="23"/>
    </row>
    <row r="83" ht="12.0" customHeight="1">
      <c r="A83" s="66">
        <v>46226.45002971065</v>
      </c>
      <c r="B83" s="67" t="s">
        <v>85</v>
      </c>
      <c r="C83" s="67" t="s">
        <v>233</v>
      </c>
      <c r="D83" s="67">
        <v>82.0</v>
      </c>
      <c r="E83" s="67" t="s">
        <v>320</v>
      </c>
      <c r="F83" s="78"/>
      <c r="G83" s="67" t="s">
        <v>316</v>
      </c>
      <c r="H83" s="67">
        <v>146.0</v>
      </c>
      <c r="I83" s="95" t="s">
        <v>321</v>
      </c>
      <c r="J83" s="71" t="s">
        <v>63</v>
      </c>
      <c r="K83" s="72" t="s">
        <v>98</v>
      </c>
      <c r="L83" s="42" t="s">
        <v>92</v>
      </c>
      <c r="M83" s="73">
        <v>3.1</v>
      </c>
      <c r="N83" s="45" t="s">
        <v>93</v>
      </c>
      <c r="O83" s="75" t="s">
        <v>115</v>
      </c>
      <c r="P83" s="48" t="s">
        <v>95</v>
      </c>
      <c r="Q83" s="48" t="s">
        <v>96</v>
      </c>
      <c r="R83" s="159" t="s">
        <v>96</v>
      </c>
      <c r="S83" s="48" t="s">
        <v>96</v>
      </c>
      <c r="T83" s="67" t="s">
        <v>212</v>
      </c>
      <c r="U83" s="78"/>
      <c r="V83" s="78"/>
      <c r="W83" s="78"/>
      <c r="X83" s="78"/>
      <c r="Y83" s="81"/>
      <c r="Z83" s="83" t="s">
        <v>119</v>
      </c>
      <c r="AA83" s="48" t="s">
        <v>95</v>
      </c>
      <c r="AB83" s="48" t="s">
        <v>96</v>
      </c>
      <c r="AC83" s="159" t="s">
        <v>96</v>
      </c>
      <c r="AD83" s="48" t="s">
        <v>96</v>
      </c>
      <c r="AE83" s="67" t="s">
        <v>212</v>
      </c>
      <c r="AF83" s="78"/>
      <c r="AG83" s="78"/>
      <c r="AH83" s="78"/>
      <c r="AI83" s="78"/>
      <c r="AJ83" s="81"/>
      <c r="AK83" s="75" t="s">
        <v>115</v>
      </c>
      <c r="AL83" s="42" t="s">
        <v>103</v>
      </c>
      <c r="AM83" s="67">
        <v>0.6</v>
      </c>
      <c r="AN83" s="67">
        <v>2023.0</v>
      </c>
      <c r="AO83" s="42" t="s">
        <v>93</v>
      </c>
      <c r="AP83" s="59" t="s">
        <v>97</v>
      </c>
      <c r="AQ83" s="83" t="s">
        <v>119</v>
      </c>
      <c r="AR83" s="67">
        <v>0.6</v>
      </c>
      <c r="AS83" s="67">
        <v>2023.0</v>
      </c>
      <c r="AT83" s="42" t="s">
        <v>93</v>
      </c>
      <c r="AU83" s="59" t="s">
        <v>97</v>
      </c>
      <c r="AV83" s="40" t="s">
        <v>50</v>
      </c>
      <c r="AW83" s="62" t="s">
        <v>104</v>
      </c>
      <c r="AX83" s="67">
        <v>2023.0</v>
      </c>
      <c r="AY83" s="67">
        <v>0.15</v>
      </c>
      <c r="AZ83" s="45" t="s">
        <v>93</v>
      </c>
      <c r="BA83" s="40" t="s">
        <v>50</v>
      </c>
      <c r="BB83" s="63" t="s">
        <v>105</v>
      </c>
      <c r="BC83" s="92" t="s">
        <v>307</v>
      </c>
      <c r="BD83" s="40" t="s">
        <v>107</v>
      </c>
      <c r="BE83" s="42" t="s">
        <v>93</v>
      </c>
      <c r="BF83" s="78"/>
      <c r="BG83" s="23"/>
      <c r="BH83" s="23"/>
      <c r="BI83" s="23"/>
      <c r="BJ83" s="23"/>
      <c r="BK83" s="23"/>
      <c r="BL83" s="23"/>
    </row>
    <row r="84" ht="12.0" customHeight="1">
      <c r="A84" s="66">
        <v>46226.46938440972</v>
      </c>
      <c r="B84" s="67" t="s">
        <v>85</v>
      </c>
      <c r="C84" s="67" t="s">
        <v>233</v>
      </c>
      <c r="D84" s="67">
        <v>83.0</v>
      </c>
      <c r="E84" s="67" t="s">
        <v>322</v>
      </c>
      <c r="F84" s="78"/>
      <c r="G84" s="67" t="s">
        <v>316</v>
      </c>
      <c r="H84" s="67">
        <v>59.0</v>
      </c>
      <c r="I84" s="95" t="s">
        <v>323</v>
      </c>
      <c r="J84" s="71" t="s">
        <v>63</v>
      </c>
      <c r="K84" s="72" t="s">
        <v>98</v>
      </c>
      <c r="L84" s="42" t="s">
        <v>92</v>
      </c>
      <c r="M84" s="73">
        <v>4.4</v>
      </c>
      <c r="N84" s="45" t="s">
        <v>93</v>
      </c>
      <c r="O84" s="47" t="s">
        <v>94</v>
      </c>
      <c r="P84" s="48" t="s">
        <v>95</v>
      </c>
      <c r="Q84" s="73">
        <v>0.5</v>
      </c>
      <c r="R84" s="160"/>
      <c r="S84" s="56" t="s">
        <v>100</v>
      </c>
      <c r="T84" s="67" t="s">
        <v>212</v>
      </c>
      <c r="U84" s="78"/>
      <c r="V84" s="78"/>
      <c r="W84" s="78"/>
      <c r="X84" s="78"/>
      <c r="Y84" s="81"/>
      <c r="Z84" s="54" t="s">
        <v>99</v>
      </c>
      <c r="AA84" s="48" t="s">
        <v>95</v>
      </c>
      <c r="AB84" s="67">
        <v>0.5</v>
      </c>
      <c r="AC84" s="151" t="s">
        <v>58</v>
      </c>
      <c r="AD84" s="56" t="s">
        <v>100</v>
      </c>
      <c r="AE84" s="67" t="s">
        <v>212</v>
      </c>
      <c r="AF84" s="78"/>
      <c r="AG84" s="78"/>
      <c r="AH84" s="78"/>
      <c r="AI84" s="78"/>
      <c r="AJ84" s="81"/>
      <c r="AK84" s="47" t="s">
        <v>94</v>
      </c>
      <c r="AL84" s="42" t="s">
        <v>103</v>
      </c>
      <c r="AM84" s="67">
        <v>0.7</v>
      </c>
      <c r="AN84" s="67">
        <v>2022.0</v>
      </c>
      <c r="AO84" s="42" t="s">
        <v>93</v>
      </c>
      <c r="AP84" s="59" t="s">
        <v>97</v>
      </c>
      <c r="AQ84" s="54" t="s">
        <v>99</v>
      </c>
      <c r="AR84" s="67">
        <v>0.7</v>
      </c>
      <c r="AS84" s="67">
        <v>2022.0</v>
      </c>
      <c r="AT84" s="42" t="s">
        <v>93</v>
      </c>
      <c r="AU84" s="59" t="s">
        <v>97</v>
      </c>
      <c r="AV84" s="40" t="s">
        <v>50</v>
      </c>
      <c r="AW84" s="62" t="s">
        <v>104</v>
      </c>
      <c r="AX84" s="67">
        <v>2022.0</v>
      </c>
      <c r="AY84" s="67">
        <v>0.15</v>
      </c>
      <c r="AZ84" s="45" t="s">
        <v>93</v>
      </c>
      <c r="BA84" s="40" t="s">
        <v>50</v>
      </c>
      <c r="BB84" s="63" t="s">
        <v>105</v>
      </c>
      <c r="BC84" s="92" t="s">
        <v>307</v>
      </c>
      <c r="BD84" s="40" t="s">
        <v>107</v>
      </c>
      <c r="BE84" s="42" t="s">
        <v>93</v>
      </c>
      <c r="BF84" s="78"/>
      <c r="BG84" s="23"/>
      <c r="BH84" s="23"/>
      <c r="BI84" s="23"/>
      <c r="BJ84" s="23"/>
      <c r="BK84" s="23"/>
      <c r="BL84" s="23"/>
    </row>
    <row r="85" ht="12.0" customHeight="1">
      <c r="A85" s="66">
        <v>46226.47266082176</v>
      </c>
      <c r="B85" s="67" t="s">
        <v>85</v>
      </c>
      <c r="C85" s="67" t="s">
        <v>233</v>
      </c>
      <c r="D85" s="36">
        <v>84.0</v>
      </c>
      <c r="E85" s="67" t="s">
        <v>322</v>
      </c>
      <c r="F85" s="67" t="s">
        <v>88</v>
      </c>
      <c r="G85" s="67" t="s">
        <v>316</v>
      </c>
      <c r="H85" s="67">
        <v>93.0</v>
      </c>
      <c r="I85" s="95" t="s">
        <v>324</v>
      </c>
      <c r="J85" s="71" t="s">
        <v>63</v>
      </c>
      <c r="K85" s="72" t="s">
        <v>98</v>
      </c>
      <c r="L85" s="42" t="s">
        <v>92</v>
      </c>
      <c r="M85" s="73">
        <v>4.6</v>
      </c>
      <c r="N85" s="45" t="s">
        <v>93</v>
      </c>
      <c r="O85" s="75" t="s">
        <v>115</v>
      </c>
      <c r="P85" s="48" t="s">
        <v>96</v>
      </c>
      <c r="Q85" s="119">
        <v>0.0</v>
      </c>
      <c r="R85" s="159" t="s">
        <v>96</v>
      </c>
      <c r="S85" s="48" t="s">
        <v>96</v>
      </c>
      <c r="T85" s="67" t="s">
        <v>212</v>
      </c>
      <c r="U85" s="78"/>
      <c r="V85" s="78"/>
      <c r="W85" s="78"/>
      <c r="X85" s="78"/>
      <c r="Y85" s="81"/>
      <c r="Z85" s="83" t="s">
        <v>119</v>
      </c>
      <c r="AA85" s="150" t="s">
        <v>136</v>
      </c>
      <c r="AB85" s="120">
        <v>0.0</v>
      </c>
      <c r="AC85" s="151" t="s">
        <v>58</v>
      </c>
      <c r="AD85" s="150" t="s">
        <v>136</v>
      </c>
      <c r="AE85" s="67" t="s">
        <v>212</v>
      </c>
      <c r="AF85" s="78"/>
      <c r="AG85" s="78"/>
      <c r="AH85" s="78"/>
      <c r="AI85" s="78"/>
      <c r="AJ85" s="81"/>
      <c r="AK85" s="75" t="s">
        <v>115</v>
      </c>
      <c r="AL85" s="42" t="s">
        <v>103</v>
      </c>
      <c r="AM85" s="67">
        <v>0.6</v>
      </c>
      <c r="AN85" s="67">
        <v>2022.0</v>
      </c>
      <c r="AO85" s="42" t="s">
        <v>93</v>
      </c>
      <c r="AP85" s="59" t="s">
        <v>97</v>
      </c>
      <c r="AQ85" s="83" t="s">
        <v>119</v>
      </c>
      <c r="AR85" s="67">
        <v>0.6</v>
      </c>
      <c r="AS85" s="67">
        <v>2022.0</v>
      </c>
      <c r="AT85" s="42" t="s">
        <v>93</v>
      </c>
      <c r="AU85" s="59" t="s">
        <v>97</v>
      </c>
      <c r="AV85" s="40" t="s">
        <v>50</v>
      </c>
      <c r="AW85" s="62" t="s">
        <v>104</v>
      </c>
      <c r="AX85" s="67">
        <v>2022.0</v>
      </c>
      <c r="AY85" s="67">
        <v>0.15</v>
      </c>
      <c r="AZ85" s="45" t="s">
        <v>93</v>
      </c>
      <c r="BA85" s="40" t="s">
        <v>50</v>
      </c>
      <c r="BB85" s="63" t="s">
        <v>105</v>
      </c>
      <c r="BC85" s="92" t="s">
        <v>307</v>
      </c>
      <c r="BD85" s="40" t="s">
        <v>107</v>
      </c>
      <c r="BE85" s="42" t="s">
        <v>93</v>
      </c>
      <c r="BF85" s="78"/>
      <c r="BG85" s="23"/>
      <c r="BH85" s="23"/>
      <c r="BI85" s="23"/>
      <c r="BJ85" s="23"/>
      <c r="BK85" s="23"/>
      <c r="BL85" s="23"/>
    </row>
    <row r="86" ht="12.0" customHeight="1">
      <c r="A86" s="66">
        <v>46226.477895613425</v>
      </c>
      <c r="B86" s="67" t="s">
        <v>85</v>
      </c>
      <c r="C86" s="67" t="s">
        <v>233</v>
      </c>
      <c r="D86" s="67">
        <v>85.0</v>
      </c>
      <c r="E86" s="67" t="s">
        <v>322</v>
      </c>
      <c r="F86" s="67" t="s">
        <v>325</v>
      </c>
      <c r="G86" s="67" t="s">
        <v>316</v>
      </c>
      <c r="H86" s="67">
        <v>97.0</v>
      </c>
      <c r="I86" s="95" t="s">
        <v>326</v>
      </c>
      <c r="J86" s="71" t="s">
        <v>63</v>
      </c>
      <c r="K86" s="72" t="s">
        <v>98</v>
      </c>
      <c r="L86" s="42" t="s">
        <v>92</v>
      </c>
      <c r="M86" s="73">
        <v>4.6</v>
      </c>
      <c r="N86" s="45" t="s">
        <v>93</v>
      </c>
      <c r="O86" s="47" t="s">
        <v>94</v>
      </c>
      <c r="P86" s="48" t="s">
        <v>95</v>
      </c>
      <c r="Q86" s="73">
        <v>0.6</v>
      </c>
      <c r="R86" s="151" t="s">
        <v>58</v>
      </c>
      <c r="S86" s="56" t="s">
        <v>100</v>
      </c>
      <c r="T86" s="67" t="s">
        <v>212</v>
      </c>
      <c r="U86" s="78"/>
      <c r="V86" s="78"/>
      <c r="W86" s="78"/>
      <c r="X86" s="78"/>
      <c r="Y86" s="81"/>
      <c r="Z86" s="54" t="s">
        <v>99</v>
      </c>
      <c r="AA86" s="48" t="s">
        <v>95</v>
      </c>
      <c r="AB86" s="67">
        <v>0.6</v>
      </c>
      <c r="AC86" s="151" t="s">
        <v>58</v>
      </c>
      <c r="AD86" s="56" t="s">
        <v>100</v>
      </c>
      <c r="AE86" s="67" t="s">
        <v>212</v>
      </c>
      <c r="AF86" s="78"/>
      <c r="AG86" s="78"/>
      <c r="AH86" s="78"/>
      <c r="AI86" s="78"/>
      <c r="AJ86" s="81"/>
      <c r="AK86" s="47" t="s">
        <v>94</v>
      </c>
      <c r="AL86" s="42" t="s">
        <v>103</v>
      </c>
      <c r="AM86" s="67">
        <v>0.6</v>
      </c>
      <c r="AN86" s="67">
        <v>2022.0</v>
      </c>
      <c r="AO86" s="42" t="s">
        <v>93</v>
      </c>
      <c r="AP86" s="59" t="s">
        <v>97</v>
      </c>
      <c r="AQ86" s="54" t="s">
        <v>99</v>
      </c>
      <c r="AR86" s="67">
        <v>0.6</v>
      </c>
      <c r="AS86" s="67">
        <v>2022.0</v>
      </c>
      <c r="AT86" s="42" t="s">
        <v>93</v>
      </c>
      <c r="AU86" s="59" t="s">
        <v>97</v>
      </c>
      <c r="AV86" s="40" t="s">
        <v>50</v>
      </c>
      <c r="AW86" s="62" t="s">
        <v>104</v>
      </c>
      <c r="AX86" s="67">
        <v>2022.0</v>
      </c>
      <c r="AY86" s="67">
        <v>0.15</v>
      </c>
      <c r="AZ86" s="45" t="s">
        <v>93</v>
      </c>
      <c r="BA86" s="40" t="s">
        <v>50</v>
      </c>
      <c r="BB86" s="63" t="s">
        <v>105</v>
      </c>
      <c r="BC86" s="92" t="s">
        <v>307</v>
      </c>
      <c r="BD86" s="40" t="s">
        <v>107</v>
      </c>
      <c r="BE86" s="42" t="s">
        <v>93</v>
      </c>
      <c r="BF86" s="78"/>
      <c r="BG86" s="23"/>
      <c r="BH86" s="23"/>
      <c r="BI86" s="23"/>
      <c r="BJ86" s="23"/>
      <c r="BK86" s="23"/>
      <c r="BL86" s="23"/>
    </row>
    <row r="87" ht="12.0" customHeight="1">
      <c r="A87" s="66">
        <v>46226.481912557865</v>
      </c>
      <c r="B87" s="67" t="s">
        <v>85</v>
      </c>
      <c r="C87" s="67" t="s">
        <v>233</v>
      </c>
      <c r="D87" s="67">
        <v>86.0</v>
      </c>
      <c r="E87" s="67" t="s">
        <v>322</v>
      </c>
      <c r="F87" s="67" t="s">
        <v>327</v>
      </c>
      <c r="G87" s="67" t="s">
        <v>316</v>
      </c>
      <c r="H87" s="67">
        <v>61.0</v>
      </c>
      <c r="I87" s="95" t="s">
        <v>328</v>
      </c>
      <c r="J87" s="71" t="s">
        <v>63</v>
      </c>
      <c r="K87" s="72" t="s">
        <v>98</v>
      </c>
      <c r="L87" s="42" t="s">
        <v>92</v>
      </c>
      <c r="M87" s="73">
        <v>4.0</v>
      </c>
      <c r="N87" s="45" t="s">
        <v>93</v>
      </c>
      <c r="O87" s="75" t="s">
        <v>115</v>
      </c>
      <c r="P87" s="48" t="s">
        <v>95</v>
      </c>
      <c r="Q87" s="73">
        <v>0.9</v>
      </c>
      <c r="R87" s="151" t="s">
        <v>58</v>
      </c>
      <c r="S87" s="56" t="s">
        <v>100</v>
      </c>
      <c r="T87" s="67" t="s">
        <v>212</v>
      </c>
      <c r="U87" s="78"/>
      <c r="V87" s="78"/>
      <c r="W87" s="78"/>
      <c r="X87" s="78"/>
      <c r="Y87" s="81"/>
      <c r="Z87" s="83" t="s">
        <v>119</v>
      </c>
      <c r="AA87" s="48" t="s">
        <v>95</v>
      </c>
      <c r="AB87" s="67">
        <v>0.9</v>
      </c>
      <c r="AC87" s="151" t="s">
        <v>58</v>
      </c>
      <c r="AD87" s="56" t="s">
        <v>100</v>
      </c>
      <c r="AE87" s="67" t="s">
        <v>212</v>
      </c>
      <c r="AF87" s="78"/>
      <c r="AG87" s="78"/>
      <c r="AH87" s="78"/>
      <c r="AI87" s="78"/>
      <c r="AJ87" s="81"/>
      <c r="AK87" s="75" t="s">
        <v>115</v>
      </c>
      <c r="AL87" s="42" t="s">
        <v>103</v>
      </c>
      <c r="AM87" s="67">
        <v>0.6</v>
      </c>
      <c r="AN87" s="67">
        <v>2022.0</v>
      </c>
      <c r="AO87" s="42" t="s">
        <v>93</v>
      </c>
      <c r="AP87" s="59" t="s">
        <v>97</v>
      </c>
      <c r="AQ87" s="83" t="s">
        <v>119</v>
      </c>
      <c r="AR87" s="67">
        <v>0.6</v>
      </c>
      <c r="AS87" s="67">
        <v>2022.0</v>
      </c>
      <c r="AT87" s="42" t="s">
        <v>93</v>
      </c>
      <c r="AU87" s="59" t="s">
        <v>97</v>
      </c>
      <c r="AV87" s="40" t="s">
        <v>50</v>
      </c>
      <c r="AW87" s="62" t="s">
        <v>104</v>
      </c>
      <c r="AX87" s="67">
        <v>2022.0</v>
      </c>
      <c r="AY87" s="67">
        <v>0.15</v>
      </c>
      <c r="AZ87" s="45" t="s">
        <v>93</v>
      </c>
      <c r="BA87" s="40" t="s">
        <v>50</v>
      </c>
      <c r="BB87" s="63" t="s">
        <v>105</v>
      </c>
      <c r="BC87" s="92" t="s">
        <v>307</v>
      </c>
      <c r="BD87" s="40" t="s">
        <v>107</v>
      </c>
      <c r="BE87" s="42" t="s">
        <v>93</v>
      </c>
      <c r="BF87" s="78"/>
      <c r="BG87" s="23"/>
      <c r="BH87" s="23"/>
      <c r="BI87" s="23"/>
      <c r="BJ87" s="23"/>
      <c r="BK87" s="23"/>
      <c r="BL87" s="23"/>
    </row>
    <row r="88" ht="12.0" customHeight="1">
      <c r="A88" s="66">
        <v>46226.48495158565</v>
      </c>
      <c r="B88" s="67" t="s">
        <v>85</v>
      </c>
      <c r="C88" s="67" t="s">
        <v>233</v>
      </c>
      <c r="D88" s="36">
        <v>87.0</v>
      </c>
      <c r="E88" s="67" t="s">
        <v>322</v>
      </c>
      <c r="F88" s="67" t="s">
        <v>329</v>
      </c>
      <c r="G88" s="67" t="s">
        <v>316</v>
      </c>
      <c r="H88" s="67">
        <v>60.0</v>
      </c>
      <c r="I88" s="95" t="s">
        <v>330</v>
      </c>
      <c r="J88" s="71" t="s">
        <v>63</v>
      </c>
      <c r="K88" s="72" t="s">
        <v>98</v>
      </c>
      <c r="L88" s="42" t="s">
        <v>92</v>
      </c>
      <c r="M88" s="73">
        <v>4.2</v>
      </c>
      <c r="N88" s="45" t="s">
        <v>93</v>
      </c>
      <c r="O88" s="75" t="s">
        <v>115</v>
      </c>
      <c r="P88" s="100" t="s">
        <v>122</v>
      </c>
      <c r="Q88" s="73">
        <v>0.4</v>
      </c>
      <c r="R88" s="118">
        <v>2022.0</v>
      </c>
      <c r="S88" s="42" t="s">
        <v>93</v>
      </c>
      <c r="T88" s="50" t="s">
        <v>97</v>
      </c>
      <c r="U88" s="78"/>
      <c r="V88" s="78"/>
      <c r="W88" s="78"/>
      <c r="X88" s="78"/>
      <c r="Y88" s="81"/>
      <c r="Z88" s="83" t="s">
        <v>119</v>
      </c>
      <c r="AA88" s="100" t="s">
        <v>122</v>
      </c>
      <c r="AB88" s="67">
        <v>0.4</v>
      </c>
      <c r="AC88" s="67">
        <v>2022.0</v>
      </c>
      <c r="AD88" s="42" t="s">
        <v>93</v>
      </c>
      <c r="AE88" s="50" t="s">
        <v>97</v>
      </c>
      <c r="AF88" s="78"/>
      <c r="AG88" s="78"/>
      <c r="AH88" s="78"/>
      <c r="AI88" s="78"/>
      <c r="AJ88" s="81"/>
      <c r="AK88" s="75" t="s">
        <v>115</v>
      </c>
      <c r="AL88" s="42" t="s">
        <v>103</v>
      </c>
      <c r="AM88" s="67">
        <v>0.6</v>
      </c>
      <c r="AN88" s="67">
        <v>2022.0</v>
      </c>
      <c r="AO88" s="42" t="s">
        <v>93</v>
      </c>
      <c r="AP88" s="59" t="s">
        <v>97</v>
      </c>
      <c r="AQ88" s="83" t="s">
        <v>119</v>
      </c>
      <c r="AR88" s="67">
        <v>0.6</v>
      </c>
      <c r="AS88" s="67">
        <v>2022.0</v>
      </c>
      <c r="AT88" s="42" t="s">
        <v>93</v>
      </c>
      <c r="AU88" s="59" t="s">
        <v>97</v>
      </c>
      <c r="AV88" s="40" t="s">
        <v>50</v>
      </c>
      <c r="AW88" s="62" t="s">
        <v>104</v>
      </c>
      <c r="AX88" s="67">
        <v>2022.0</v>
      </c>
      <c r="AY88" s="67">
        <v>0.15</v>
      </c>
      <c r="AZ88" s="45" t="s">
        <v>93</v>
      </c>
      <c r="BA88" s="71" t="s">
        <v>63</v>
      </c>
      <c r="BB88" s="48" t="s">
        <v>96</v>
      </c>
      <c r="BC88" s="188" t="s">
        <v>96</v>
      </c>
      <c r="BD88" s="40" t="s">
        <v>107</v>
      </c>
      <c r="BE88" s="42" t="s">
        <v>93</v>
      </c>
      <c r="BF88" s="78"/>
      <c r="BG88" s="23"/>
      <c r="BH88" s="23"/>
      <c r="BI88" s="23"/>
      <c r="BJ88" s="23"/>
      <c r="BK88" s="23"/>
      <c r="BL88" s="23"/>
    </row>
    <row r="89" ht="12.0" customHeight="1">
      <c r="A89" s="66">
        <v>46226.48792717593</v>
      </c>
      <c r="B89" s="67" t="s">
        <v>85</v>
      </c>
      <c r="C89" s="67" t="s">
        <v>233</v>
      </c>
      <c r="D89" s="67">
        <v>88.0</v>
      </c>
      <c r="E89" s="67" t="s">
        <v>322</v>
      </c>
      <c r="F89" s="67" t="s">
        <v>331</v>
      </c>
      <c r="G89" s="67" t="s">
        <v>316</v>
      </c>
      <c r="H89" s="67">
        <v>59.0</v>
      </c>
      <c r="I89" s="95" t="s">
        <v>332</v>
      </c>
      <c r="J89" s="71" t="s">
        <v>63</v>
      </c>
      <c r="K89" s="72" t="s">
        <v>98</v>
      </c>
      <c r="L89" s="42" t="s">
        <v>92</v>
      </c>
      <c r="M89" s="73">
        <v>4.1</v>
      </c>
      <c r="N89" s="45" t="s">
        <v>93</v>
      </c>
      <c r="O89" s="75" t="s">
        <v>115</v>
      </c>
      <c r="P89" s="100" t="s">
        <v>122</v>
      </c>
      <c r="Q89" s="73">
        <v>0.9</v>
      </c>
      <c r="R89" s="118">
        <v>2022.0</v>
      </c>
      <c r="S89" s="42" t="s">
        <v>93</v>
      </c>
      <c r="T89" s="50" t="s">
        <v>97</v>
      </c>
      <c r="U89" s="78"/>
      <c r="V89" s="78"/>
      <c r="W89" s="78"/>
      <c r="X89" s="78"/>
      <c r="Y89" s="81"/>
      <c r="Z89" s="83" t="s">
        <v>119</v>
      </c>
      <c r="AA89" s="100" t="s">
        <v>122</v>
      </c>
      <c r="AB89" s="67">
        <v>0.9</v>
      </c>
      <c r="AC89" s="67">
        <v>2022.0</v>
      </c>
      <c r="AD89" s="42" t="s">
        <v>93</v>
      </c>
      <c r="AE89" s="50" t="s">
        <v>97</v>
      </c>
      <c r="AF89" s="78"/>
      <c r="AG89" s="78"/>
      <c r="AH89" s="78"/>
      <c r="AI89" s="78"/>
      <c r="AJ89" s="81"/>
      <c r="AK89" s="75" t="s">
        <v>115</v>
      </c>
      <c r="AL89" s="42" t="s">
        <v>103</v>
      </c>
      <c r="AM89" s="67">
        <v>0.6</v>
      </c>
      <c r="AN89" s="67">
        <v>2022.0</v>
      </c>
      <c r="AO89" s="42" t="s">
        <v>93</v>
      </c>
      <c r="AP89" s="59" t="s">
        <v>97</v>
      </c>
      <c r="AQ89" s="83" t="s">
        <v>119</v>
      </c>
      <c r="AR89" s="67">
        <v>0.6</v>
      </c>
      <c r="AS89" s="67">
        <v>2022.0</v>
      </c>
      <c r="AT89" s="42" t="s">
        <v>93</v>
      </c>
      <c r="AU89" s="59" t="s">
        <v>97</v>
      </c>
      <c r="AV89" s="40" t="s">
        <v>50</v>
      </c>
      <c r="AW89" s="62" t="s">
        <v>104</v>
      </c>
      <c r="AX89" s="67">
        <v>2022.0</v>
      </c>
      <c r="AY89" s="67">
        <v>0.15</v>
      </c>
      <c r="AZ89" s="45" t="s">
        <v>93</v>
      </c>
      <c r="BA89" s="40" t="s">
        <v>50</v>
      </c>
      <c r="BB89" s="63" t="s">
        <v>105</v>
      </c>
      <c r="BC89" s="92" t="s">
        <v>307</v>
      </c>
      <c r="BD89" s="40" t="s">
        <v>107</v>
      </c>
      <c r="BE89" s="42" t="s">
        <v>93</v>
      </c>
      <c r="BF89" s="78"/>
      <c r="BG89" s="23"/>
      <c r="BH89" s="23"/>
      <c r="BI89" s="23"/>
      <c r="BJ89" s="23"/>
      <c r="BK89" s="23"/>
      <c r="BL89" s="23"/>
    </row>
    <row r="90" ht="12.0" customHeight="1">
      <c r="A90" s="66">
        <v>46226.46111792824</v>
      </c>
      <c r="B90" s="67" t="s">
        <v>85</v>
      </c>
      <c r="C90" s="67" t="s">
        <v>233</v>
      </c>
      <c r="D90" s="67">
        <v>89.0</v>
      </c>
      <c r="E90" s="67" t="s">
        <v>333</v>
      </c>
      <c r="F90" s="78"/>
      <c r="G90" s="67" t="s">
        <v>334</v>
      </c>
      <c r="H90" s="67">
        <v>272.0</v>
      </c>
      <c r="I90" s="95" t="s">
        <v>335</v>
      </c>
      <c r="J90" s="40" t="s">
        <v>50</v>
      </c>
      <c r="K90" s="41" t="s">
        <v>91</v>
      </c>
      <c r="L90" s="42" t="s">
        <v>92</v>
      </c>
      <c r="M90" s="73">
        <v>5.6</v>
      </c>
      <c r="N90" s="189" t="s">
        <v>105</v>
      </c>
      <c r="O90" s="75" t="s">
        <v>115</v>
      </c>
      <c r="P90" s="100" t="s">
        <v>122</v>
      </c>
      <c r="Q90" s="73">
        <v>2.6</v>
      </c>
      <c r="R90" s="118">
        <v>2002.0</v>
      </c>
      <c r="S90" s="42" t="s">
        <v>93</v>
      </c>
      <c r="T90" s="50" t="s">
        <v>97</v>
      </c>
      <c r="U90" s="78"/>
      <c r="V90" s="78"/>
      <c r="W90" s="78"/>
      <c r="X90" s="78"/>
      <c r="Y90" s="81"/>
      <c r="Z90" s="83" t="s">
        <v>119</v>
      </c>
      <c r="AA90" s="100" t="s">
        <v>122</v>
      </c>
      <c r="AB90" s="67">
        <v>2.6</v>
      </c>
      <c r="AC90" s="67">
        <v>2002.0</v>
      </c>
      <c r="AD90" s="42" t="s">
        <v>93</v>
      </c>
      <c r="AE90" s="42" t="s">
        <v>93</v>
      </c>
      <c r="AF90" s="78"/>
      <c r="AG90" s="78"/>
      <c r="AH90" s="78"/>
      <c r="AI90" s="78"/>
      <c r="AJ90" s="81"/>
      <c r="AK90" s="75" t="s">
        <v>115</v>
      </c>
      <c r="AL90" s="42" t="s">
        <v>103</v>
      </c>
      <c r="AM90" s="67">
        <v>1.6</v>
      </c>
      <c r="AN90" s="67">
        <v>2002.0</v>
      </c>
      <c r="AO90" s="42" t="s">
        <v>93</v>
      </c>
      <c r="AP90" s="59" t="s">
        <v>97</v>
      </c>
      <c r="AQ90" s="83" t="s">
        <v>119</v>
      </c>
      <c r="AR90" s="67">
        <v>1.7</v>
      </c>
      <c r="AS90" s="67">
        <v>2002.0</v>
      </c>
      <c r="AT90" s="42" t="s">
        <v>93</v>
      </c>
      <c r="AU90" s="59" t="s">
        <v>97</v>
      </c>
      <c r="AV90" s="40" t="s">
        <v>50</v>
      </c>
      <c r="AW90" s="62" t="s">
        <v>104</v>
      </c>
      <c r="AX90" s="67">
        <v>2002.0</v>
      </c>
      <c r="AY90" s="67">
        <v>0.2</v>
      </c>
      <c r="AZ90" s="45" t="s">
        <v>93</v>
      </c>
      <c r="BA90" s="40" t="s">
        <v>50</v>
      </c>
      <c r="BB90" s="63" t="s">
        <v>105</v>
      </c>
      <c r="BC90" s="92" t="s">
        <v>307</v>
      </c>
      <c r="BD90" s="40" t="s">
        <v>107</v>
      </c>
      <c r="BE90" s="42" t="s">
        <v>93</v>
      </c>
      <c r="BF90" s="78"/>
      <c r="BG90" s="23"/>
      <c r="BH90" s="23"/>
      <c r="BI90" s="23"/>
      <c r="BJ90" s="23"/>
      <c r="BK90" s="23"/>
      <c r="BL90" s="23"/>
    </row>
    <row r="91" ht="12.0" customHeight="1">
      <c r="A91" s="66">
        <v>46228.42867702546</v>
      </c>
      <c r="B91" s="67" t="s">
        <v>85</v>
      </c>
      <c r="C91" s="67" t="s">
        <v>336</v>
      </c>
      <c r="D91" s="36">
        <v>90.0</v>
      </c>
      <c r="E91" s="67" t="s">
        <v>337</v>
      </c>
      <c r="F91" s="78"/>
      <c r="G91" s="67" t="s">
        <v>196</v>
      </c>
      <c r="H91" s="67">
        <v>345.0</v>
      </c>
      <c r="I91" s="95" t="s">
        <v>338</v>
      </c>
      <c r="J91" s="71" t="s">
        <v>63</v>
      </c>
      <c r="K91" s="72" t="s">
        <v>98</v>
      </c>
      <c r="L91" s="41" t="s">
        <v>112</v>
      </c>
      <c r="M91" s="48" t="s">
        <v>96</v>
      </c>
      <c r="N91" s="158" t="s">
        <v>100</v>
      </c>
      <c r="O91" s="75" t="s">
        <v>115</v>
      </c>
      <c r="P91" s="48" t="s">
        <v>95</v>
      </c>
      <c r="Q91" s="48" t="s">
        <v>96</v>
      </c>
      <c r="R91" s="159" t="s">
        <v>96</v>
      </c>
      <c r="S91" s="48" t="s">
        <v>96</v>
      </c>
      <c r="T91" s="67" t="s">
        <v>212</v>
      </c>
      <c r="U91" s="78"/>
      <c r="V91" s="78"/>
      <c r="W91" s="78"/>
      <c r="X91" s="78"/>
      <c r="Y91" s="81"/>
      <c r="Z91" s="83" t="s">
        <v>119</v>
      </c>
      <c r="AA91" s="48" t="s">
        <v>95</v>
      </c>
      <c r="AB91" s="48" t="s">
        <v>96</v>
      </c>
      <c r="AC91" s="159" t="s">
        <v>96</v>
      </c>
      <c r="AD91" s="48" t="s">
        <v>96</v>
      </c>
      <c r="AE91" s="67" t="s">
        <v>212</v>
      </c>
      <c r="AF91" s="78"/>
      <c r="AG91" s="78"/>
      <c r="AH91" s="78"/>
      <c r="AI91" s="78"/>
      <c r="AJ91" s="81"/>
      <c r="AK91" s="75" t="s">
        <v>115</v>
      </c>
      <c r="AL91" s="56" t="s">
        <v>100</v>
      </c>
      <c r="AM91" s="48" t="s">
        <v>96</v>
      </c>
      <c r="AN91" s="48" t="s">
        <v>96</v>
      </c>
      <c r="AO91" s="48" t="s">
        <v>96</v>
      </c>
      <c r="AP91" s="92" t="s">
        <v>213</v>
      </c>
      <c r="AQ91" s="83" t="s">
        <v>119</v>
      </c>
      <c r="AR91" s="50">
        <v>0.0</v>
      </c>
      <c r="AS91" s="50" t="s">
        <v>58</v>
      </c>
      <c r="AT91" s="56" t="s">
        <v>100</v>
      </c>
      <c r="AU91" s="92" t="s">
        <v>213</v>
      </c>
      <c r="AV91" s="71" t="s">
        <v>63</v>
      </c>
      <c r="AW91" s="150" t="s">
        <v>136</v>
      </c>
      <c r="AX91" s="151" t="s">
        <v>58</v>
      </c>
      <c r="AY91" s="50">
        <v>0.0</v>
      </c>
      <c r="AZ91" s="155" t="s">
        <v>136</v>
      </c>
      <c r="BA91" s="71" t="s">
        <v>63</v>
      </c>
      <c r="BB91" s="56" t="s">
        <v>100</v>
      </c>
      <c r="BC91" s="59" t="s">
        <v>97</v>
      </c>
      <c r="BD91" s="40" t="s">
        <v>107</v>
      </c>
      <c r="BE91" s="42" t="s">
        <v>93</v>
      </c>
      <c r="BF91" s="78"/>
      <c r="BG91" s="23"/>
      <c r="BH91" s="23"/>
      <c r="BI91" s="23"/>
      <c r="BJ91" s="23"/>
      <c r="BK91" s="23"/>
      <c r="BL91" s="23"/>
    </row>
    <row r="92" ht="12.0" customHeight="1">
      <c r="A92" s="66">
        <v>46228.46584875</v>
      </c>
      <c r="B92" s="67" t="s">
        <v>85</v>
      </c>
      <c r="C92" s="67" t="s">
        <v>188</v>
      </c>
      <c r="D92" s="36">
        <v>92.0</v>
      </c>
      <c r="E92" s="67" t="s">
        <v>339</v>
      </c>
      <c r="F92" s="78"/>
      <c r="G92" s="67" t="s">
        <v>221</v>
      </c>
      <c r="H92" s="67">
        <v>160.0</v>
      </c>
      <c r="I92" s="95" t="s">
        <v>340</v>
      </c>
      <c r="J92" s="71" t="s">
        <v>63</v>
      </c>
      <c r="K92" s="41" t="s">
        <v>91</v>
      </c>
      <c r="L92" s="48" t="s">
        <v>96</v>
      </c>
      <c r="M92" s="73">
        <v>9.5</v>
      </c>
      <c r="N92" s="158" t="s">
        <v>100</v>
      </c>
      <c r="O92" s="75" t="s">
        <v>115</v>
      </c>
      <c r="P92" s="48" t="s">
        <v>95</v>
      </c>
      <c r="Q92" s="119">
        <v>0.0</v>
      </c>
      <c r="R92" s="151" t="s">
        <v>58</v>
      </c>
      <c r="S92" s="56" t="s">
        <v>100</v>
      </c>
      <c r="T92" s="50" t="s">
        <v>97</v>
      </c>
      <c r="U92" s="78"/>
      <c r="V92" s="78"/>
      <c r="W92" s="78"/>
      <c r="X92" s="78"/>
      <c r="Y92" s="81"/>
      <c r="Z92" s="83" t="s">
        <v>119</v>
      </c>
      <c r="AA92" s="48" t="s">
        <v>95</v>
      </c>
      <c r="AB92" s="67">
        <v>0.0</v>
      </c>
      <c r="AC92" s="151" t="s">
        <v>58</v>
      </c>
      <c r="AD92" s="56" t="s">
        <v>100</v>
      </c>
      <c r="AE92" s="50" t="s">
        <v>97</v>
      </c>
      <c r="AF92" s="78"/>
      <c r="AG92" s="78"/>
      <c r="AH92" s="78"/>
      <c r="AI92" s="78"/>
      <c r="AJ92" s="81"/>
      <c r="AK92" s="75" t="s">
        <v>115</v>
      </c>
      <c r="AL92" s="56" t="s">
        <v>100</v>
      </c>
      <c r="AM92" s="48" t="s">
        <v>96</v>
      </c>
      <c r="AN92" s="48" t="s">
        <v>96</v>
      </c>
      <c r="AO92" s="48" t="s">
        <v>96</v>
      </c>
      <c r="AP92" s="59" t="s">
        <v>97</v>
      </c>
      <c r="AQ92" s="83" t="s">
        <v>119</v>
      </c>
      <c r="AR92" s="50">
        <v>0.0</v>
      </c>
      <c r="AS92" s="50" t="s">
        <v>58</v>
      </c>
      <c r="AT92" s="56" t="s">
        <v>100</v>
      </c>
      <c r="AU92" s="59" t="s">
        <v>97</v>
      </c>
      <c r="AV92" s="71" t="s">
        <v>63</v>
      </c>
      <c r="AW92" s="150" t="s">
        <v>136</v>
      </c>
      <c r="AX92" s="151" t="s">
        <v>58</v>
      </c>
      <c r="AY92" s="50">
        <v>0.0</v>
      </c>
      <c r="AZ92" s="155" t="s">
        <v>136</v>
      </c>
      <c r="BA92" s="71" t="s">
        <v>63</v>
      </c>
      <c r="BB92" s="56" t="s">
        <v>100</v>
      </c>
      <c r="BC92" s="59" t="s">
        <v>97</v>
      </c>
      <c r="BD92" s="40" t="s">
        <v>107</v>
      </c>
      <c r="BE92" s="42" t="s">
        <v>93</v>
      </c>
      <c r="BF92" s="78"/>
      <c r="BG92" s="23"/>
      <c r="BH92" s="23"/>
      <c r="BI92" s="23"/>
      <c r="BJ92" s="23"/>
      <c r="BK92" s="23"/>
      <c r="BL92" s="23"/>
    </row>
    <row r="93" ht="12.0" customHeight="1">
      <c r="A93" s="66">
        <v>46228.4681122801</v>
      </c>
      <c r="B93" s="67" t="s">
        <v>85</v>
      </c>
      <c r="C93" s="67" t="s">
        <v>188</v>
      </c>
      <c r="D93" s="67">
        <v>93.0</v>
      </c>
      <c r="E93" s="67" t="s">
        <v>341</v>
      </c>
      <c r="F93" s="78"/>
      <c r="G93" s="67" t="s">
        <v>221</v>
      </c>
      <c r="H93" s="67">
        <v>319.0</v>
      </c>
      <c r="I93" s="95" t="s">
        <v>342</v>
      </c>
      <c r="J93" s="71" t="s">
        <v>63</v>
      </c>
      <c r="K93" s="41" t="s">
        <v>91</v>
      </c>
      <c r="L93" s="190" t="s">
        <v>114</v>
      </c>
      <c r="M93" s="73">
        <v>5.0</v>
      </c>
      <c r="N93" s="45" t="s">
        <v>93</v>
      </c>
      <c r="O93" s="75" t="s">
        <v>115</v>
      </c>
      <c r="P93" s="48" t="s">
        <v>95</v>
      </c>
      <c r="Q93" s="119">
        <v>0.0</v>
      </c>
      <c r="R93" s="151" t="s">
        <v>58</v>
      </c>
      <c r="S93" s="48" t="s">
        <v>96</v>
      </c>
      <c r="T93" s="50" t="s">
        <v>97</v>
      </c>
      <c r="U93" s="78"/>
      <c r="V93" s="78"/>
      <c r="W93" s="78"/>
      <c r="X93" s="78"/>
      <c r="Y93" s="81"/>
      <c r="Z93" s="83" t="s">
        <v>119</v>
      </c>
      <c r="AA93" s="48" t="s">
        <v>95</v>
      </c>
      <c r="AB93" s="67">
        <v>0.0</v>
      </c>
      <c r="AC93" s="151" t="s">
        <v>58</v>
      </c>
      <c r="AD93" s="56" t="s">
        <v>100</v>
      </c>
      <c r="AE93" s="50" t="s">
        <v>97</v>
      </c>
      <c r="AF93" s="78"/>
      <c r="AG93" s="78"/>
      <c r="AH93" s="78"/>
      <c r="AI93" s="78"/>
      <c r="AJ93" s="81"/>
      <c r="AK93" s="75" t="s">
        <v>115</v>
      </c>
      <c r="AL93" s="56" t="s">
        <v>100</v>
      </c>
      <c r="AM93" s="48" t="s">
        <v>96</v>
      </c>
      <c r="AN93" s="48" t="s">
        <v>96</v>
      </c>
      <c r="AO93" s="48" t="s">
        <v>96</v>
      </c>
      <c r="AP93" s="59" t="s">
        <v>97</v>
      </c>
      <c r="AQ93" s="83" t="s">
        <v>119</v>
      </c>
      <c r="AR93" s="50">
        <v>0.0</v>
      </c>
      <c r="AS93" s="50" t="s">
        <v>58</v>
      </c>
      <c r="AT93" s="56" t="s">
        <v>100</v>
      </c>
      <c r="AU93" s="59" t="s">
        <v>97</v>
      </c>
      <c r="AV93" s="71" t="s">
        <v>63</v>
      </c>
      <c r="AW93" s="150" t="s">
        <v>136</v>
      </c>
      <c r="AX93" s="151" t="s">
        <v>58</v>
      </c>
      <c r="AY93" s="50">
        <v>0.0</v>
      </c>
      <c r="AZ93" s="155" t="s">
        <v>136</v>
      </c>
      <c r="BA93" s="71" t="s">
        <v>63</v>
      </c>
      <c r="BB93" s="56" t="s">
        <v>100</v>
      </c>
      <c r="BC93" s="59" t="s">
        <v>97</v>
      </c>
      <c r="BD93" s="40" t="s">
        <v>107</v>
      </c>
      <c r="BE93" s="42" t="s">
        <v>93</v>
      </c>
      <c r="BF93" s="78"/>
      <c r="BG93" s="23"/>
      <c r="BH93" s="23"/>
      <c r="BI93" s="23"/>
      <c r="BJ93" s="23"/>
      <c r="BK93" s="23"/>
      <c r="BL93" s="23"/>
    </row>
    <row r="94" ht="12.0" hidden="1" customHeight="1">
      <c r="A94" s="173"/>
      <c r="B94" s="174"/>
      <c r="C94" s="180"/>
      <c r="D94" s="67">
        <v>94.0</v>
      </c>
      <c r="E94" s="175"/>
      <c r="F94" s="176"/>
      <c r="G94" s="176"/>
      <c r="H94" s="177"/>
      <c r="I94" s="178"/>
      <c r="J94" s="191"/>
      <c r="K94" s="176"/>
      <c r="L94" s="176"/>
      <c r="M94" s="179"/>
      <c r="N94" s="192"/>
      <c r="O94" s="191"/>
      <c r="P94" s="176"/>
      <c r="Q94" s="179"/>
      <c r="R94" s="177"/>
      <c r="S94" s="174"/>
      <c r="T94" s="174"/>
      <c r="U94" s="180"/>
      <c r="V94" s="180"/>
      <c r="W94" s="180"/>
      <c r="X94" s="180"/>
      <c r="Y94" s="181"/>
      <c r="Z94" s="191"/>
      <c r="AA94" s="176"/>
      <c r="AB94" s="177"/>
      <c r="AC94" s="177"/>
      <c r="AD94" s="184"/>
      <c r="AE94" s="180"/>
      <c r="AF94" s="180"/>
      <c r="AG94" s="180"/>
      <c r="AH94" s="180"/>
      <c r="AI94" s="180"/>
      <c r="AJ94" s="181"/>
      <c r="AK94" s="191"/>
      <c r="AL94" s="176"/>
      <c r="AM94" s="177"/>
      <c r="AN94" s="177"/>
      <c r="AO94" s="176"/>
      <c r="AP94" s="181"/>
      <c r="AQ94" s="191"/>
      <c r="AR94" s="177"/>
      <c r="AS94" s="177"/>
      <c r="AT94" s="176"/>
      <c r="AU94" s="181"/>
      <c r="AV94" s="191"/>
      <c r="AW94" s="184"/>
      <c r="AX94" s="182"/>
      <c r="AY94" s="182"/>
      <c r="AZ94" s="193"/>
      <c r="BA94" s="191"/>
      <c r="BB94" s="176"/>
      <c r="BC94" s="181"/>
      <c r="BD94" s="191"/>
      <c r="BE94" s="176"/>
      <c r="BF94" s="180"/>
      <c r="BG94" s="23"/>
      <c r="BH94" s="23"/>
      <c r="BI94" s="23"/>
      <c r="BJ94" s="23"/>
      <c r="BK94" s="23"/>
      <c r="BL94" s="23"/>
    </row>
    <row r="95" ht="12.0" hidden="1" customHeight="1">
      <c r="A95" s="173"/>
      <c r="B95" s="174"/>
      <c r="C95" s="180"/>
      <c r="D95" s="36">
        <v>95.0</v>
      </c>
      <c r="E95" s="175"/>
      <c r="F95" s="176"/>
      <c r="G95" s="176"/>
      <c r="H95" s="177"/>
      <c r="I95" s="178"/>
      <c r="J95" s="191"/>
      <c r="K95" s="176"/>
      <c r="L95" s="176"/>
      <c r="M95" s="179"/>
      <c r="N95" s="192"/>
      <c r="O95" s="191"/>
      <c r="P95" s="176"/>
      <c r="Q95" s="179"/>
      <c r="R95" s="177"/>
      <c r="S95" s="174"/>
      <c r="T95" s="174"/>
      <c r="U95" s="180"/>
      <c r="V95" s="180"/>
      <c r="W95" s="180"/>
      <c r="X95" s="180"/>
      <c r="Y95" s="181"/>
      <c r="Z95" s="191"/>
      <c r="AA95" s="176"/>
      <c r="AB95" s="177"/>
      <c r="AC95" s="177"/>
      <c r="AD95" s="184"/>
      <c r="AE95" s="180"/>
      <c r="AF95" s="180"/>
      <c r="AG95" s="180"/>
      <c r="AH95" s="180"/>
      <c r="AI95" s="180"/>
      <c r="AJ95" s="181"/>
      <c r="AK95" s="191"/>
      <c r="AL95" s="176"/>
      <c r="AM95" s="177"/>
      <c r="AN95" s="177"/>
      <c r="AO95" s="176"/>
      <c r="AP95" s="181"/>
      <c r="AQ95" s="191"/>
      <c r="AR95" s="177"/>
      <c r="AS95" s="177"/>
      <c r="AT95" s="176"/>
      <c r="AU95" s="181"/>
      <c r="AV95" s="191"/>
      <c r="AW95" s="184"/>
      <c r="AX95" s="182"/>
      <c r="AY95" s="182"/>
      <c r="AZ95" s="193"/>
      <c r="BA95" s="191"/>
      <c r="BB95" s="176"/>
      <c r="BC95" s="181"/>
      <c r="BD95" s="191"/>
      <c r="BE95" s="176"/>
      <c r="BF95" s="180"/>
      <c r="BG95" s="23"/>
      <c r="BH95" s="23"/>
      <c r="BI95" s="23"/>
      <c r="BJ95" s="23"/>
      <c r="BK95" s="23"/>
      <c r="BL95" s="23"/>
    </row>
    <row r="96" ht="12.0" hidden="1" customHeight="1">
      <c r="A96" s="173"/>
      <c r="B96" s="174"/>
      <c r="C96" s="180"/>
      <c r="D96" s="67">
        <v>96.0</v>
      </c>
      <c r="E96" s="175"/>
      <c r="F96" s="176"/>
      <c r="G96" s="176"/>
      <c r="H96" s="177"/>
      <c r="I96" s="178"/>
      <c r="J96" s="191"/>
      <c r="K96" s="176"/>
      <c r="L96" s="176"/>
      <c r="M96" s="179"/>
      <c r="N96" s="192"/>
      <c r="O96" s="191"/>
      <c r="P96" s="176"/>
      <c r="Q96" s="179"/>
      <c r="R96" s="177"/>
      <c r="S96" s="174"/>
      <c r="T96" s="174"/>
      <c r="U96" s="180"/>
      <c r="V96" s="180"/>
      <c r="W96" s="180"/>
      <c r="X96" s="180"/>
      <c r="Y96" s="181"/>
      <c r="Z96" s="191"/>
      <c r="AA96" s="176"/>
      <c r="AB96" s="177"/>
      <c r="AC96" s="177"/>
      <c r="AD96" s="184"/>
      <c r="AE96" s="180"/>
      <c r="AF96" s="180"/>
      <c r="AG96" s="180"/>
      <c r="AH96" s="180"/>
      <c r="AI96" s="180"/>
      <c r="AJ96" s="181"/>
      <c r="AK96" s="191"/>
      <c r="AL96" s="176"/>
      <c r="AM96" s="177"/>
      <c r="AN96" s="177"/>
      <c r="AO96" s="176"/>
      <c r="AP96" s="181"/>
      <c r="AQ96" s="191"/>
      <c r="AR96" s="177"/>
      <c r="AS96" s="177"/>
      <c r="AT96" s="176"/>
      <c r="AU96" s="181"/>
      <c r="AV96" s="191"/>
      <c r="AW96" s="184"/>
      <c r="AX96" s="182"/>
      <c r="AY96" s="182"/>
      <c r="AZ96" s="193"/>
      <c r="BA96" s="191"/>
      <c r="BB96" s="176"/>
      <c r="BC96" s="181"/>
      <c r="BD96" s="191"/>
      <c r="BE96" s="176"/>
      <c r="BF96" s="180"/>
      <c r="BG96" s="23"/>
      <c r="BH96" s="23"/>
      <c r="BI96" s="23"/>
      <c r="BJ96" s="23"/>
      <c r="BK96" s="23"/>
      <c r="BL96" s="23"/>
    </row>
    <row r="97" ht="12.0" hidden="1" customHeight="1">
      <c r="A97" s="173"/>
      <c r="B97" s="174"/>
      <c r="C97" s="180"/>
      <c r="D97" s="67">
        <v>97.0</v>
      </c>
      <c r="E97" s="175"/>
      <c r="F97" s="176"/>
      <c r="G97" s="176"/>
      <c r="H97" s="177"/>
      <c r="I97" s="178"/>
      <c r="J97" s="191"/>
      <c r="K97" s="176"/>
      <c r="L97" s="176"/>
      <c r="M97" s="179"/>
      <c r="N97" s="192"/>
      <c r="O97" s="191"/>
      <c r="P97" s="176"/>
      <c r="Q97" s="179"/>
      <c r="R97" s="177"/>
      <c r="S97" s="174"/>
      <c r="T97" s="174"/>
      <c r="U97" s="180"/>
      <c r="V97" s="180"/>
      <c r="W97" s="180"/>
      <c r="X97" s="180"/>
      <c r="Y97" s="181"/>
      <c r="Z97" s="191"/>
      <c r="AA97" s="176"/>
      <c r="AB97" s="177"/>
      <c r="AC97" s="177"/>
      <c r="AD97" s="184"/>
      <c r="AE97" s="180"/>
      <c r="AF97" s="180"/>
      <c r="AG97" s="180"/>
      <c r="AH97" s="180"/>
      <c r="AI97" s="180"/>
      <c r="AJ97" s="181"/>
      <c r="AK97" s="191"/>
      <c r="AL97" s="176"/>
      <c r="AM97" s="177"/>
      <c r="AN97" s="177"/>
      <c r="AO97" s="176"/>
      <c r="AP97" s="181"/>
      <c r="AQ97" s="191"/>
      <c r="AR97" s="177"/>
      <c r="AS97" s="177"/>
      <c r="AT97" s="176"/>
      <c r="AU97" s="181"/>
      <c r="AV97" s="191"/>
      <c r="AW97" s="184"/>
      <c r="AX97" s="182"/>
      <c r="AY97" s="182"/>
      <c r="AZ97" s="193"/>
      <c r="BA97" s="191"/>
      <c r="BB97" s="176"/>
      <c r="BC97" s="181"/>
      <c r="BD97" s="191"/>
      <c r="BE97" s="176"/>
      <c r="BF97" s="180"/>
      <c r="BG97" s="23"/>
      <c r="BH97" s="23"/>
      <c r="BI97" s="23"/>
      <c r="BJ97" s="23"/>
      <c r="BK97" s="23"/>
      <c r="BL97" s="23"/>
    </row>
    <row r="98" ht="12.0" hidden="1" customHeight="1">
      <c r="A98" s="173"/>
      <c r="B98" s="174"/>
      <c r="C98" s="180"/>
      <c r="D98" s="67">
        <v>98.0</v>
      </c>
      <c r="E98" s="175"/>
      <c r="F98" s="176"/>
      <c r="G98" s="176"/>
      <c r="H98" s="177"/>
      <c r="I98" s="178"/>
      <c r="J98" s="191"/>
      <c r="K98" s="176"/>
      <c r="L98" s="176"/>
      <c r="M98" s="179"/>
      <c r="N98" s="192"/>
      <c r="O98" s="191"/>
      <c r="P98" s="176"/>
      <c r="Q98" s="179"/>
      <c r="R98" s="177"/>
      <c r="S98" s="174"/>
      <c r="T98" s="174"/>
      <c r="U98" s="180"/>
      <c r="V98" s="180"/>
      <c r="W98" s="180"/>
      <c r="X98" s="180"/>
      <c r="Y98" s="181"/>
      <c r="Z98" s="191"/>
      <c r="AA98" s="176"/>
      <c r="AB98" s="177"/>
      <c r="AC98" s="177"/>
      <c r="AD98" s="184"/>
      <c r="AE98" s="180"/>
      <c r="AF98" s="180"/>
      <c r="AG98" s="180"/>
      <c r="AH98" s="180"/>
      <c r="AI98" s="180"/>
      <c r="AJ98" s="181"/>
      <c r="AK98" s="191"/>
      <c r="AL98" s="176"/>
      <c r="AM98" s="177"/>
      <c r="AN98" s="177"/>
      <c r="AO98" s="176"/>
      <c r="AP98" s="181"/>
      <c r="AQ98" s="191"/>
      <c r="AR98" s="177"/>
      <c r="AS98" s="177"/>
      <c r="AT98" s="176"/>
      <c r="AU98" s="181"/>
      <c r="AV98" s="191"/>
      <c r="AW98" s="184"/>
      <c r="AX98" s="182"/>
      <c r="AY98" s="182"/>
      <c r="AZ98" s="193"/>
      <c r="BA98" s="191"/>
      <c r="BB98" s="176"/>
      <c r="BC98" s="181"/>
      <c r="BD98" s="191"/>
      <c r="BE98" s="176"/>
      <c r="BF98" s="180"/>
      <c r="BG98" s="23"/>
      <c r="BH98" s="23"/>
      <c r="BI98" s="23"/>
      <c r="BJ98" s="23"/>
      <c r="BK98" s="23"/>
      <c r="BL98" s="23"/>
    </row>
    <row r="99" ht="12.0" hidden="1" customHeight="1">
      <c r="A99" s="173"/>
      <c r="B99" s="174"/>
      <c r="C99" s="180"/>
      <c r="D99" s="36">
        <v>99.0</v>
      </c>
      <c r="E99" s="175"/>
      <c r="F99" s="176"/>
      <c r="G99" s="176"/>
      <c r="H99" s="177"/>
      <c r="I99" s="178"/>
      <c r="J99" s="191"/>
      <c r="K99" s="176"/>
      <c r="L99" s="176"/>
      <c r="M99" s="179"/>
      <c r="N99" s="192"/>
      <c r="O99" s="191"/>
      <c r="P99" s="176"/>
      <c r="Q99" s="179"/>
      <c r="R99" s="177"/>
      <c r="S99" s="174"/>
      <c r="T99" s="174"/>
      <c r="U99" s="180"/>
      <c r="V99" s="180"/>
      <c r="W99" s="180"/>
      <c r="X99" s="180"/>
      <c r="Y99" s="181"/>
      <c r="Z99" s="191"/>
      <c r="AA99" s="176"/>
      <c r="AB99" s="177"/>
      <c r="AC99" s="177"/>
      <c r="AD99" s="184"/>
      <c r="AE99" s="180"/>
      <c r="AF99" s="180"/>
      <c r="AG99" s="180"/>
      <c r="AH99" s="180"/>
      <c r="AI99" s="180"/>
      <c r="AJ99" s="181"/>
      <c r="AK99" s="191"/>
      <c r="AL99" s="176"/>
      <c r="AM99" s="177"/>
      <c r="AN99" s="177"/>
      <c r="AO99" s="176"/>
      <c r="AP99" s="181"/>
      <c r="AQ99" s="191"/>
      <c r="AR99" s="177"/>
      <c r="AS99" s="177"/>
      <c r="AT99" s="176"/>
      <c r="AU99" s="181"/>
      <c r="AV99" s="191"/>
      <c r="AW99" s="184"/>
      <c r="AX99" s="182"/>
      <c r="AY99" s="182"/>
      <c r="AZ99" s="193"/>
      <c r="BA99" s="191"/>
      <c r="BB99" s="176"/>
      <c r="BC99" s="181"/>
      <c r="BD99" s="191"/>
      <c r="BE99" s="176"/>
      <c r="BF99" s="180"/>
      <c r="BG99" s="23"/>
      <c r="BH99" s="23"/>
      <c r="BI99" s="23"/>
      <c r="BJ99" s="23"/>
      <c r="BK99" s="23"/>
      <c r="BL99" s="23"/>
    </row>
    <row r="100" ht="12.0" hidden="1" customHeight="1">
      <c r="A100" s="173"/>
      <c r="B100" s="174"/>
      <c r="C100" s="180"/>
      <c r="D100" s="67">
        <v>100.0</v>
      </c>
      <c r="E100" s="175"/>
      <c r="F100" s="176"/>
      <c r="G100" s="176"/>
      <c r="H100" s="177"/>
      <c r="I100" s="178"/>
      <c r="J100" s="191"/>
      <c r="K100" s="176"/>
      <c r="L100" s="176"/>
      <c r="M100" s="179"/>
      <c r="N100" s="192"/>
      <c r="O100" s="191"/>
      <c r="P100" s="176"/>
      <c r="Q100" s="179"/>
      <c r="R100" s="177"/>
      <c r="S100" s="174"/>
      <c r="T100" s="174"/>
      <c r="U100" s="180"/>
      <c r="V100" s="180"/>
      <c r="W100" s="180"/>
      <c r="X100" s="180"/>
      <c r="Y100" s="181"/>
      <c r="Z100" s="191"/>
      <c r="AA100" s="176"/>
      <c r="AB100" s="177"/>
      <c r="AC100" s="177"/>
      <c r="AD100" s="184"/>
      <c r="AE100" s="180"/>
      <c r="AF100" s="180"/>
      <c r="AG100" s="180"/>
      <c r="AH100" s="180"/>
      <c r="AI100" s="180"/>
      <c r="AJ100" s="181"/>
      <c r="AK100" s="191"/>
      <c r="AL100" s="176"/>
      <c r="AM100" s="177"/>
      <c r="AN100" s="177"/>
      <c r="AO100" s="176"/>
      <c r="AP100" s="181"/>
      <c r="AQ100" s="191"/>
      <c r="AR100" s="177"/>
      <c r="AS100" s="177"/>
      <c r="AT100" s="176"/>
      <c r="AU100" s="181"/>
      <c r="AV100" s="191"/>
      <c r="AW100" s="184"/>
      <c r="AX100" s="182"/>
      <c r="AY100" s="182"/>
      <c r="AZ100" s="193"/>
      <c r="BA100" s="191"/>
      <c r="BB100" s="176"/>
      <c r="BC100" s="181"/>
      <c r="BD100" s="191"/>
      <c r="BE100" s="176"/>
      <c r="BF100" s="180"/>
      <c r="BG100" s="23"/>
      <c r="BH100" s="23"/>
      <c r="BI100" s="23"/>
      <c r="BJ100" s="23"/>
      <c r="BK100" s="23"/>
      <c r="BL100" s="23"/>
    </row>
    <row r="101" ht="12.0" hidden="1" customHeight="1">
      <c r="A101" s="173"/>
      <c r="B101" s="174"/>
      <c r="C101" s="180"/>
      <c r="D101" s="36">
        <v>101.0</v>
      </c>
      <c r="E101" s="175"/>
      <c r="F101" s="176"/>
      <c r="G101" s="176"/>
      <c r="H101" s="177"/>
      <c r="I101" s="178"/>
      <c r="J101" s="191"/>
      <c r="K101" s="176"/>
      <c r="L101" s="176"/>
      <c r="M101" s="179"/>
      <c r="N101" s="192"/>
      <c r="O101" s="191"/>
      <c r="P101" s="176"/>
      <c r="Q101" s="179"/>
      <c r="R101" s="177"/>
      <c r="S101" s="174"/>
      <c r="T101" s="174"/>
      <c r="U101" s="180"/>
      <c r="V101" s="180"/>
      <c r="W101" s="180"/>
      <c r="X101" s="180"/>
      <c r="Y101" s="181"/>
      <c r="Z101" s="191"/>
      <c r="AA101" s="176"/>
      <c r="AB101" s="177"/>
      <c r="AC101" s="177"/>
      <c r="AD101" s="184"/>
      <c r="AE101" s="180"/>
      <c r="AF101" s="180"/>
      <c r="AG101" s="180"/>
      <c r="AH101" s="180"/>
      <c r="AI101" s="180"/>
      <c r="AJ101" s="181"/>
      <c r="AK101" s="191"/>
      <c r="AL101" s="176"/>
      <c r="AM101" s="177"/>
      <c r="AN101" s="177"/>
      <c r="AO101" s="176"/>
      <c r="AP101" s="181"/>
      <c r="AQ101" s="191"/>
      <c r="AR101" s="177"/>
      <c r="AS101" s="177"/>
      <c r="AT101" s="176"/>
      <c r="AU101" s="181"/>
      <c r="AV101" s="191"/>
      <c r="AW101" s="184"/>
      <c r="AX101" s="182"/>
      <c r="AY101" s="182"/>
      <c r="AZ101" s="193"/>
      <c r="BA101" s="191"/>
      <c r="BB101" s="176"/>
      <c r="BC101" s="181"/>
      <c r="BD101" s="191"/>
      <c r="BE101" s="176"/>
      <c r="BF101" s="180"/>
      <c r="BG101" s="23"/>
      <c r="BH101" s="23"/>
      <c r="BI101" s="23"/>
      <c r="BJ101" s="23"/>
      <c r="BK101" s="23"/>
      <c r="BL101" s="23"/>
    </row>
    <row r="102" ht="12.0" hidden="1" customHeight="1">
      <c r="A102" s="173"/>
      <c r="B102" s="174"/>
      <c r="C102" s="180"/>
      <c r="D102" s="67">
        <v>102.0</v>
      </c>
      <c r="E102" s="175"/>
      <c r="F102" s="176"/>
      <c r="G102" s="176"/>
      <c r="H102" s="177"/>
      <c r="I102" s="178"/>
      <c r="J102" s="191"/>
      <c r="K102" s="176"/>
      <c r="L102" s="176"/>
      <c r="M102" s="179"/>
      <c r="N102" s="192"/>
      <c r="O102" s="191"/>
      <c r="P102" s="176"/>
      <c r="Q102" s="179"/>
      <c r="R102" s="177"/>
      <c r="S102" s="174"/>
      <c r="T102" s="174"/>
      <c r="U102" s="180"/>
      <c r="V102" s="180"/>
      <c r="W102" s="180"/>
      <c r="X102" s="180"/>
      <c r="Y102" s="181"/>
      <c r="Z102" s="191"/>
      <c r="AA102" s="176"/>
      <c r="AB102" s="177"/>
      <c r="AC102" s="177"/>
      <c r="AD102" s="184"/>
      <c r="AE102" s="180"/>
      <c r="AF102" s="180"/>
      <c r="AG102" s="180"/>
      <c r="AH102" s="180"/>
      <c r="AI102" s="180"/>
      <c r="AJ102" s="181"/>
      <c r="AK102" s="191"/>
      <c r="AL102" s="176"/>
      <c r="AM102" s="177"/>
      <c r="AN102" s="177"/>
      <c r="AO102" s="176"/>
      <c r="AP102" s="181"/>
      <c r="AQ102" s="191"/>
      <c r="AR102" s="177"/>
      <c r="AS102" s="177"/>
      <c r="AT102" s="176"/>
      <c r="AU102" s="181"/>
      <c r="AV102" s="191"/>
      <c r="AW102" s="184"/>
      <c r="AX102" s="182"/>
      <c r="AY102" s="182"/>
      <c r="AZ102" s="193"/>
      <c r="BA102" s="191"/>
      <c r="BB102" s="176"/>
      <c r="BC102" s="181"/>
      <c r="BD102" s="191"/>
      <c r="BE102" s="176"/>
      <c r="BF102" s="180"/>
      <c r="BG102" s="23"/>
      <c r="BH102" s="23"/>
      <c r="BI102" s="23"/>
      <c r="BJ102" s="23"/>
      <c r="BK102" s="23"/>
      <c r="BL102" s="23"/>
    </row>
    <row r="103" ht="12.0" hidden="1" customHeight="1">
      <c r="A103" s="173"/>
      <c r="B103" s="174"/>
      <c r="C103" s="180"/>
      <c r="D103" s="67">
        <v>103.0</v>
      </c>
      <c r="E103" s="175"/>
      <c r="F103" s="176"/>
      <c r="G103" s="176"/>
      <c r="H103" s="177"/>
      <c r="I103" s="178"/>
      <c r="J103" s="191"/>
      <c r="K103" s="176"/>
      <c r="L103" s="176"/>
      <c r="M103" s="179"/>
      <c r="N103" s="192"/>
      <c r="O103" s="191"/>
      <c r="P103" s="176"/>
      <c r="Q103" s="179"/>
      <c r="R103" s="177"/>
      <c r="S103" s="174"/>
      <c r="T103" s="174"/>
      <c r="U103" s="180"/>
      <c r="V103" s="180"/>
      <c r="W103" s="180"/>
      <c r="X103" s="180"/>
      <c r="Y103" s="181"/>
      <c r="Z103" s="191"/>
      <c r="AA103" s="176"/>
      <c r="AB103" s="177"/>
      <c r="AC103" s="177"/>
      <c r="AD103" s="184"/>
      <c r="AE103" s="180"/>
      <c r="AF103" s="180"/>
      <c r="AG103" s="180"/>
      <c r="AH103" s="180"/>
      <c r="AI103" s="180"/>
      <c r="AJ103" s="181"/>
      <c r="AK103" s="191"/>
      <c r="AL103" s="176"/>
      <c r="AM103" s="177"/>
      <c r="AN103" s="177"/>
      <c r="AO103" s="176"/>
      <c r="AP103" s="181"/>
      <c r="AQ103" s="191"/>
      <c r="AR103" s="177"/>
      <c r="AS103" s="177"/>
      <c r="AT103" s="176"/>
      <c r="AU103" s="181"/>
      <c r="AV103" s="191"/>
      <c r="AW103" s="184"/>
      <c r="AX103" s="182"/>
      <c r="AY103" s="182"/>
      <c r="AZ103" s="193"/>
      <c r="BA103" s="191"/>
      <c r="BB103" s="176"/>
      <c r="BC103" s="181"/>
      <c r="BD103" s="191"/>
      <c r="BE103" s="176"/>
      <c r="BF103" s="180"/>
      <c r="BG103" s="23"/>
      <c r="BH103" s="23"/>
      <c r="BI103" s="23"/>
      <c r="BJ103" s="23"/>
      <c r="BK103" s="23"/>
      <c r="BL103" s="23"/>
    </row>
    <row r="104" ht="12.0" hidden="1" customHeight="1">
      <c r="A104" s="173"/>
      <c r="B104" s="174"/>
      <c r="C104" s="180"/>
      <c r="D104" s="67">
        <v>104.0</v>
      </c>
      <c r="E104" s="175"/>
      <c r="F104" s="176"/>
      <c r="G104" s="176"/>
      <c r="H104" s="177"/>
      <c r="I104" s="178"/>
      <c r="J104" s="191"/>
      <c r="K104" s="176"/>
      <c r="L104" s="176"/>
      <c r="M104" s="179"/>
      <c r="N104" s="192"/>
      <c r="O104" s="191"/>
      <c r="P104" s="176"/>
      <c r="Q104" s="179"/>
      <c r="R104" s="177"/>
      <c r="S104" s="174"/>
      <c r="T104" s="174"/>
      <c r="U104" s="180"/>
      <c r="V104" s="180"/>
      <c r="W104" s="180"/>
      <c r="X104" s="180"/>
      <c r="Y104" s="181"/>
      <c r="Z104" s="191"/>
      <c r="AA104" s="176"/>
      <c r="AB104" s="177"/>
      <c r="AC104" s="177"/>
      <c r="AD104" s="184"/>
      <c r="AE104" s="180"/>
      <c r="AF104" s="180"/>
      <c r="AG104" s="180"/>
      <c r="AH104" s="180"/>
      <c r="AI104" s="180"/>
      <c r="AJ104" s="181"/>
      <c r="AK104" s="191"/>
      <c r="AL104" s="176"/>
      <c r="AM104" s="177"/>
      <c r="AN104" s="177"/>
      <c r="AO104" s="176"/>
      <c r="AP104" s="181"/>
      <c r="AQ104" s="191"/>
      <c r="AR104" s="177"/>
      <c r="AS104" s="177"/>
      <c r="AT104" s="176"/>
      <c r="AU104" s="181"/>
      <c r="AV104" s="191"/>
      <c r="AW104" s="184"/>
      <c r="AX104" s="182"/>
      <c r="AY104" s="182"/>
      <c r="AZ104" s="193"/>
      <c r="BA104" s="191"/>
      <c r="BB104" s="176"/>
      <c r="BC104" s="181"/>
      <c r="BD104" s="191"/>
      <c r="BE104" s="176"/>
      <c r="BF104" s="180"/>
      <c r="BG104" s="23"/>
      <c r="BH104" s="23"/>
      <c r="BI104" s="23"/>
      <c r="BJ104" s="23"/>
      <c r="BK104" s="23"/>
      <c r="BL104" s="23"/>
    </row>
    <row r="105" ht="12.0" hidden="1" customHeight="1">
      <c r="A105" s="173"/>
      <c r="B105" s="174"/>
      <c r="C105" s="180"/>
      <c r="D105" s="36">
        <v>105.0</v>
      </c>
      <c r="E105" s="175"/>
      <c r="F105" s="176"/>
      <c r="G105" s="176"/>
      <c r="H105" s="177"/>
      <c r="I105" s="178"/>
      <c r="J105" s="191"/>
      <c r="K105" s="176"/>
      <c r="L105" s="176"/>
      <c r="M105" s="179"/>
      <c r="N105" s="192"/>
      <c r="O105" s="191"/>
      <c r="P105" s="176"/>
      <c r="Q105" s="179"/>
      <c r="R105" s="177"/>
      <c r="S105" s="174"/>
      <c r="T105" s="174"/>
      <c r="U105" s="180"/>
      <c r="V105" s="180"/>
      <c r="W105" s="180"/>
      <c r="X105" s="180"/>
      <c r="Y105" s="181"/>
      <c r="Z105" s="191"/>
      <c r="AA105" s="176"/>
      <c r="AB105" s="177"/>
      <c r="AC105" s="177"/>
      <c r="AD105" s="184"/>
      <c r="AE105" s="180"/>
      <c r="AF105" s="180"/>
      <c r="AG105" s="180"/>
      <c r="AH105" s="180"/>
      <c r="AI105" s="180"/>
      <c r="AJ105" s="181"/>
      <c r="AK105" s="191"/>
      <c r="AL105" s="176"/>
      <c r="AM105" s="177"/>
      <c r="AN105" s="177"/>
      <c r="AO105" s="176"/>
      <c r="AP105" s="181"/>
      <c r="AQ105" s="191"/>
      <c r="AR105" s="177"/>
      <c r="AS105" s="177"/>
      <c r="AT105" s="176"/>
      <c r="AU105" s="181"/>
      <c r="AV105" s="191"/>
      <c r="AW105" s="184"/>
      <c r="AX105" s="182"/>
      <c r="AY105" s="182"/>
      <c r="AZ105" s="193"/>
      <c r="BA105" s="191"/>
      <c r="BB105" s="176"/>
      <c r="BC105" s="181"/>
      <c r="BD105" s="191"/>
      <c r="BE105" s="176"/>
      <c r="BF105" s="180"/>
      <c r="BG105" s="23"/>
      <c r="BH105" s="23"/>
      <c r="BI105" s="23"/>
      <c r="BJ105" s="23"/>
      <c r="BK105" s="23"/>
      <c r="BL105" s="23"/>
    </row>
    <row r="106" ht="12.0" hidden="1" customHeight="1">
      <c r="A106" s="173"/>
      <c r="B106" s="174"/>
      <c r="C106" s="180"/>
      <c r="D106" s="67">
        <v>106.0</v>
      </c>
      <c r="E106" s="175"/>
      <c r="F106" s="176"/>
      <c r="G106" s="176"/>
      <c r="H106" s="177"/>
      <c r="I106" s="178"/>
      <c r="J106" s="191"/>
      <c r="K106" s="176"/>
      <c r="L106" s="176"/>
      <c r="M106" s="179"/>
      <c r="N106" s="192"/>
      <c r="O106" s="191"/>
      <c r="P106" s="176"/>
      <c r="Q106" s="179"/>
      <c r="R106" s="177"/>
      <c r="S106" s="174"/>
      <c r="T106" s="174"/>
      <c r="U106" s="180"/>
      <c r="V106" s="180"/>
      <c r="W106" s="180"/>
      <c r="X106" s="180"/>
      <c r="Y106" s="181"/>
      <c r="Z106" s="191"/>
      <c r="AA106" s="176"/>
      <c r="AB106" s="177"/>
      <c r="AC106" s="177"/>
      <c r="AD106" s="184"/>
      <c r="AE106" s="180"/>
      <c r="AF106" s="180"/>
      <c r="AG106" s="180"/>
      <c r="AH106" s="180"/>
      <c r="AI106" s="180"/>
      <c r="AJ106" s="181"/>
      <c r="AK106" s="191"/>
      <c r="AL106" s="176"/>
      <c r="AM106" s="177"/>
      <c r="AN106" s="177"/>
      <c r="AO106" s="176"/>
      <c r="AP106" s="181"/>
      <c r="AQ106" s="191"/>
      <c r="AR106" s="177"/>
      <c r="AS106" s="177"/>
      <c r="AT106" s="176"/>
      <c r="AU106" s="181"/>
      <c r="AV106" s="191"/>
      <c r="AW106" s="184"/>
      <c r="AX106" s="182"/>
      <c r="AY106" s="182"/>
      <c r="AZ106" s="193"/>
      <c r="BA106" s="191"/>
      <c r="BB106" s="176"/>
      <c r="BC106" s="181"/>
      <c r="BD106" s="191"/>
      <c r="BE106" s="176"/>
      <c r="BF106" s="180"/>
      <c r="BG106" s="23"/>
      <c r="BH106" s="23"/>
      <c r="BI106" s="23"/>
      <c r="BJ106" s="23"/>
      <c r="BK106" s="23"/>
      <c r="BL106" s="23"/>
    </row>
    <row r="107" ht="12.0" hidden="1" customHeight="1">
      <c r="A107" s="173"/>
      <c r="B107" s="174"/>
      <c r="C107" s="180"/>
      <c r="D107" s="36">
        <v>107.0</v>
      </c>
      <c r="E107" s="175"/>
      <c r="F107" s="176"/>
      <c r="G107" s="176"/>
      <c r="H107" s="177"/>
      <c r="I107" s="178"/>
      <c r="J107" s="191"/>
      <c r="K107" s="176"/>
      <c r="L107" s="176"/>
      <c r="M107" s="179"/>
      <c r="N107" s="192"/>
      <c r="O107" s="191"/>
      <c r="P107" s="176"/>
      <c r="Q107" s="179"/>
      <c r="R107" s="177"/>
      <c r="S107" s="174"/>
      <c r="T107" s="174"/>
      <c r="U107" s="180"/>
      <c r="V107" s="180"/>
      <c r="W107" s="180"/>
      <c r="X107" s="180"/>
      <c r="Y107" s="181"/>
      <c r="Z107" s="191"/>
      <c r="AA107" s="176"/>
      <c r="AB107" s="177"/>
      <c r="AC107" s="177"/>
      <c r="AD107" s="184"/>
      <c r="AE107" s="180"/>
      <c r="AF107" s="180"/>
      <c r="AG107" s="180"/>
      <c r="AH107" s="180"/>
      <c r="AI107" s="180"/>
      <c r="AJ107" s="181"/>
      <c r="AK107" s="191"/>
      <c r="AL107" s="176"/>
      <c r="AM107" s="177"/>
      <c r="AN107" s="177"/>
      <c r="AO107" s="176"/>
      <c r="AP107" s="181"/>
      <c r="AQ107" s="191"/>
      <c r="AR107" s="177"/>
      <c r="AS107" s="177"/>
      <c r="AT107" s="176"/>
      <c r="AU107" s="181"/>
      <c r="AV107" s="191"/>
      <c r="AW107" s="184"/>
      <c r="AX107" s="182"/>
      <c r="AY107" s="182"/>
      <c r="AZ107" s="193"/>
      <c r="BA107" s="191"/>
      <c r="BB107" s="176"/>
      <c r="BC107" s="181"/>
      <c r="BD107" s="191"/>
      <c r="BE107" s="176"/>
      <c r="BF107" s="180"/>
      <c r="BG107" s="23"/>
      <c r="BH107" s="23"/>
      <c r="BI107" s="23"/>
      <c r="BJ107" s="23"/>
      <c r="BK107" s="23"/>
      <c r="BL107" s="23"/>
    </row>
    <row r="108" ht="12.0" hidden="1" customHeight="1">
      <c r="A108" s="173"/>
      <c r="B108" s="174"/>
      <c r="C108" s="180"/>
      <c r="D108" s="67">
        <v>108.0</v>
      </c>
      <c r="E108" s="175"/>
      <c r="F108" s="176"/>
      <c r="G108" s="176"/>
      <c r="H108" s="177"/>
      <c r="I108" s="178"/>
      <c r="J108" s="191"/>
      <c r="K108" s="176"/>
      <c r="L108" s="176"/>
      <c r="M108" s="179"/>
      <c r="N108" s="192"/>
      <c r="O108" s="191"/>
      <c r="P108" s="176"/>
      <c r="Q108" s="179"/>
      <c r="R108" s="177"/>
      <c r="S108" s="174"/>
      <c r="T108" s="174"/>
      <c r="U108" s="180"/>
      <c r="V108" s="180"/>
      <c r="W108" s="180"/>
      <c r="X108" s="180"/>
      <c r="Y108" s="181"/>
      <c r="Z108" s="191"/>
      <c r="AA108" s="176"/>
      <c r="AB108" s="177"/>
      <c r="AC108" s="177"/>
      <c r="AD108" s="184"/>
      <c r="AE108" s="180"/>
      <c r="AF108" s="180"/>
      <c r="AG108" s="180"/>
      <c r="AH108" s="180"/>
      <c r="AI108" s="180"/>
      <c r="AJ108" s="181"/>
      <c r="AK108" s="191"/>
      <c r="AL108" s="176"/>
      <c r="AM108" s="177"/>
      <c r="AN108" s="177"/>
      <c r="AO108" s="176"/>
      <c r="AP108" s="181"/>
      <c r="AQ108" s="191"/>
      <c r="AR108" s="177"/>
      <c r="AS108" s="177"/>
      <c r="AT108" s="176"/>
      <c r="AU108" s="181"/>
      <c r="AV108" s="191"/>
      <c r="AW108" s="184"/>
      <c r="AX108" s="182"/>
      <c r="AY108" s="182"/>
      <c r="AZ108" s="193"/>
      <c r="BA108" s="191"/>
      <c r="BB108" s="176"/>
      <c r="BC108" s="181"/>
      <c r="BD108" s="191"/>
      <c r="BE108" s="176"/>
      <c r="BF108" s="180"/>
      <c r="BG108" s="23"/>
      <c r="BH108" s="23"/>
      <c r="BI108" s="23"/>
      <c r="BJ108" s="23"/>
      <c r="BK108" s="23"/>
      <c r="BL108" s="23"/>
    </row>
    <row r="109" ht="12.0" hidden="1" customHeight="1">
      <c r="A109" s="173"/>
      <c r="B109" s="174"/>
      <c r="C109" s="180"/>
      <c r="D109" s="67">
        <v>109.0</v>
      </c>
      <c r="E109" s="175"/>
      <c r="F109" s="176"/>
      <c r="G109" s="176"/>
      <c r="H109" s="177"/>
      <c r="I109" s="178"/>
      <c r="J109" s="191"/>
      <c r="K109" s="176"/>
      <c r="L109" s="176"/>
      <c r="M109" s="179"/>
      <c r="N109" s="192"/>
      <c r="O109" s="191"/>
      <c r="P109" s="176"/>
      <c r="Q109" s="179"/>
      <c r="R109" s="177"/>
      <c r="S109" s="174"/>
      <c r="T109" s="174"/>
      <c r="U109" s="180"/>
      <c r="V109" s="180"/>
      <c r="W109" s="180"/>
      <c r="X109" s="180"/>
      <c r="Y109" s="181"/>
      <c r="Z109" s="191"/>
      <c r="AA109" s="176"/>
      <c r="AB109" s="177"/>
      <c r="AC109" s="177"/>
      <c r="AD109" s="184"/>
      <c r="AE109" s="180"/>
      <c r="AF109" s="180"/>
      <c r="AG109" s="180"/>
      <c r="AH109" s="180"/>
      <c r="AI109" s="180"/>
      <c r="AJ109" s="181"/>
      <c r="AK109" s="191"/>
      <c r="AL109" s="176"/>
      <c r="AM109" s="177"/>
      <c r="AN109" s="177"/>
      <c r="AO109" s="176"/>
      <c r="AP109" s="181"/>
      <c r="AQ109" s="191"/>
      <c r="AR109" s="177"/>
      <c r="AS109" s="177"/>
      <c r="AT109" s="176"/>
      <c r="AU109" s="181"/>
      <c r="AV109" s="191"/>
      <c r="AW109" s="184"/>
      <c r="AX109" s="182"/>
      <c r="AY109" s="182"/>
      <c r="AZ109" s="193"/>
      <c r="BA109" s="191"/>
      <c r="BB109" s="176"/>
      <c r="BC109" s="181"/>
      <c r="BD109" s="191"/>
      <c r="BE109" s="176"/>
      <c r="BF109" s="180"/>
      <c r="BG109" s="23"/>
      <c r="BH109" s="23"/>
      <c r="BI109" s="23"/>
      <c r="BJ109" s="23"/>
      <c r="BK109" s="23"/>
      <c r="BL109" s="23"/>
    </row>
    <row r="110" ht="12.0" hidden="1" customHeight="1">
      <c r="A110" s="173"/>
      <c r="B110" s="174"/>
      <c r="C110" s="180"/>
      <c r="D110" s="67">
        <v>110.0</v>
      </c>
      <c r="E110" s="175"/>
      <c r="F110" s="176"/>
      <c r="G110" s="176"/>
      <c r="H110" s="177"/>
      <c r="I110" s="178"/>
      <c r="J110" s="191"/>
      <c r="K110" s="176"/>
      <c r="L110" s="176"/>
      <c r="M110" s="179"/>
      <c r="N110" s="192"/>
      <c r="O110" s="191"/>
      <c r="P110" s="176"/>
      <c r="Q110" s="179"/>
      <c r="R110" s="177"/>
      <c r="S110" s="174"/>
      <c r="T110" s="174"/>
      <c r="U110" s="180"/>
      <c r="V110" s="180"/>
      <c r="W110" s="180"/>
      <c r="X110" s="180"/>
      <c r="Y110" s="181"/>
      <c r="Z110" s="191"/>
      <c r="AA110" s="176"/>
      <c r="AB110" s="177"/>
      <c r="AC110" s="177"/>
      <c r="AD110" s="184"/>
      <c r="AE110" s="180"/>
      <c r="AF110" s="180"/>
      <c r="AG110" s="180"/>
      <c r="AH110" s="180"/>
      <c r="AI110" s="180"/>
      <c r="AJ110" s="181"/>
      <c r="AK110" s="191"/>
      <c r="AL110" s="176"/>
      <c r="AM110" s="177"/>
      <c r="AN110" s="177"/>
      <c r="AO110" s="176"/>
      <c r="AP110" s="181"/>
      <c r="AQ110" s="191"/>
      <c r="AR110" s="177"/>
      <c r="AS110" s="177"/>
      <c r="AT110" s="176"/>
      <c r="AU110" s="181"/>
      <c r="AV110" s="191"/>
      <c r="AW110" s="184"/>
      <c r="AX110" s="182"/>
      <c r="AY110" s="182"/>
      <c r="AZ110" s="193"/>
      <c r="BA110" s="191"/>
      <c r="BB110" s="176"/>
      <c r="BC110" s="181"/>
      <c r="BD110" s="191"/>
      <c r="BE110" s="176"/>
      <c r="BF110" s="180"/>
      <c r="BG110" s="23"/>
      <c r="BH110" s="23"/>
      <c r="BI110" s="23"/>
      <c r="BJ110" s="23"/>
      <c r="BK110" s="23"/>
      <c r="BL110" s="23"/>
    </row>
    <row r="111" ht="12.0" customHeight="1">
      <c r="A111" s="194"/>
      <c r="B111" s="195"/>
      <c r="C111" s="195"/>
      <c r="D111" s="153" t="s">
        <v>343</v>
      </c>
      <c r="E111" s="196"/>
      <c r="F111" s="197"/>
      <c r="G111" s="197"/>
      <c r="H111" s="194">
        <f>SUM(Form_Responses[Dist. (m)])</f>
        <v>14071</v>
      </c>
      <c r="I111" s="198"/>
      <c r="J111" s="199"/>
      <c r="K111" s="197"/>
      <c r="L111" s="197"/>
      <c r="M111" s="200" t="s">
        <v>58</v>
      </c>
      <c r="N111" s="201"/>
      <c r="O111" s="199"/>
      <c r="P111" s="197"/>
      <c r="Q111" s="194"/>
      <c r="R111" s="194"/>
      <c r="S111" s="195"/>
      <c r="T111" s="195"/>
      <c r="U111" s="195"/>
      <c r="V111" s="195"/>
      <c r="W111" s="195"/>
      <c r="X111" s="195"/>
      <c r="Y111" s="202"/>
      <c r="Z111" s="199"/>
      <c r="AA111" s="197"/>
      <c r="AB111" s="194"/>
      <c r="AC111" s="194"/>
      <c r="AD111" s="197"/>
      <c r="AE111" s="195"/>
      <c r="AF111" s="195"/>
      <c r="AG111" s="195"/>
      <c r="AH111" s="195"/>
      <c r="AI111" s="195"/>
      <c r="AJ111" s="202"/>
      <c r="AK111" s="199"/>
      <c r="AL111" s="197"/>
      <c r="AM111" s="194"/>
      <c r="AN111" s="194"/>
      <c r="AO111" s="197"/>
      <c r="AP111" s="202"/>
      <c r="AQ111" s="199"/>
      <c r="AR111" s="194"/>
      <c r="AS111" s="194"/>
      <c r="AT111" s="197"/>
      <c r="AU111" s="202"/>
      <c r="AV111" s="199"/>
      <c r="AW111" s="197"/>
      <c r="AX111" s="194"/>
      <c r="AY111" s="194"/>
      <c r="AZ111" s="201"/>
      <c r="BA111" s="199"/>
      <c r="BB111" s="197"/>
      <c r="BC111" s="202"/>
      <c r="BD111" s="199"/>
      <c r="BE111" s="197"/>
      <c r="BF111" s="195"/>
      <c r="BG111" s="203"/>
      <c r="BH111" s="203"/>
      <c r="BI111" s="203"/>
      <c r="BJ111" s="203"/>
      <c r="BK111" s="203"/>
      <c r="BL111" s="203"/>
    </row>
  </sheetData>
  <dataValidations>
    <dataValidation type="custom" allowBlank="1" showDropDown="1" sqref="M2:M110 Q2:Q110">
      <formula1>AND(ISNUMBER(M2),(NOT(OR(NOT(ISERROR(DATEVALUE(M2))), AND(ISNUMBER(M2), LEFT(CELL("format", M2))="D")))))</formula1>
    </dataValidation>
  </dataValidations>
  <hyperlinks>
    <hyperlink r:id="rId4" ref="I2"/>
    <hyperlink r:id="rId5" ref="I3"/>
    <hyperlink r:id="rId6" ref="I4"/>
    <hyperlink r:id="rId7" ref="I5"/>
    <hyperlink r:id="rId8" ref="I6"/>
    <hyperlink r:id="rId9" ref="I7"/>
    <hyperlink r:id="rId10" ref="I8"/>
    <hyperlink r:id="rId11" ref="I9"/>
    <hyperlink r:id="rId12" ref="I10"/>
    <hyperlink r:id="rId13" ref="I11"/>
    <hyperlink r:id="rId14" ref="I12"/>
    <hyperlink r:id="rId15" ref="I13"/>
    <hyperlink r:id="rId16" ref="I14"/>
    <hyperlink r:id="rId17" ref="I15"/>
    <hyperlink r:id="rId18" ref="I16"/>
    <hyperlink r:id="rId19" ref="I17"/>
    <hyperlink r:id="rId20" ref="I18"/>
    <hyperlink r:id="rId21" ref="I19"/>
    <hyperlink r:id="rId22" ref="I20"/>
    <hyperlink r:id="rId23" ref="I21"/>
    <hyperlink r:id="rId24" ref="I22"/>
    <hyperlink r:id="rId25" ref="I23"/>
    <hyperlink r:id="rId26" ref="I24"/>
    <hyperlink r:id="rId27" ref="I25"/>
    <hyperlink r:id="rId28" ref="I26"/>
    <hyperlink r:id="rId29" ref="I27"/>
    <hyperlink r:id="rId30" ref="I28"/>
    <hyperlink r:id="rId31" ref="I29"/>
    <hyperlink r:id="rId32" ref="I30"/>
    <hyperlink r:id="rId33" ref="I31"/>
    <hyperlink r:id="rId34" ref="I32"/>
    <hyperlink r:id="rId35" ref="I33"/>
    <hyperlink r:id="rId36" ref="I34"/>
    <hyperlink r:id="rId37" ref="I35"/>
    <hyperlink r:id="rId38" ref="I36"/>
    <hyperlink r:id="rId39" ref="I37"/>
    <hyperlink r:id="rId40" ref="I38"/>
    <hyperlink r:id="rId41" ref="I39"/>
    <hyperlink r:id="rId42" ref="I40"/>
    <hyperlink r:id="rId43" ref="I41"/>
    <hyperlink r:id="rId44" ref="I42"/>
    <hyperlink r:id="rId45" ref="I43"/>
    <hyperlink r:id="rId46" ref="I44"/>
    <hyperlink r:id="rId47" ref="I45"/>
    <hyperlink r:id="rId48" ref="I46"/>
    <hyperlink r:id="rId49" ref="I47"/>
    <hyperlink r:id="rId50" ref="I48"/>
    <hyperlink r:id="rId51" ref="I49"/>
    <hyperlink r:id="rId52" ref="I50"/>
    <hyperlink r:id="rId53" ref="I51"/>
    <hyperlink r:id="rId54" ref="I52"/>
    <hyperlink r:id="rId55" ref="I53"/>
    <hyperlink r:id="rId56" ref="I54"/>
    <hyperlink r:id="rId57" ref="I55"/>
    <hyperlink r:id="rId58" ref="I56"/>
    <hyperlink r:id="rId59" ref="I57"/>
    <hyperlink r:id="rId60" ref="I58"/>
    <hyperlink r:id="rId61" ref="I59"/>
    <hyperlink r:id="rId62" ref="I60"/>
    <hyperlink r:id="rId63" ref="I61"/>
    <hyperlink r:id="rId64" ref="I62"/>
    <hyperlink r:id="rId65" ref="I63"/>
    <hyperlink r:id="rId66" ref="I64"/>
    <hyperlink r:id="rId67" ref="I65"/>
    <hyperlink r:id="rId68" ref="I66"/>
    <hyperlink r:id="rId69" ref="I67"/>
    <hyperlink r:id="rId70" ref="I68"/>
    <hyperlink r:id="rId71" ref="I69"/>
    <hyperlink r:id="rId72" ref="I70"/>
    <hyperlink r:id="rId73" ref="I71"/>
    <hyperlink r:id="rId74" ref="I72"/>
    <hyperlink r:id="rId75" ref="I73"/>
    <hyperlink r:id="rId76" ref="I74"/>
    <hyperlink r:id="rId77" ref="I75"/>
    <hyperlink r:id="rId78" ref="I76"/>
    <hyperlink r:id="rId79" ref="I77"/>
    <hyperlink r:id="rId80" ref="I78"/>
    <hyperlink r:id="rId81" ref="I79"/>
    <hyperlink r:id="rId82" ref="I80"/>
    <hyperlink r:id="rId83" ref="I81"/>
    <hyperlink r:id="rId84" ref="I82"/>
    <hyperlink r:id="rId85" ref="I83"/>
    <hyperlink r:id="rId86" ref="I84"/>
    <hyperlink r:id="rId87" ref="I85"/>
    <hyperlink r:id="rId88" ref="I86"/>
    <hyperlink r:id="rId89" ref="I87"/>
    <hyperlink r:id="rId90" ref="I88"/>
    <hyperlink r:id="rId91" ref="I89"/>
    <hyperlink r:id="rId92" ref="I90"/>
    <hyperlink r:id="rId93" ref="I91"/>
    <hyperlink r:id="rId94" ref="I92"/>
    <hyperlink r:id="rId95" ref="I93"/>
  </hyperlinks>
  <drawing r:id="rId96"/>
  <legacyDrawing r:id="rId97"/>
  <tableParts count="1">
    <tablePart r:id="rId9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3.13"/>
    <col customWidth="1" min="4" max="4" width="19.5"/>
    <col customWidth="1" min="5" max="5" width="5.13"/>
    <col customWidth="1" min="6" max="7" width="8.13"/>
    <col customWidth="1" min="8" max="8" width="17.0"/>
  </cols>
  <sheetData>
    <row r="1">
      <c r="A1" s="1"/>
      <c r="B1" s="1"/>
      <c r="C1" s="2" t="s">
        <v>0</v>
      </c>
      <c r="E1" s="3" t="str">
        <f>"03"</f>
        <v>03</v>
      </c>
      <c r="F1" s="3"/>
      <c r="G1" s="3"/>
      <c r="H1" s="3"/>
      <c r="I1" s="3"/>
      <c r="J1" s="3"/>
      <c r="K1" s="3"/>
      <c r="L1" s="3"/>
    </row>
    <row r="2">
      <c r="A2" s="1"/>
      <c r="B2" s="1"/>
      <c r="C2" s="2" t="s">
        <v>1</v>
      </c>
      <c r="E2" s="3" t="s">
        <v>2</v>
      </c>
      <c r="F2" s="3"/>
      <c r="G2" s="3"/>
      <c r="H2" s="3"/>
      <c r="I2" s="3"/>
      <c r="J2" s="3"/>
      <c r="K2" s="3"/>
      <c r="L2" s="3"/>
    </row>
    <row r="3">
      <c r="A3" s="1"/>
      <c r="B3" s="1"/>
      <c r="C3" s="2" t="s">
        <v>3</v>
      </c>
      <c r="E3" s="3"/>
      <c r="F3" s="3">
        <v>93.0</v>
      </c>
      <c r="G3" s="3" t="s">
        <v>4</v>
      </c>
      <c r="H3" s="3"/>
      <c r="I3" s="3"/>
      <c r="J3" s="3"/>
      <c r="K3" s="3"/>
      <c r="L3" s="3"/>
    </row>
    <row r="4">
      <c r="A4" s="1"/>
      <c r="B4" s="1"/>
      <c r="C4" s="2" t="s">
        <v>5</v>
      </c>
      <c r="E4" s="7">
        <f>Form_Responses[[#TOTALS],[Dist. (m)]]</f>
        <v>14071</v>
      </c>
      <c r="G4" s="3" t="s">
        <v>18</v>
      </c>
      <c r="H4" s="3"/>
      <c r="I4" s="3"/>
      <c r="J4" s="3"/>
      <c r="K4" s="3"/>
      <c r="L4" s="3"/>
    </row>
    <row r="5">
      <c r="A5" s="8"/>
      <c r="B5" s="9"/>
      <c r="C5" s="10"/>
      <c r="D5" s="11"/>
      <c r="E5" s="12" t="s">
        <v>4</v>
      </c>
      <c r="F5" s="12" t="s">
        <v>24</v>
      </c>
      <c r="G5" s="12" t="s">
        <v>26</v>
      </c>
      <c r="H5" s="12" t="s">
        <v>27</v>
      </c>
      <c r="I5" s="12" t="s">
        <v>28</v>
      </c>
      <c r="J5" s="12" t="s">
        <v>29</v>
      </c>
      <c r="K5" s="12" t="s">
        <v>31</v>
      </c>
      <c r="L5" s="12" t="s">
        <v>33</v>
      </c>
    </row>
    <row r="6">
      <c r="A6" s="14"/>
      <c r="B6" s="15"/>
      <c r="C6" s="10"/>
      <c r="D6" s="12" t="s">
        <v>36</v>
      </c>
      <c r="E6" s="12" t="s">
        <v>37</v>
      </c>
      <c r="F6" s="12" t="s">
        <v>38</v>
      </c>
      <c r="G6" s="12" t="s">
        <v>40</v>
      </c>
      <c r="H6" s="11"/>
      <c r="I6" s="12" t="s">
        <v>42</v>
      </c>
      <c r="J6" s="12"/>
      <c r="K6" s="12" t="s">
        <v>42</v>
      </c>
      <c r="L6" s="12"/>
    </row>
    <row r="7">
      <c r="A7" s="16"/>
      <c r="B7" s="17" t="s">
        <v>44</v>
      </c>
      <c r="C7" s="18" t="s">
        <v>48</v>
      </c>
      <c r="D7" s="19" t="s">
        <v>50</v>
      </c>
      <c r="E7" s="20">
        <f>COUNTIF('Form responses 1'!J2:J89,D7)</f>
        <v>33</v>
      </c>
      <c r="F7" s="21"/>
      <c r="G7" s="21" t="s">
        <v>58</v>
      </c>
      <c r="H7" s="22" t="s">
        <v>58</v>
      </c>
      <c r="I7" s="22" t="s">
        <v>58</v>
      </c>
      <c r="J7" s="22" t="s">
        <v>58</v>
      </c>
      <c r="K7" s="21">
        <v>0.0</v>
      </c>
      <c r="L7" s="23"/>
    </row>
    <row r="8">
      <c r="A8" s="16"/>
      <c r="B8" s="24"/>
      <c r="C8" s="24"/>
      <c r="D8" s="25" t="s">
        <v>63</v>
      </c>
      <c r="E8" s="20">
        <f>COUNTIF('Form responses 1'!J2:J89,D8)</f>
        <v>55</v>
      </c>
      <c r="F8" s="21"/>
      <c r="G8" s="21"/>
      <c r="H8" s="23"/>
      <c r="I8" s="23"/>
      <c r="J8" s="23"/>
      <c r="K8" s="23" t="str">
        <f t="shared" ref="K8:K9" si="1">G8*AVERAGE(I8,J8)</f>
        <v>#DIV/0!</v>
      </c>
      <c r="L8" s="23"/>
    </row>
    <row r="9">
      <c r="A9" s="16"/>
      <c r="B9" s="24"/>
      <c r="C9" s="26"/>
      <c r="D9" s="27" t="s">
        <v>75</v>
      </c>
      <c r="E9" s="28">
        <f>COUNTIF('Form responses 1'!J2:J89,D9)</f>
        <v>0</v>
      </c>
      <c r="F9" s="29"/>
      <c r="G9" s="29"/>
      <c r="H9" s="30"/>
      <c r="I9" s="30"/>
      <c r="J9" s="30"/>
      <c r="K9" s="30" t="str">
        <f t="shared" si="1"/>
        <v>#DIV/0!</v>
      </c>
      <c r="L9" s="30"/>
    </row>
    <row r="10">
      <c r="A10" s="16"/>
      <c r="B10" s="24"/>
      <c r="C10" s="33" t="s">
        <v>83</v>
      </c>
      <c r="D10" s="34" t="s">
        <v>84</v>
      </c>
      <c r="E10" s="37">
        <f>COUNTIF('Form responses 1'!$K$2:$K$89,D10)</f>
        <v>0</v>
      </c>
      <c r="F10" s="38"/>
      <c r="G10" s="38">
        <f t="array" ref="G10">SUM(IF('Form responses 1'!$K$2:$K$89 = D10,'Form responses 1'!$H$2:$H$89*'Form responses 1'!$M$2:$M$89, ""))</f>
        <v>0</v>
      </c>
      <c r="H10" s="22" t="s">
        <v>58</v>
      </c>
      <c r="I10" s="22" t="s">
        <v>58</v>
      </c>
      <c r="J10" s="22" t="s">
        <v>58</v>
      </c>
      <c r="K10" s="21">
        <v>0.0</v>
      </c>
      <c r="L10" s="38"/>
    </row>
    <row r="11">
      <c r="A11" s="16"/>
      <c r="B11" s="24"/>
      <c r="C11" s="24"/>
      <c r="D11" s="43" t="s">
        <v>91</v>
      </c>
      <c r="E11" s="46">
        <f>COUNTIF('Form responses 1'!$K$2:$K$89,D11)</f>
        <v>18</v>
      </c>
      <c r="F11" s="23"/>
      <c r="G11" s="23">
        <f t="array" ref="G11">SUM(IF('Form responses 1'!$K$2:$K$89 = D11,'Form responses 1'!$H$2:$H$89*'Form responses 1'!$M$2:$M$89, ""))</f>
        <v>29394.4</v>
      </c>
      <c r="H11" s="22" t="s">
        <v>58</v>
      </c>
      <c r="I11" s="22" t="s">
        <v>58</v>
      </c>
      <c r="J11" s="22" t="s">
        <v>58</v>
      </c>
      <c r="K11" s="21">
        <v>0.0</v>
      </c>
      <c r="L11" s="23"/>
    </row>
    <row r="12">
      <c r="A12" s="16"/>
      <c r="B12" s="24"/>
      <c r="C12" s="24"/>
      <c r="D12" s="52" t="s">
        <v>98</v>
      </c>
      <c r="E12" s="46">
        <f>COUNTIF('Form responses 1'!$K$2:$K$89,D12)</f>
        <v>70</v>
      </c>
      <c r="F12" s="23"/>
      <c r="G12" s="23">
        <f t="array" ref="G12">SUM(IF('Form responses 1'!$K$2:$K$89 = D12,'Form responses 1'!$H$2:$H$89*'Form responses 1'!$M$2:$M$89, ""))</f>
        <v>31110.5</v>
      </c>
      <c r="H12" s="22" t="s">
        <v>58</v>
      </c>
      <c r="I12" s="22" t="s">
        <v>58</v>
      </c>
      <c r="J12" s="22" t="s">
        <v>58</v>
      </c>
      <c r="K12" s="21">
        <v>0.0</v>
      </c>
      <c r="L12" s="23"/>
    </row>
    <row r="13">
      <c r="A13" s="16"/>
      <c r="B13" s="24"/>
      <c r="C13" s="26"/>
      <c r="D13" s="57" t="s">
        <v>102</v>
      </c>
      <c r="E13" s="58">
        <f>COUNTIF('Form responses 1'!$K$2:$K$89,D13)</f>
        <v>0</v>
      </c>
      <c r="F13" s="30"/>
      <c r="G13" s="30">
        <f t="array" ref="G13">SUM(IF('Form responses 1'!$K$2:$K$89 = D13,'Form responses 1'!$H$2:$H$89*'Form responses 1'!$M$2:$M$89, ""))</f>
        <v>0</v>
      </c>
      <c r="H13" s="29" t="s">
        <v>58</v>
      </c>
      <c r="I13" s="29" t="s">
        <v>58</v>
      </c>
      <c r="J13" s="29" t="s">
        <v>58</v>
      </c>
      <c r="K13" s="29">
        <v>0.0</v>
      </c>
      <c r="L13" s="30"/>
    </row>
    <row r="14">
      <c r="A14" s="16"/>
      <c r="B14" s="24"/>
      <c r="C14" s="60" t="s">
        <v>83</v>
      </c>
      <c r="D14" s="61" t="s">
        <v>92</v>
      </c>
      <c r="E14" s="37">
        <f>COUNTIF('Form responses 1'!$L$2:$L$89,D14)</f>
        <v>83</v>
      </c>
      <c r="F14" s="38"/>
      <c r="G14" s="38">
        <f t="array" ref="G14">SUM(IF('Form responses 1'!$L$2:$L$89 = D14,'Form responses 1'!$H$2:$H$89*'Form responses 1'!$M$2:$M$89, ""))</f>
        <v>58564.6</v>
      </c>
      <c r="H14" s="38"/>
      <c r="I14" s="38"/>
      <c r="J14" s="38"/>
      <c r="K14" s="38" t="str">
        <f t="shared" ref="K14:K78" si="2">G14*AVERAGE(I14,J14)</f>
        <v>#DIV/0!</v>
      </c>
      <c r="L14" s="38"/>
    </row>
    <row r="15">
      <c r="A15" s="16"/>
      <c r="B15" s="24"/>
      <c r="C15" s="24"/>
      <c r="D15" s="52" t="s">
        <v>108</v>
      </c>
      <c r="E15" s="46">
        <f>COUNTIF('Form responses 1'!$L$2:$L$89,D15)</f>
        <v>1</v>
      </c>
      <c r="F15" s="23"/>
      <c r="G15" s="23">
        <f t="array" ref="G15">SUM(IF('Form responses 1'!$L$2:$L$89 = D15,'Form responses 1'!$H$2:$H$89*'Form responses 1'!$M$2:$M$89, ""))</f>
        <v>939.6</v>
      </c>
      <c r="H15" s="21" t="s">
        <v>109</v>
      </c>
      <c r="I15" s="68">
        <v>2000.0</v>
      </c>
      <c r="J15" s="68"/>
      <c r="K15" s="69">
        <f t="shared" si="2"/>
        <v>1879200</v>
      </c>
      <c r="L15" s="69"/>
    </row>
    <row r="16">
      <c r="A16" s="16"/>
      <c r="B16" s="24"/>
      <c r="C16" s="24"/>
      <c r="D16" s="43" t="s">
        <v>112</v>
      </c>
      <c r="E16" s="46">
        <f>COUNTIF('Form responses 1'!$L$2:$L$89,D16)</f>
        <v>4</v>
      </c>
      <c r="F16" s="23"/>
      <c r="G16" s="23">
        <f t="array" ref="G16">SUM(IF('Form responses 1'!$L$2:$L$89 = D16,'Form responses 1'!$H$2:$H$89*'Form responses 1'!$M$2:$M$89, ""))</f>
        <v>1000.7</v>
      </c>
      <c r="H16" s="21" t="s">
        <v>109</v>
      </c>
      <c r="I16" s="68">
        <v>3500.0</v>
      </c>
      <c r="J16" s="68"/>
      <c r="K16" s="69">
        <f t="shared" si="2"/>
        <v>3502450</v>
      </c>
      <c r="L16" s="69"/>
    </row>
    <row r="17">
      <c r="A17" s="16"/>
      <c r="B17" s="24"/>
      <c r="C17" s="24"/>
      <c r="D17" s="74" t="s">
        <v>114</v>
      </c>
      <c r="E17" s="46">
        <f>COUNTIF('Form responses 1'!$L$2:$L$89,D17)</f>
        <v>0</v>
      </c>
      <c r="F17" s="23"/>
      <c r="G17" s="23">
        <f t="array" ref="G17">SUM(IF('Form responses 1'!$L$2:$L$89 = D17,'Form responses 1'!$H$2:$H$89*'Form responses 1'!$M$2:$M$89, ""))</f>
        <v>0</v>
      </c>
      <c r="H17" s="23"/>
      <c r="I17" s="23"/>
      <c r="J17" s="23"/>
      <c r="K17" s="23" t="str">
        <f t="shared" si="2"/>
        <v>#DIV/0!</v>
      </c>
      <c r="L17" s="23"/>
    </row>
    <row r="18">
      <c r="A18" s="16"/>
      <c r="B18" s="26"/>
      <c r="C18" s="26"/>
      <c r="D18" s="79" t="s">
        <v>118</v>
      </c>
      <c r="E18" s="80">
        <f>COUNTIF('Form responses 1'!$L$2:$L$89,D18)</f>
        <v>0</v>
      </c>
      <c r="F18" s="82"/>
      <c r="G18" s="82">
        <f t="array" ref="G18">SUM(IF('Form responses 1'!$L$2:$L$89 = D18,'Form responses 1'!$H$2:$H$89*'Form responses 1'!$M$2:$M$89, ""))</f>
        <v>0</v>
      </c>
      <c r="H18" s="82"/>
      <c r="I18" s="82"/>
      <c r="J18" s="82"/>
      <c r="K18" s="82" t="str">
        <f t="shared" si="2"/>
        <v>#DIV/0!</v>
      </c>
      <c r="L18" s="82"/>
    </row>
    <row r="19">
      <c r="A19" s="16"/>
      <c r="B19" s="85" t="s">
        <v>120</v>
      </c>
      <c r="C19" s="86" t="s">
        <v>121</v>
      </c>
      <c r="D19" s="87" t="s">
        <v>122</v>
      </c>
      <c r="E19" s="88">
        <f>COUNTIF('Form responses 1'!$P$2:$P$89,D19)+COUNTIF('Form responses 1'!$AA$2:$AA$89,D19)</f>
        <v>39</v>
      </c>
      <c r="F19" s="89"/>
      <c r="G19" s="89">
        <f>SUMPRODUCT(('Form responses 1'!$P$2:$P$89=D19)*'Form responses 1'!$H$2:$H$89*N('Form responses 1'!$Q$2:$Q$89))+SUMPRODUCT(('Form responses 1'!$AA$2:$AA$89=D19)*'Form responses 1'!$H$2:$H$89*N('Form responses 1'!$AB$2:$AB$89))</f>
        <v>12210.4</v>
      </c>
      <c r="H19" s="90"/>
      <c r="I19" s="90">
        <v>2100.0</v>
      </c>
      <c r="J19" s="89"/>
      <c r="K19" s="23">
        <f t="shared" si="2"/>
        <v>25641840</v>
      </c>
      <c r="L19" s="89"/>
    </row>
    <row r="20">
      <c r="A20" s="16"/>
      <c r="B20" s="24"/>
      <c r="C20" s="24"/>
      <c r="D20" s="91" t="s">
        <v>116</v>
      </c>
      <c r="E20" s="46">
        <f>COUNTIF('Form responses 1'!$P$2:$P$89,D20)+COUNTIF('Form responses 1'!$AA$2:$AA$89,D20)</f>
        <v>2</v>
      </c>
      <c r="F20" s="23"/>
      <c r="G20" s="23">
        <f>SUMPRODUCT(('Form responses 1'!$P$2:$P$89=D20)*'Form responses 1'!$H$2:$H$89*N('Form responses 1'!$Q$2:$Q$89))+SUMPRODUCT(('Form responses 1'!$AA$2:$AA$89=D20)*'Form responses 1'!$H$2:$H$89*N('Form responses 1'!$AB$2:$AB$89))</f>
        <v>142.8</v>
      </c>
      <c r="H20" s="23"/>
      <c r="I20" s="21">
        <v>1800.0</v>
      </c>
      <c r="J20" s="21">
        <v>1500.0</v>
      </c>
      <c r="K20" s="23">
        <f t="shared" si="2"/>
        <v>235620</v>
      </c>
      <c r="L20" s="23"/>
    </row>
    <row r="21">
      <c r="A21" s="16"/>
      <c r="B21" s="24"/>
      <c r="C21" s="24"/>
      <c r="D21" s="94" t="s">
        <v>124</v>
      </c>
      <c r="E21" s="46">
        <f>COUNTIF('Form responses 1'!$P$2:$P$89,D21)+COUNTIF('Form responses 1'!$AA$2:$AA$89,D21)</f>
        <v>0</v>
      </c>
      <c r="F21" s="23"/>
      <c r="G21" s="23">
        <f>SUMPRODUCT(('Form responses 1'!$P$2:$P$89=D21)*'Form responses 1'!$H$2:$H$89*N('Form responses 1'!$Q$2:$Q$89))+SUMPRODUCT(('Form responses 1'!$AA$2:$AA$89=D21)*'Form responses 1'!$H$2:$H$89*N('Form responses 1'!$AB$2:$AB$89))</f>
        <v>0</v>
      </c>
      <c r="H21" s="23"/>
      <c r="I21" s="21">
        <v>1800.0</v>
      </c>
      <c r="J21" s="23"/>
      <c r="K21" s="23">
        <f t="shared" si="2"/>
        <v>0</v>
      </c>
      <c r="L21" s="23"/>
    </row>
    <row r="22">
      <c r="A22" s="16"/>
      <c r="B22" s="24"/>
      <c r="C22" s="24"/>
      <c r="D22" s="96" t="s">
        <v>128</v>
      </c>
      <c r="E22" s="46">
        <f>COUNTIF('Form responses 1'!$P$2:$P$89,D22)+COUNTIF('Form responses 1'!$AA$2:$AA$89,D22)</f>
        <v>19</v>
      </c>
      <c r="F22" s="23"/>
      <c r="G22" s="23">
        <f>SUMPRODUCT(('Form responses 1'!$P$2:$P$89=D22)*'Form responses 1'!$H$2:$H$89*N('Form responses 1'!$Q$2:$Q$89))+SUMPRODUCT(('Form responses 1'!$AA$2:$AA$89=D22)*'Form responses 1'!$H$2:$H$89*N('Form responses 1'!$AB$2:$AB$89))</f>
        <v>4558.6</v>
      </c>
      <c r="H22" s="23"/>
      <c r="I22" s="21"/>
      <c r="J22" s="23"/>
      <c r="K22" s="23" t="str">
        <f t="shared" si="2"/>
        <v>#DIV/0!</v>
      </c>
      <c r="L22" s="23"/>
    </row>
    <row r="23">
      <c r="A23" s="16"/>
      <c r="B23" s="24"/>
      <c r="C23" s="24"/>
      <c r="D23" s="96" t="s">
        <v>129</v>
      </c>
      <c r="E23" s="46">
        <f>COUNTIF('Form responses 1'!$P$2:$P$89,D23)+COUNTIF('Form responses 1'!$AA$2:$AA$89,D23)</f>
        <v>0</v>
      </c>
      <c r="F23" s="23"/>
      <c r="G23" s="23">
        <f>SUMPRODUCT(('Form responses 1'!$P$2:$P$89=D23)*'Form responses 1'!$H$2:$H$89*N('Form responses 1'!$Q$2:$Q$89))+SUMPRODUCT(('Form responses 1'!$AA$2:$AA$89=D23)*'Form responses 1'!$H$2:$H$89*N('Form responses 1'!$AB$2:$AB$89))</f>
        <v>0</v>
      </c>
      <c r="H23" s="23"/>
      <c r="I23" s="23"/>
      <c r="J23" s="23"/>
      <c r="K23" s="23" t="str">
        <f t="shared" si="2"/>
        <v>#DIV/0!</v>
      </c>
      <c r="L23" s="23"/>
    </row>
    <row r="24">
      <c r="A24" s="16"/>
      <c r="B24" s="24"/>
      <c r="C24" s="24"/>
      <c r="D24" s="96" t="s">
        <v>130</v>
      </c>
      <c r="E24" s="46">
        <f>COUNTIF('Form responses 1'!$P$2:$P$89,D24)+COUNTIF('Form responses 1'!$AA$2:$AA$89,D24)</f>
        <v>0</v>
      </c>
      <c r="F24" s="23"/>
      <c r="G24" s="23">
        <f>SUMPRODUCT(('Form responses 1'!$P$2:$P$89=D24)*'Form responses 1'!$H$2:$H$89*N('Form responses 1'!$Q$2:$Q$89))+SUMPRODUCT(('Form responses 1'!$AA$2:$AA$89=D24)*'Form responses 1'!$H$2:$H$89*N('Form responses 1'!$AB$2:$AB$89))</f>
        <v>0</v>
      </c>
      <c r="H24" s="23"/>
      <c r="I24" s="23"/>
      <c r="J24" s="23"/>
      <c r="K24" s="23" t="str">
        <f t="shared" si="2"/>
        <v>#DIV/0!</v>
      </c>
      <c r="L24" s="23"/>
    </row>
    <row r="25">
      <c r="A25" s="16"/>
      <c r="B25" s="24"/>
      <c r="C25" s="24"/>
      <c r="D25" s="25" t="s">
        <v>131</v>
      </c>
      <c r="E25" s="46">
        <f>COUNTIF('Form responses 1'!$P$2:$P$89,D25)+COUNTIF('Form responses 1'!$AA$2:$AA$89,D25)</f>
        <v>0</v>
      </c>
      <c r="F25" s="23"/>
      <c r="G25" s="23">
        <f>SUMPRODUCT(('Form responses 1'!$P$2:$P$89=D25)*'Form responses 1'!$H$2:$H$89*N('Form responses 1'!$Q$2:$Q$89))+SUMPRODUCT(('Form responses 1'!$AA$2:$AA$89=D25)*'Form responses 1'!$H$2:$H$89*N('Form responses 1'!$AB$2:$AB$89))</f>
        <v>0</v>
      </c>
      <c r="H25" s="21" t="s">
        <v>133</v>
      </c>
      <c r="I25" s="21">
        <v>452.0</v>
      </c>
      <c r="J25" s="23"/>
      <c r="K25" s="23">
        <f t="shared" si="2"/>
        <v>0</v>
      </c>
      <c r="L25" s="23"/>
    </row>
    <row r="26">
      <c r="A26" s="16"/>
      <c r="B26" s="24"/>
      <c r="C26" s="24"/>
      <c r="D26" s="98" t="s">
        <v>95</v>
      </c>
      <c r="E26" s="46">
        <f>COUNTIF('Form responses 1'!$P$2:$P$89,D26)+COUNTIF('Form responses 1'!$AA$2:$AA$89,D26)</f>
        <v>50</v>
      </c>
      <c r="F26" s="23"/>
      <c r="G26" s="23">
        <f>SUMPRODUCT(('Form responses 1'!$P$2:$P$89=D26)*'Form responses 1'!$H$2:$H$89*N('Form responses 1'!$Q$2:$Q$89))+SUMPRODUCT(('Form responses 1'!$AA$2:$AA$89=D26)*'Form responses 1'!$H$2:$H$89*N('Form responses 1'!$AB$2:$AB$89))</f>
        <v>7401.15</v>
      </c>
      <c r="H26" s="23"/>
      <c r="I26" s="23"/>
      <c r="J26" s="23"/>
      <c r="K26" s="23" t="str">
        <f t="shared" si="2"/>
        <v>#DIV/0!</v>
      </c>
      <c r="L26" s="23"/>
    </row>
    <row r="27">
      <c r="A27" s="16"/>
      <c r="B27" s="24"/>
      <c r="C27" s="24"/>
      <c r="D27" s="99" t="s">
        <v>95</v>
      </c>
      <c r="E27" s="46">
        <f>COUNTIF('Form responses 1'!$P$2:$P$89,D27)+COUNTIF('Form responses 1'!$AA$2:$AA$89,D27)</f>
        <v>50</v>
      </c>
      <c r="F27" s="23"/>
      <c r="G27" s="23">
        <f>SUMPRODUCT(('Form responses 1'!$P$2:$P$89=D27)*'Form responses 1'!$H$2:$H$89*N('Form responses 1'!$Q$2:$Q$89))+SUMPRODUCT(('Form responses 1'!$AA$2:$AA$89=D27)*'Form responses 1'!$H$2:$H$89*N('Form responses 1'!$AB$2:$AB$89))</f>
        <v>7401.15</v>
      </c>
      <c r="H27" s="23"/>
      <c r="I27" s="23"/>
      <c r="J27" s="23"/>
      <c r="K27" s="23" t="str">
        <f t="shared" si="2"/>
        <v>#DIV/0!</v>
      </c>
      <c r="L27" s="23"/>
    </row>
    <row r="28">
      <c r="A28" s="16"/>
      <c r="B28" s="24"/>
      <c r="C28" s="26"/>
      <c r="D28" s="101" t="s">
        <v>136</v>
      </c>
      <c r="E28" s="58">
        <f>COUNTIF('Form responses 1'!$P$2:$P$89,D28)+COUNTIF('Form responses 1'!$AA$2:$AA$89,D28)</f>
        <v>64</v>
      </c>
      <c r="F28" s="30"/>
      <c r="G28" s="30">
        <f>SUMPRODUCT(('Form responses 1'!$P$2:$P$89=D28)*'Form responses 1'!$H$2:$H$89*N('Form responses 1'!$Q$2:$Q$89))+SUMPRODUCT(('Form responses 1'!$AA$2:$AA$89=D28)*'Form responses 1'!$H$2:$H$89*N('Form responses 1'!$AB$2:$AB$89))</f>
        <v>0</v>
      </c>
      <c r="H28" s="30"/>
      <c r="I28" s="30"/>
      <c r="J28" s="30"/>
      <c r="K28" s="30" t="str">
        <f t="shared" si="2"/>
        <v>#DIV/0!</v>
      </c>
      <c r="L28" s="30"/>
    </row>
    <row r="29">
      <c r="A29" s="16"/>
      <c r="B29" s="24"/>
      <c r="C29" s="33" t="s">
        <v>137</v>
      </c>
      <c r="D29" s="61" t="s">
        <v>93</v>
      </c>
      <c r="E29" s="102">
        <f>COUNTIF('Form responses 1'!$S$2:$S$89,D29)+COUNTIF('Form responses 1'!$AD$2:$AD$89,D29)</f>
        <v>62</v>
      </c>
      <c r="F29" s="38"/>
      <c r="G29" s="38">
        <f>SUMPRODUCT(('Form responses 1'!$S$2:$S$89=D29)*'Form responses 1'!$H$2:$H$89*N('Form responses 1'!$Q$2:$Q$89))+SUMPRODUCT(('Form responses 1'!$AD$2:$AD$89=D29)*'Form responses 1'!$H$2:$H$89*N('Form responses 1'!$AB$2:$AB$89))</f>
        <v>16050.9</v>
      </c>
      <c r="H29" s="38"/>
      <c r="I29" s="38"/>
      <c r="J29" s="38"/>
      <c r="K29" s="38" t="str">
        <f t="shared" si="2"/>
        <v>#DIV/0!</v>
      </c>
      <c r="L29" s="38"/>
    </row>
    <row r="30">
      <c r="A30" s="16"/>
      <c r="B30" s="24"/>
      <c r="C30" s="24"/>
      <c r="D30" s="25" t="s">
        <v>100</v>
      </c>
      <c r="E30" s="103">
        <f>COUNTIF('Form responses 1'!$S$2:$S$89,D30)+COUNTIF('Form responses 1'!$AD$2:$AD$89,D30)</f>
        <v>48</v>
      </c>
      <c r="F30" s="23"/>
      <c r="G30" s="23">
        <f>SUMPRODUCT(('Form responses 1'!$S$2:$S$89=D30)*'Form responses 1'!$H$2:$H$89*N('Form responses 1'!$Q$2:$Q$89))+SUMPRODUCT(('Form responses 1'!$AD$2:$AD$89=D30)*'Form responses 1'!$H$2:$H$89*N('Form responses 1'!$AB$2:$AB$89))</f>
        <v>7048.55</v>
      </c>
      <c r="H30" s="23"/>
      <c r="I30" s="23"/>
      <c r="J30" s="23"/>
      <c r="K30" s="23" t="str">
        <f t="shared" si="2"/>
        <v>#DIV/0!</v>
      </c>
      <c r="L30" s="23"/>
    </row>
    <row r="31">
      <c r="A31" s="16"/>
      <c r="B31" s="24"/>
      <c r="C31" s="24"/>
      <c r="D31" s="98" t="s">
        <v>141</v>
      </c>
      <c r="E31" s="104">
        <f>COUNTIF('Form responses 1'!$S$2:$S$89,D31)+COUNTIF('Form responses 1'!$AD$2:$AD$89,D31)</f>
        <v>0</v>
      </c>
      <c r="F31" s="23"/>
      <c r="G31" s="23">
        <f>SUMPRODUCT(('Form responses 1'!$S$2:$S$89=D31)*'Form responses 1'!$H$2:$H$89*N('Form responses 1'!$Q$2:$Q$89))+SUMPRODUCT(('Form responses 1'!$AD$2:$AD$89=D31)*'Form responses 1'!$H$2:$H$89*N('Form responses 1'!$AB$2:$AB$89))</f>
        <v>0</v>
      </c>
      <c r="H31" s="23"/>
      <c r="I31" s="23"/>
      <c r="J31" s="23"/>
      <c r="K31" s="23" t="str">
        <f t="shared" si="2"/>
        <v>#DIV/0!</v>
      </c>
      <c r="L31" s="23"/>
    </row>
    <row r="32">
      <c r="A32" s="16"/>
      <c r="B32" s="24"/>
      <c r="C32" s="24"/>
      <c r="D32" s="105" t="s">
        <v>142</v>
      </c>
      <c r="E32" s="106">
        <f>COUNTIF('Form responses 1'!$S$2:$S$89,D32)+COUNTIF('Form responses 1'!$AD$2:$AD$89,D32)</f>
        <v>0</v>
      </c>
      <c r="F32" s="23"/>
      <c r="G32" s="23">
        <f>SUMPRODUCT(('Form responses 1'!$S$2:$S$89=D32)*'Form responses 1'!$H$2:$H$89*N('Form responses 1'!$Q$2:$Q$89))+SUMPRODUCT(('Form responses 1'!$AD$2:$AD$89=D32)*'Form responses 1'!$H$2:$H$89*N('Form responses 1'!$AB$2:$AB$89))</f>
        <v>0</v>
      </c>
      <c r="H32" s="23"/>
      <c r="I32" s="23"/>
      <c r="J32" s="23"/>
      <c r="K32" s="23" t="str">
        <f t="shared" si="2"/>
        <v>#DIV/0!</v>
      </c>
      <c r="L32" s="23"/>
    </row>
    <row r="33">
      <c r="A33" s="16"/>
      <c r="B33" s="24"/>
      <c r="C33" s="24"/>
      <c r="D33" s="107" t="s">
        <v>105</v>
      </c>
      <c r="E33" s="108">
        <f>COUNTIF('Form responses 1'!$S$2:$S$89,D33)+COUNTIF('Form responses 1'!$AD$2:$AD$89,D33)</f>
        <v>0</v>
      </c>
      <c r="F33" s="23"/>
      <c r="G33" s="23">
        <f>SUMPRODUCT(('Form responses 1'!$S$2:$S$89=D33)*'Form responses 1'!$H$2:$H$89*N('Form responses 1'!$Q$2:$Q$89))+SUMPRODUCT(('Form responses 1'!$AD$2:$AD$89=D33)*'Form responses 1'!$H$2:$H$89*N('Form responses 1'!$AB$2:$AB$89))</f>
        <v>0</v>
      </c>
      <c r="H33" s="23"/>
      <c r="I33" s="23"/>
      <c r="J33" s="23"/>
      <c r="K33" s="23" t="str">
        <f t="shared" si="2"/>
        <v>#DIV/0!</v>
      </c>
      <c r="L33" s="23"/>
    </row>
    <row r="34">
      <c r="A34" s="16"/>
      <c r="B34" s="26"/>
      <c r="C34" s="26"/>
      <c r="D34" s="109" t="s">
        <v>136</v>
      </c>
      <c r="E34" s="110">
        <f>COUNTIF('Form responses 1'!$S$2:$S$89,D34)+COUNTIF('Form responses 1'!$AD$2:$AD$89,D34)</f>
        <v>52</v>
      </c>
      <c r="F34" s="82"/>
      <c r="G34" s="82">
        <f>SUMPRODUCT(('Form responses 1'!$S$2:$S$89=D34)*'Form responses 1'!$H$2:$H$89*N('Form responses 1'!$Q$2:$Q$89))+SUMPRODUCT(('Form responses 1'!$AD$2:$AD$89=D34)*'Form responses 1'!$H$2:$H$89*N('Form responses 1'!$AB$2:$AB$89))</f>
        <v>0</v>
      </c>
      <c r="H34" s="82"/>
      <c r="I34" s="82"/>
      <c r="J34" s="82"/>
      <c r="K34" s="82" t="str">
        <f t="shared" si="2"/>
        <v>#DIV/0!</v>
      </c>
      <c r="L34" s="82"/>
    </row>
    <row r="35">
      <c r="A35" s="16"/>
      <c r="B35" s="85" t="s">
        <v>143</v>
      </c>
      <c r="C35" s="111"/>
      <c r="D35" s="112" t="s">
        <v>103</v>
      </c>
      <c r="E35" s="113">
        <f>COUNTIF('Form responses 1'!$AL$2:$AL$89,D35)</f>
        <v>73</v>
      </c>
      <c r="F35" s="89"/>
      <c r="G35" s="89">
        <f>SUMPRODUCT(('Form responses 1'!$AL$2:$AL$89=D35)*'Form responses 1'!$H$2:$H$89*N('Form responses 1'!$AM$2:$AM$89))+SUMPRODUCT(('Form responses 1'!$AL$2:$AL$89=D35)*'Form responses 1'!$H$2:$H$89*N('Form responses 1'!$AR$2:$AR$89))</f>
        <v>12615.5</v>
      </c>
      <c r="H35" s="90">
        <v>0.6</v>
      </c>
      <c r="I35" s="90">
        <v>6000.0</v>
      </c>
      <c r="J35" s="89"/>
      <c r="K35" s="89">
        <f t="shared" si="2"/>
        <v>75693000</v>
      </c>
      <c r="L35" s="89"/>
    </row>
    <row r="36">
      <c r="A36" s="16"/>
      <c r="B36" s="24"/>
      <c r="C36" s="24"/>
      <c r="D36" s="114" t="s">
        <v>147</v>
      </c>
      <c r="E36" s="115">
        <f>COUNTIF('Form responses 1'!$AL$2:$AL$89,D36)</f>
        <v>12</v>
      </c>
      <c r="F36" s="23"/>
      <c r="G36" s="23">
        <f>SUMPRODUCT(('Form responses 1'!$AL$2:$AL$89=D36)*'Form responses 1'!$H$2:$H$89*N('Form responses 1'!$AM$2:$AM$89))+SUMPRODUCT(('Form responses 1'!$AL$2:$AL$89=D36)*'Form responses 1'!$H$2:$H$89*N('Form responses 1'!$AR$2:$AR$89))</f>
        <v>5912.9</v>
      </c>
      <c r="H36" s="21">
        <v>0.6</v>
      </c>
      <c r="I36" s="21">
        <v>6000.0</v>
      </c>
      <c r="J36" s="23"/>
      <c r="K36" s="23">
        <f t="shared" si="2"/>
        <v>35477400</v>
      </c>
      <c r="L36" s="23"/>
    </row>
    <row r="37">
      <c r="A37" s="16"/>
      <c r="B37" s="24"/>
      <c r="C37" s="24"/>
      <c r="D37" s="105" t="s">
        <v>148</v>
      </c>
      <c r="E37" s="106">
        <f>COUNTIF('Form responses 1'!$AL$2:$AL$89,D37)</f>
        <v>0</v>
      </c>
      <c r="F37" s="23"/>
      <c r="G37" s="23">
        <f>SUMPRODUCT(('Form responses 1'!$AL$2:$AL$89=D37)*'Form responses 1'!$H$2:$H$89*N('Form responses 1'!$AM$2:$AM$89))+SUMPRODUCT(('Form responses 1'!$AL$2:$AL$89=D37)*'Form responses 1'!$H$2:$H$89*N('Form responses 1'!$AR$2:$AR$89))</f>
        <v>0</v>
      </c>
      <c r="H37" s="23"/>
      <c r="I37" s="23"/>
      <c r="J37" s="23"/>
      <c r="K37" s="23" t="str">
        <f t="shared" si="2"/>
        <v>#DIV/0!</v>
      </c>
      <c r="L37" s="23"/>
    </row>
    <row r="38">
      <c r="A38" s="16"/>
      <c r="B38" s="24"/>
      <c r="C38" s="26"/>
      <c r="D38" s="116" t="s">
        <v>100</v>
      </c>
      <c r="E38" s="117">
        <f>COUNTIF('Form responses 1'!$AL$2:$AL$89,D38)</f>
        <v>2</v>
      </c>
      <c r="F38" s="30"/>
      <c r="G38" s="30">
        <f>SUMPRODUCT(('Form responses 1'!$AL$2:$AL$89=D38)*'Form responses 1'!$H$2:$H$89*N('Form responses 1'!$AM$2:$AM$89))+SUMPRODUCT(('Form responses 1'!$AL$2:$AL$89=D38)*'Form responses 1'!$H$2:$H$89*N('Form responses 1'!$AR$2:$AR$89))</f>
        <v>135</v>
      </c>
      <c r="H38" s="29">
        <v>0.6</v>
      </c>
      <c r="I38" s="29">
        <v>6000.0</v>
      </c>
      <c r="J38" s="30"/>
      <c r="K38" s="30">
        <f t="shared" si="2"/>
        <v>810000</v>
      </c>
      <c r="L38" s="30"/>
    </row>
    <row r="39">
      <c r="A39" s="16"/>
      <c r="B39" s="24"/>
      <c r="C39" s="33" t="s">
        <v>137</v>
      </c>
      <c r="D39" s="61" t="s">
        <v>93</v>
      </c>
      <c r="E39" s="102">
        <f>COUNTIF('Form responses 1'!$AO$2:$AO$89,D39)+COUNTIF('Form responses 1'!$AT$2:$AT$89,D39)</f>
        <v>155</v>
      </c>
      <c r="F39" s="38"/>
      <c r="G39" s="38">
        <f>SUMPRODUCT(('Form responses 1'!$AO$2:$AO$89=D39)*'Form responses 1'!$H$2:$H$89*N('Form responses 1'!$AM$2:$AM$89))+SUMPRODUCT(('Form responses 1'!$AT$2:$AT$89=D39)*'Form responses 1'!$H$2:$H$89*N('Form responses 1'!$AR$2:$AR$89))</f>
        <v>17769.8</v>
      </c>
      <c r="H39" s="38"/>
      <c r="I39" s="38"/>
      <c r="J39" s="38"/>
      <c r="K39" s="38" t="str">
        <f t="shared" si="2"/>
        <v>#DIV/0!</v>
      </c>
      <c r="L39" s="38"/>
    </row>
    <row r="40">
      <c r="A40" s="16"/>
      <c r="B40" s="24"/>
      <c r="C40" s="24"/>
      <c r="D40" s="25" t="s">
        <v>100</v>
      </c>
      <c r="E40" s="103">
        <f>COUNTIF('Form responses 1'!$AO$2:$AO$89,D40)+COUNTIF('Form responses 1'!$AT$2:$AT$89,D40)</f>
        <v>7</v>
      </c>
      <c r="F40" s="23"/>
      <c r="G40" s="23">
        <f>SUMPRODUCT(('Form responses 1'!$AO$2:$AO$89=D40)*'Form responses 1'!$H$2:$H$89*N('Form responses 1'!$AM$2:$AM$89))+SUMPRODUCT(('Form responses 1'!$AT$2:$AT$89=D40)*'Form responses 1'!$H$2:$H$89*N('Form responses 1'!$AR$2:$AR$89))</f>
        <v>282.6</v>
      </c>
      <c r="H40" s="23"/>
      <c r="I40" s="23"/>
      <c r="J40" s="23"/>
      <c r="K40" s="23" t="str">
        <f t="shared" si="2"/>
        <v>#DIV/0!</v>
      </c>
      <c r="L40" s="23"/>
    </row>
    <row r="41">
      <c r="A41" s="16"/>
      <c r="B41" s="24"/>
      <c r="C41" s="24"/>
      <c r="D41" s="98" t="s">
        <v>141</v>
      </c>
      <c r="E41" s="104">
        <f>COUNTIF('Form responses 1'!$AO$2:$AO$89,D41)+COUNTIF('Form responses 1'!$AT$2:$AT$89,D41)</f>
        <v>0</v>
      </c>
      <c r="F41" s="23"/>
      <c r="G41" s="23">
        <f>SUMPRODUCT(('Form responses 1'!$AO$2:$AO$89=D41)*'Form responses 1'!$H$2:$H$89*N('Form responses 1'!$AM$2:$AM$89))+SUMPRODUCT(('Form responses 1'!$AT$2:$AT$89=D41)*'Form responses 1'!$H$2:$H$89*N('Form responses 1'!$AR$2:$AR$89))</f>
        <v>0</v>
      </c>
      <c r="H41" s="23"/>
      <c r="I41" s="23"/>
      <c r="J41" s="23"/>
      <c r="K41" s="23" t="str">
        <f t="shared" si="2"/>
        <v>#DIV/0!</v>
      </c>
      <c r="L41" s="23"/>
    </row>
    <row r="42">
      <c r="A42" s="16"/>
      <c r="B42" s="24"/>
      <c r="C42" s="24"/>
      <c r="D42" s="105" t="s">
        <v>142</v>
      </c>
      <c r="E42" s="106">
        <f>COUNTIF('Form responses 1'!$AO$2:$AO$89,D42)+COUNTIF('Form responses 1'!$AT$2:$AT$89,D42)</f>
        <v>0</v>
      </c>
      <c r="F42" s="23"/>
      <c r="G42" s="23">
        <f>SUMPRODUCT(('Form responses 1'!$AO$2:$AO$89=D42)*'Form responses 1'!$H$2:$H$89*N('Form responses 1'!$AM$2:$AM$89))+SUMPRODUCT(('Form responses 1'!$AT$2:$AT$89=D42)*'Form responses 1'!$H$2:$H$89*N('Form responses 1'!$AR$2:$AR$89))</f>
        <v>0</v>
      </c>
      <c r="H42" s="23"/>
      <c r="I42" s="23"/>
      <c r="J42" s="23"/>
      <c r="K42" s="23" t="str">
        <f t="shared" si="2"/>
        <v>#DIV/0!</v>
      </c>
      <c r="L42" s="23"/>
    </row>
    <row r="43">
      <c r="A43" s="16"/>
      <c r="B43" s="24"/>
      <c r="C43" s="24"/>
      <c r="D43" s="107" t="s">
        <v>105</v>
      </c>
      <c r="E43" s="108">
        <f>COUNTIF('Form responses 1'!$AO$2:$AO$89,D43)+COUNTIF('Form responses 1'!$AT$2:$AT$89,D43)</f>
        <v>13</v>
      </c>
      <c r="F43" s="23"/>
      <c r="G43" s="23">
        <f>SUMPRODUCT(('Form responses 1'!$AO$2:$AO$89=D43)*'Form responses 1'!$H$2:$H$89*N('Form responses 1'!$AM$2:$AM$89))+SUMPRODUCT(('Form responses 1'!$AT$2:$AT$89=D43)*'Form responses 1'!$H$2:$H$89*N('Form responses 1'!$AR$2:$AR$89))</f>
        <v>539.6</v>
      </c>
      <c r="H43" s="23"/>
      <c r="I43" s="21"/>
      <c r="J43" s="23"/>
      <c r="K43" s="23" t="str">
        <f t="shared" si="2"/>
        <v>#DIV/0!</v>
      </c>
      <c r="L43" s="23"/>
    </row>
    <row r="44">
      <c r="A44" s="16"/>
      <c r="B44" s="26"/>
      <c r="C44" s="26"/>
      <c r="D44" s="109" t="s">
        <v>136</v>
      </c>
      <c r="E44" s="110">
        <f>COUNTIF('Form responses 1'!$AO$2:$AO$89,D44)+COUNTIF('Form responses 1'!$AT$2:$AT$89,D44)</f>
        <v>0</v>
      </c>
      <c r="F44" s="82"/>
      <c r="G44" s="82">
        <f>SUMPRODUCT(('Form responses 1'!$AO$2:$AO$89=D44)*'Form responses 1'!$H$2:$H$89*N('Form responses 1'!$AM$2:$AM$89))+SUMPRODUCT(('Form responses 1'!$AT$2:$AT$89=D44)*'Form responses 1'!$H$2:$H$89*N('Form responses 1'!$AR$2:$AR$89))</f>
        <v>0</v>
      </c>
      <c r="H44" s="82"/>
      <c r="I44" s="82"/>
      <c r="J44" s="82"/>
      <c r="K44" s="82" t="str">
        <f t="shared" si="2"/>
        <v>#DIV/0!</v>
      </c>
      <c r="L44" s="82"/>
    </row>
    <row r="45">
      <c r="A45" s="16"/>
      <c r="B45" s="85" t="s">
        <v>152</v>
      </c>
      <c r="C45" s="86" t="s">
        <v>154</v>
      </c>
      <c r="D45" s="112" t="s">
        <v>50</v>
      </c>
      <c r="E45" s="113">
        <f>COUNTIF('Form responses 1'!$AV$2:$AV$89,D45)</f>
        <v>63</v>
      </c>
      <c r="F45" s="89"/>
      <c r="G45" s="89">
        <f>SUMPRODUCT(('Form responses 1'!$AV$2:$AV$89=D45)*N('Form responses 1'!$H$2:$H$89))</f>
        <v>9339</v>
      </c>
      <c r="H45" s="89"/>
      <c r="I45" s="89"/>
      <c r="J45" s="89"/>
      <c r="K45" s="89" t="str">
        <f t="shared" si="2"/>
        <v>#DIV/0!</v>
      </c>
      <c r="L45" s="89"/>
    </row>
    <row r="46">
      <c r="A46" s="16"/>
      <c r="B46" s="24"/>
      <c r="C46" s="24"/>
      <c r="D46" s="98" t="s">
        <v>63</v>
      </c>
      <c r="E46" s="104">
        <f>COUNTIF('Form responses 1'!$AV$2:$AV$89,D46)</f>
        <v>25</v>
      </c>
      <c r="F46" s="23"/>
      <c r="G46" s="23">
        <f>SUMPRODUCT(('Form responses 1'!$AV$2:$AV$89=D46)*N('Form responses 1'!$H$2:$H$89))</f>
        <v>3636</v>
      </c>
      <c r="H46" s="23"/>
      <c r="I46" s="23"/>
      <c r="J46" s="23"/>
      <c r="K46" s="23" t="str">
        <f t="shared" si="2"/>
        <v>#DIV/0!</v>
      </c>
      <c r="L46" s="23"/>
    </row>
    <row r="47">
      <c r="A47" s="16"/>
      <c r="B47" s="24"/>
      <c r="C47" s="26"/>
      <c r="D47" s="121" t="s">
        <v>100</v>
      </c>
      <c r="E47" s="122">
        <f>COUNTIF('Form responses 1'!$AV$2:$AV$89,D47)</f>
        <v>0</v>
      </c>
      <c r="F47" s="123"/>
      <c r="G47" s="123">
        <f>SUMPRODUCT(('Form responses 1'!$AV$2:$AV$89=D47)*N('Form responses 1'!$H$2:$H$89))</f>
        <v>0</v>
      </c>
      <c r="H47" s="123"/>
      <c r="I47" s="123"/>
      <c r="J47" s="123"/>
      <c r="K47" s="123" t="str">
        <f t="shared" si="2"/>
        <v>#DIV/0!</v>
      </c>
      <c r="L47" s="123"/>
    </row>
    <row r="48">
      <c r="A48" s="16"/>
      <c r="B48" s="24"/>
      <c r="C48" s="33" t="s">
        <v>155</v>
      </c>
      <c r="D48" s="124" t="s">
        <v>92</v>
      </c>
      <c r="E48" s="125">
        <f>COUNTIF('Form responses 1'!$AW$2:$AW$89,D48)</f>
        <v>0</v>
      </c>
      <c r="F48" s="126"/>
      <c r="G48" s="126">
        <f>SUMPRODUCT(('Form responses 1'!$AW$2:$AW$89=D48)*N('Form responses 1'!$H$2:$H$89))</f>
        <v>0</v>
      </c>
      <c r="H48" s="126"/>
      <c r="I48" s="126"/>
      <c r="J48" s="126"/>
      <c r="K48" s="126" t="str">
        <f t="shared" si="2"/>
        <v>#DIV/0!</v>
      </c>
      <c r="L48" s="126"/>
    </row>
    <row r="49">
      <c r="A49" s="16"/>
      <c r="B49" s="24"/>
      <c r="C49" s="24"/>
      <c r="D49" s="127" t="s">
        <v>156</v>
      </c>
      <c r="E49" s="128">
        <f>COUNTIF('Form responses 1'!$AW$2:$AW$89,D49)</f>
        <v>0</v>
      </c>
      <c r="F49" s="23"/>
      <c r="G49" s="23">
        <f>SUMPRODUCT(('Form responses 1'!$AW$2:$AW$89=D49)*N('Form responses 1'!$H$2:$H$89))</f>
        <v>0</v>
      </c>
      <c r="H49" s="23"/>
      <c r="I49" s="23"/>
      <c r="J49" s="23"/>
      <c r="K49" s="23" t="str">
        <f t="shared" si="2"/>
        <v>#DIV/0!</v>
      </c>
      <c r="L49" s="23"/>
    </row>
    <row r="50">
      <c r="A50" s="16"/>
      <c r="B50" s="24"/>
      <c r="C50" s="24"/>
      <c r="D50" s="105" t="s">
        <v>104</v>
      </c>
      <c r="E50" s="106">
        <f>COUNTIF('Form responses 1'!$AW$2:$AW$89,D50)</f>
        <v>62</v>
      </c>
      <c r="F50" s="23"/>
      <c r="G50" s="23">
        <f>SUMPRODUCT(('Form responses 1'!$AW$2:$AW$89=D50)*N('Form responses 1'!$H$2:$H$89))</f>
        <v>8879</v>
      </c>
      <c r="H50" s="23"/>
      <c r="I50" s="21"/>
      <c r="J50" s="23"/>
      <c r="K50" s="23" t="str">
        <f t="shared" si="2"/>
        <v>#DIV/0!</v>
      </c>
      <c r="L50" s="23"/>
    </row>
    <row r="51">
      <c r="A51" s="16"/>
      <c r="B51" s="24"/>
      <c r="C51" s="26"/>
      <c r="D51" s="129" t="s">
        <v>160</v>
      </c>
      <c r="E51" s="130">
        <f>COUNTIF('Form responses 1'!$AW$2:$AW$89,D51)</f>
        <v>0</v>
      </c>
      <c r="F51" s="123"/>
      <c r="G51" s="123">
        <f>SUMPRODUCT(('Form responses 1'!$AW$2:$AW$89=D51)*N('Form responses 1'!$H$2:$H$89))</f>
        <v>0</v>
      </c>
      <c r="H51" s="123"/>
      <c r="I51" s="123"/>
      <c r="J51" s="123"/>
      <c r="K51" s="123" t="str">
        <f t="shared" si="2"/>
        <v>#DIV/0!</v>
      </c>
      <c r="L51" s="123"/>
    </row>
    <row r="52">
      <c r="A52" s="16"/>
      <c r="B52" s="24"/>
      <c r="C52" s="33" t="s">
        <v>137</v>
      </c>
      <c r="D52" s="124" t="s">
        <v>93</v>
      </c>
      <c r="E52" s="125">
        <f>COUNTIF('Form responses 1'!$AZ$2:$AZ$89,D52)</f>
        <v>63</v>
      </c>
      <c r="F52" s="126"/>
      <c r="G52" s="126">
        <f>SUMPRODUCT(('Form responses 1'!$AZ$2:$AZ$89=D52)*N('Form responses 1'!$H$2:$H$89))</f>
        <v>9339</v>
      </c>
      <c r="H52" s="126"/>
      <c r="I52" s="131"/>
      <c r="J52" s="126"/>
      <c r="K52" s="126" t="str">
        <f t="shared" si="2"/>
        <v>#DIV/0!</v>
      </c>
      <c r="L52" s="126"/>
    </row>
    <row r="53">
      <c r="A53" s="16"/>
      <c r="B53" s="24"/>
      <c r="C53" s="24"/>
      <c r="D53" s="25" t="s">
        <v>100</v>
      </c>
      <c r="E53" s="103">
        <f>COUNTIF('Form responses 1'!$AZ$2:$AZ$89,D53)</f>
        <v>1</v>
      </c>
      <c r="F53" s="23"/>
      <c r="G53" s="23">
        <f>SUMPRODUCT(('Form responses 1'!$AZ$2:$AZ$89=D53)*N('Form responses 1'!$H$2:$H$89))</f>
        <v>573</v>
      </c>
      <c r="H53" s="23"/>
      <c r="I53" s="21"/>
      <c r="J53" s="23"/>
      <c r="K53" s="23" t="str">
        <f t="shared" si="2"/>
        <v>#DIV/0!</v>
      </c>
      <c r="L53" s="23"/>
    </row>
    <row r="54">
      <c r="A54" s="16"/>
      <c r="B54" s="24"/>
      <c r="C54" s="24"/>
      <c r="D54" s="98" t="s">
        <v>141</v>
      </c>
      <c r="E54" s="104">
        <f>COUNTIF('Form responses 1'!$AZ$2:$AZ$89,D54)</f>
        <v>0</v>
      </c>
      <c r="F54" s="23"/>
      <c r="G54" s="23">
        <f>SUMPRODUCT(('Form responses 1'!$AZ$2:$AZ$89=D54)*N('Form responses 1'!$H$2:$H$89))</f>
        <v>0</v>
      </c>
      <c r="H54" s="23"/>
      <c r="I54" s="23"/>
      <c r="J54" s="23"/>
      <c r="K54" s="23" t="str">
        <f t="shared" si="2"/>
        <v>#DIV/0!</v>
      </c>
      <c r="L54" s="23"/>
    </row>
    <row r="55">
      <c r="A55" s="16"/>
      <c r="B55" s="24"/>
      <c r="C55" s="24"/>
      <c r="D55" s="105" t="s">
        <v>142</v>
      </c>
      <c r="E55" s="106">
        <f>COUNTIF('Form responses 1'!$AZ$2:$AZ$89,D55)</f>
        <v>0</v>
      </c>
      <c r="F55" s="23"/>
      <c r="G55" s="23">
        <f>SUMPRODUCT(('Form responses 1'!$AZ$2:$AZ$89=D55)*N('Form responses 1'!$H$2:$H$89))</f>
        <v>0</v>
      </c>
      <c r="H55" s="23"/>
      <c r="I55" s="23"/>
      <c r="J55" s="23"/>
      <c r="K55" s="23" t="str">
        <f t="shared" si="2"/>
        <v>#DIV/0!</v>
      </c>
      <c r="L55" s="23"/>
    </row>
    <row r="56">
      <c r="A56" s="16"/>
      <c r="B56" s="24"/>
      <c r="C56" s="24"/>
      <c r="D56" s="107" t="s">
        <v>105</v>
      </c>
      <c r="E56" s="108">
        <f>COUNTIF('Form responses 1'!$AZ$2:$AZ$89,D56)</f>
        <v>0</v>
      </c>
      <c r="F56" s="23"/>
      <c r="G56" s="23">
        <f>SUMPRODUCT(('Form responses 1'!$AZ$2:$AZ$89=D56)*N('Form responses 1'!$H$2:$H$89))</f>
        <v>0</v>
      </c>
      <c r="H56" s="23"/>
      <c r="I56" s="23"/>
      <c r="J56" s="23"/>
      <c r="K56" s="23" t="str">
        <f t="shared" si="2"/>
        <v>#DIV/0!</v>
      </c>
      <c r="L56" s="23"/>
    </row>
    <row r="57">
      <c r="A57" s="16"/>
      <c r="B57" s="26"/>
      <c r="C57" s="26"/>
      <c r="D57" s="109" t="s">
        <v>136</v>
      </c>
      <c r="E57" s="110">
        <f>COUNTIF('Form responses 1'!$AZ$2:$AZ$89,D57)</f>
        <v>24</v>
      </c>
      <c r="F57" s="82"/>
      <c r="G57" s="82">
        <f>SUMPRODUCT(('Form responses 1'!$AZ$2:$AZ$89=D57)*N('Form responses 1'!$H$2:$H$89))</f>
        <v>3063</v>
      </c>
      <c r="H57" s="82"/>
      <c r="I57" s="132"/>
      <c r="J57" s="82"/>
      <c r="K57" s="82" t="str">
        <f t="shared" si="2"/>
        <v>#DIV/0!</v>
      </c>
      <c r="L57" s="82"/>
    </row>
    <row r="58">
      <c r="A58" s="16"/>
      <c r="B58" s="85" t="s">
        <v>164</v>
      </c>
      <c r="C58" s="86" t="s">
        <v>154</v>
      </c>
      <c r="D58" s="112" t="s">
        <v>50</v>
      </c>
      <c r="E58" s="113">
        <f>COUNTIF('Form responses 1'!$BA$2:$BA$89,D58)</f>
        <v>40</v>
      </c>
      <c r="F58" s="89"/>
      <c r="G58" s="89"/>
      <c r="H58" s="89"/>
      <c r="I58" s="89"/>
      <c r="J58" s="89"/>
      <c r="K58" s="89" t="str">
        <f t="shared" si="2"/>
        <v>#DIV/0!</v>
      </c>
      <c r="L58" s="89"/>
    </row>
    <row r="59">
      <c r="A59" s="16"/>
      <c r="B59" s="24"/>
      <c r="C59" s="24"/>
      <c r="D59" s="98" t="s">
        <v>63</v>
      </c>
      <c r="E59" s="104">
        <f>COUNTIF('Form responses 1'!$BA$2:$BA$89,D59)</f>
        <v>48</v>
      </c>
      <c r="F59" s="23"/>
      <c r="G59" s="23"/>
      <c r="H59" s="23"/>
      <c r="I59" s="23"/>
      <c r="J59" s="23"/>
      <c r="K59" s="23" t="str">
        <f t="shared" si="2"/>
        <v>#DIV/0!</v>
      </c>
      <c r="L59" s="23"/>
    </row>
    <row r="60">
      <c r="A60" s="16"/>
      <c r="B60" s="24"/>
      <c r="C60" s="26"/>
      <c r="D60" s="121" t="s">
        <v>100</v>
      </c>
      <c r="E60" s="122">
        <f>COUNTIF('Form responses 1'!$BA$2:$BA$89,D60)</f>
        <v>0</v>
      </c>
      <c r="F60" s="123"/>
      <c r="G60" s="123"/>
      <c r="H60" s="123"/>
      <c r="I60" s="123"/>
      <c r="J60" s="123"/>
      <c r="K60" s="123" t="str">
        <f t="shared" si="2"/>
        <v>#DIV/0!</v>
      </c>
      <c r="L60" s="123"/>
    </row>
    <row r="61">
      <c r="A61" s="16"/>
      <c r="B61" s="24"/>
      <c r="C61" s="33" t="s">
        <v>137</v>
      </c>
      <c r="D61" s="124" t="s">
        <v>93</v>
      </c>
      <c r="E61" s="125">
        <f>COUNTIF('Form responses 1'!$BB$2:$BB$89,D61)</f>
        <v>3</v>
      </c>
      <c r="F61" s="126"/>
      <c r="G61" s="126"/>
      <c r="H61" s="126"/>
      <c r="I61" s="126"/>
      <c r="J61" s="126"/>
      <c r="K61" s="126" t="str">
        <f t="shared" si="2"/>
        <v>#DIV/0!</v>
      </c>
      <c r="L61" s="126"/>
    </row>
    <row r="62">
      <c r="A62" s="16"/>
      <c r="B62" s="24"/>
      <c r="C62" s="24"/>
      <c r="D62" s="25" t="s">
        <v>100</v>
      </c>
      <c r="E62" s="103">
        <f>COUNTIF('Form responses 1'!$BB$2:$BB$89,D62)</f>
        <v>41</v>
      </c>
      <c r="F62" s="23"/>
      <c r="G62" s="23"/>
      <c r="H62" s="23"/>
      <c r="I62" s="23"/>
      <c r="J62" s="23"/>
      <c r="K62" s="23" t="str">
        <f t="shared" si="2"/>
        <v>#DIV/0!</v>
      </c>
      <c r="L62" s="23"/>
    </row>
    <row r="63">
      <c r="A63" s="16"/>
      <c r="B63" s="24"/>
      <c r="C63" s="24"/>
      <c r="D63" s="98" t="s">
        <v>141</v>
      </c>
      <c r="E63" s="104">
        <f>COUNTIF('Form responses 1'!$BB$2:$BB$89,D63)</f>
        <v>0</v>
      </c>
      <c r="F63" s="23"/>
      <c r="G63" s="23"/>
      <c r="H63" s="23"/>
      <c r="I63" s="23"/>
      <c r="J63" s="23"/>
      <c r="K63" s="23" t="str">
        <f t="shared" si="2"/>
        <v>#DIV/0!</v>
      </c>
      <c r="L63" s="23"/>
    </row>
    <row r="64">
      <c r="A64" s="16"/>
      <c r="B64" s="24"/>
      <c r="C64" s="24"/>
      <c r="D64" s="105" t="s">
        <v>142</v>
      </c>
      <c r="E64" s="106">
        <f>COUNTIF('Form responses 1'!$BB$2:$BB$89,D64)</f>
        <v>0</v>
      </c>
      <c r="F64" s="23"/>
      <c r="G64" s="23"/>
      <c r="H64" s="23"/>
      <c r="I64" s="23"/>
      <c r="J64" s="23"/>
      <c r="K64" s="23" t="str">
        <f t="shared" si="2"/>
        <v>#DIV/0!</v>
      </c>
      <c r="L64" s="23"/>
    </row>
    <row r="65">
      <c r="A65" s="16"/>
      <c r="B65" s="24"/>
      <c r="C65" s="24"/>
      <c r="D65" s="107" t="s">
        <v>105</v>
      </c>
      <c r="E65" s="108">
        <f>COUNTIF('Form responses 1'!$BB$2:$BB$89,D65)</f>
        <v>37</v>
      </c>
      <c r="F65" s="23"/>
      <c r="G65" s="23"/>
      <c r="H65" s="23"/>
      <c r="I65" s="23"/>
      <c r="J65" s="23"/>
      <c r="K65" s="23" t="str">
        <f t="shared" si="2"/>
        <v>#DIV/0!</v>
      </c>
      <c r="L65" s="23"/>
    </row>
    <row r="66">
      <c r="A66" s="16"/>
      <c r="B66" s="26"/>
      <c r="C66" s="26"/>
      <c r="D66" s="109" t="s">
        <v>136</v>
      </c>
      <c r="E66" s="110">
        <f>COUNTIF('Form responses 1'!$BB$2:$BB$89,D66)</f>
        <v>3</v>
      </c>
      <c r="F66" s="82"/>
      <c r="G66" s="82"/>
      <c r="H66" s="82"/>
      <c r="I66" s="82"/>
      <c r="J66" s="82"/>
      <c r="K66" s="82" t="str">
        <f t="shared" si="2"/>
        <v>#DIV/0!</v>
      </c>
      <c r="L66" s="82"/>
    </row>
    <row r="67">
      <c r="A67" s="16"/>
      <c r="B67" s="85" t="s">
        <v>166</v>
      </c>
      <c r="C67" s="86" t="s">
        <v>155</v>
      </c>
      <c r="D67" s="134" t="s">
        <v>167</v>
      </c>
      <c r="E67" s="135">
        <f>COUNTIF('Form responses 1'!$BD$2:$BD$89,D67)</f>
        <v>0</v>
      </c>
      <c r="F67" s="89"/>
      <c r="G67" s="89"/>
      <c r="H67" s="89"/>
      <c r="I67" s="89"/>
      <c r="J67" s="89"/>
      <c r="K67" s="89" t="str">
        <f t="shared" si="2"/>
        <v>#DIV/0!</v>
      </c>
      <c r="L67" s="89"/>
    </row>
    <row r="68">
      <c r="A68" s="16"/>
      <c r="B68" s="24"/>
      <c r="C68" s="24"/>
      <c r="D68" s="136" t="s">
        <v>107</v>
      </c>
      <c r="E68" s="20">
        <f>COUNTIF('Form responses 1'!$BD$2:$BD$89,D68)</f>
        <v>88</v>
      </c>
      <c r="F68" s="23"/>
      <c r="G68" s="23"/>
      <c r="H68" s="23"/>
      <c r="I68" s="23"/>
      <c r="J68" s="23"/>
      <c r="K68" s="23" t="str">
        <f t="shared" si="2"/>
        <v>#DIV/0!</v>
      </c>
      <c r="L68" s="23"/>
    </row>
    <row r="69">
      <c r="A69" s="16"/>
      <c r="B69" s="24"/>
      <c r="C69" s="24"/>
      <c r="D69" s="137" t="s">
        <v>170</v>
      </c>
      <c r="E69" s="115">
        <f>COUNTIF('Form responses 1'!$BD$2:$BD$89,D69)</f>
        <v>0</v>
      </c>
      <c r="F69" s="23"/>
      <c r="G69" s="23"/>
      <c r="H69" s="23"/>
      <c r="I69" s="23"/>
      <c r="J69" s="23"/>
      <c r="K69" s="23" t="str">
        <f t="shared" si="2"/>
        <v>#DIV/0!</v>
      </c>
      <c r="L69" s="23"/>
    </row>
    <row r="70">
      <c r="A70" s="16"/>
      <c r="B70" s="24"/>
      <c r="C70" s="24"/>
      <c r="D70" s="105" t="s">
        <v>171</v>
      </c>
      <c r="E70" s="106">
        <f>COUNTIF('Form responses 1'!$BD$2:$BD$89,D70)</f>
        <v>0</v>
      </c>
      <c r="F70" s="23"/>
      <c r="G70" s="23"/>
      <c r="H70" s="23"/>
      <c r="I70" s="23"/>
      <c r="J70" s="23"/>
      <c r="K70" s="23" t="str">
        <f t="shared" si="2"/>
        <v>#DIV/0!</v>
      </c>
      <c r="L70" s="23"/>
    </row>
    <row r="71">
      <c r="A71" s="16"/>
      <c r="B71" s="24"/>
      <c r="C71" s="24"/>
      <c r="D71" s="25" t="s">
        <v>100</v>
      </c>
      <c r="E71" s="103">
        <f>COUNTIF('Form responses 1'!$BD$2:$BD$89,D71)</f>
        <v>0</v>
      </c>
      <c r="F71" s="23"/>
      <c r="G71" s="23"/>
      <c r="H71" s="23"/>
      <c r="I71" s="23"/>
      <c r="J71" s="23"/>
      <c r="K71" s="23" t="str">
        <f t="shared" si="2"/>
        <v>#DIV/0!</v>
      </c>
      <c r="L71" s="23"/>
    </row>
    <row r="72">
      <c r="A72" s="16"/>
      <c r="B72" s="24"/>
      <c r="C72" s="26"/>
      <c r="D72" s="101" t="s">
        <v>136</v>
      </c>
      <c r="E72" s="123">
        <f>COUNTIF('Form responses 1'!$BD$2:$BD$89,D72)</f>
        <v>0</v>
      </c>
      <c r="F72" s="123"/>
      <c r="G72" s="123"/>
      <c r="H72" s="123"/>
      <c r="I72" s="123"/>
      <c r="J72" s="123"/>
      <c r="K72" s="123" t="str">
        <f t="shared" si="2"/>
        <v>#DIV/0!</v>
      </c>
      <c r="L72" s="123"/>
    </row>
    <row r="73">
      <c r="A73" s="16"/>
      <c r="B73" s="24"/>
      <c r="C73" s="33" t="s">
        <v>137</v>
      </c>
      <c r="D73" s="124" t="s">
        <v>93</v>
      </c>
      <c r="E73" s="125">
        <f>COUNTIF('Form responses 1'!$BE$2:$BE$89,D73)</f>
        <v>88</v>
      </c>
      <c r="F73" s="126"/>
      <c r="G73" s="126"/>
      <c r="H73" s="126"/>
      <c r="I73" s="126"/>
      <c r="J73" s="126"/>
      <c r="K73" s="126" t="str">
        <f t="shared" si="2"/>
        <v>#DIV/0!</v>
      </c>
      <c r="L73" s="126"/>
    </row>
    <row r="74">
      <c r="A74" s="16"/>
      <c r="B74" s="24"/>
      <c r="C74" s="24"/>
      <c r="D74" s="25" t="s">
        <v>100</v>
      </c>
      <c r="E74" s="103">
        <f>COUNTIF('Form responses 1'!$BE$2:$BE$89,D74)</f>
        <v>0</v>
      </c>
      <c r="F74" s="23"/>
      <c r="G74" s="23"/>
      <c r="H74" s="23"/>
      <c r="I74" s="23"/>
      <c r="J74" s="23"/>
      <c r="K74" s="23" t="str">
        <f t="shared" si="2"/>
        <v>#DIV/0!</v>
      </c>
      <c r="L74" s="23"/>
    </row>
    <row r="75">
      <c r="A75" s="16"/>
      <c r="B75" s="24"/>
      <c r="C75" s="24"/>
      <c r="D75" s="98" t="s">
        <v>141</v>
      </c>
      <c r="E75" s="104">
        <f>COUNTIF('Form responses 1'!$BE$2:$BE$89,D75)</f>
        <v>0</v>
      </c>
      <c r="F75" s="23"/>
      <c r="G75" s="23"/>
      <c r="H75" s="23"/>
      <c r="I75" s="23"/>
      <c r="J75" s="23"/>
      <c r="K75" s="23" t="str">
        <f t="shared" si="2"/>
        <v>#DIV/0!</v>
      </c>
      <c r="L75" s="23"/>
    </row>
    <row r="76">
      <c r="A76" s="16"/>
      <c r="B76" s="24"/>
      <c r="C76" s="24"/>
      <c r="D76" s="105" t="s">
        <v>142</v>
      </c>
      <c r="E76" s="106">
        <f>COUNTIF('Form responses 1'!$BE$2:$BE$89,D76)</f>
        <v>0</v>
      </c>
      <c r="F76" s="23"/>
      <c r="G76" s="23"/>
      <c r="H76" s="23"/>
      <c r="I76" s="23"/>
      <c r="J76" s="23"/>
      <c r="K76" s="23" t="str">
        <f t="shared" si="2"/>
        <v>#DIV/0!</v>
      </c>
      <c r="L76" s="23"/>
    </row>
    <row r="77">
      <c r="A77" s="16"/>
      <c r="B77" s="24"/>
      <c r="C77" s="24"/>
      <c r="D77" s="107" t="s">
        <v>105</v>
      </c>
      <c r="E77" s="108">
        <f>COUNTIF('Form responses 1'!$BE$2:$BE$89,D77)</f>
        <v>0</v>
      </c>
      <c r="F77" s="23"/>
      <c r="G77" s="23"/>
      <c r="H77" s="23"/>
      <c r="I77" s="23"/>
      <c r="J77" s="23"/>
      <c r="K77" s="23" t="str">
        <f t="shared" si="2"/>
        <v>#DIV/0!</v>
      </c>
      <c r="L77" s="23"/>
    </row>
    <row r="78">
      <c r="A78" s="16"/>
      <c r="B78" s="26"/>
      <c r="C78" s="26"/>
      <c r="D78" s="109" t="s">
        <v>136</v>
      </c>
      <c r="E78" s="110">
        <f>COUNTIF('Form responses 1'!$BE$2:$BE$89,D78)</f>
        <v>0</v>
      </c>
      <c r="F78" s="82"/>
      <c r="G78" s="82"/>
      <c r="H78" s="82"/>
      <c r="I78" s="82"/>
      <c r="J78" s="82"/>
      <c r="K78" s="82" t="str">
        <f t="shared" si="2"/>
        <v>#DIV/0!</v>
      </c>
      <c r="L78" s="82"/>
    </row>
    <row r="79">
      <c r="A79" s="16"/>
      <c r="B79" s="16"/>
      <c r="C79" s="138"/>
      <c r="D79" s="139" t="s">
        <v>94</v>
      </c>
      <c r="E79" s="140"/>
    </row>
    <row r="80">
      <c r="A80" s="16"/>
      <c r="B80" s="16"/>
      <c r="C80" s="138"/>
      <c r="D80" s="141" t="s">
        <v>115</v>
      </c>
      <c r="E80" s="142"/>
    </row>
    <row r="81">
      <c r="A81" s="16"/>
      <c r="B81" s="16"/>
      <c r="C81" s="138"/>
      <c r="D81" s="143" t="s">
        <v>99</v>
      </c>
      <c r="E81" s="144"/>
    </row>
    <row r="82">
      <c r="A82" s="16"/>
      <c r="B82" s="16"/>
      <c r="C82" s="138"/>
      <c r="D82" s="145" t="s">
        <v>119</v>
      </c>
      <c r="E82" s="146"/>
    </row>
    <row r="83">
      <c r="A83" s="16"/>
      <c r="B83" s="16"/>
      <c r="C83" s="138"/>
      <c r="D83" s="99" t="s">
        <v>96</v>
      </c>
      <c r="E83" s="147"/>
    </row>
    <row r="84">
      <c r="A84" s="16"/>
      <c r="B84" s="16"/>
      <c r="C84" s="138"/>
      <c r="D84" s="148"/>
      <c r="E84" s="149"/>
    </row>
    <row r="85">
      <c r="A85" s="16"/>
      <c r="B85" s="16"/>
      <c r="C85" s="138"/>
      <c r="D85" s="148"/>
      <c r="E85" s="149"/>
    </row>
  </sheetData>
  <mergeCells count="25">
    <mergeCell ref="C1:D1"/>
    <mergeCell ref="C2:D2"/>
    <mergeCell ref="C3:D3"/>
    <mergeCell ref="C4:D4"/>
    <mergeCell ref="E4:F4"/>
    <mergeCell ref="B7:B18"/>
    <mergeCell ref="C7:C9"/>
    <mergeCell ref="B35:B44"/>
    <mergeCell ref="B45:B57"/>
    <mergeCell ref="B58:B66"/>
    <mergeCell ref="B67:B78"/>
    <mergeCell ref="C45:C47"/>
    <mergeCell ref="C48:C51"/>
    <mergeCell ref="C52:C57"/>
    <mergeCell ref="C58:C60"/>
    <mergeCell ref="C61:C66"/>
    <mergeCell ref="C67:C72"/>
    <mergeCell ref="C73:C78"/>
    <mergeCell ref="C10:C13"/>
    <mergeCell ref="C14:C18"/>
    <mergeCell ref="B19:B34"/>
    <mergeCell ref="C19:C28"/>
    <mergeCell ref="C29:C34"/>
    <mergeCell ref="C35:C38"/>
    <mergeCell ref="C39:C44"/>
  </mergeCells>
  <drawing r:id="rId4"/>
  <legacyDrawing r:id="rId5"/>
  <tableParts count="6">
    <tablePart r:id="rId12"/>
    <tablePart r:id="rId13"/>
    <tablePart r:id="rId14"/>
    <tablePart r:id="rId15"/>
    <tablePart r:id="rId16"/>
    <tablePart r:id="rId1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