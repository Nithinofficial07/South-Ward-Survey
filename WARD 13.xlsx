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tc={dcebce31-79e7-4f02-b9ad-190ce2b89b8a}</author>
  </authors>
  <commentList>
    <comment authorId="0" xr:uid="{dcebce31-79e7-4f02-b9ad-190ce2b89b8a}" ref="B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Partialy complete can also be an option
</t>
      </text>
    </comment>
  </commentList>
</comments>
</file>

<file path=xl/sharedStrings.xml><?xml version="1.0" encoding="utf-8"?>
<sst xmlns="http://schemas.openxmlformats.org/spreadsheetml/2006/main" count="1864" uniqueCount="291">
  <si>
    <t>Column 57</t>
  </si>
  <si>
    <t>Timestamp</t>
  </si>
  <si>
    <t>Email address</t>
  </si>
  <si>
    <t>Surveyor Name</t>
  </si>
  <si>
    <t>Road Name (Main)</t>
  </si>
  <si>
    <t>Road Name (Cross)</t>
  </si>
  <si>
    <t>Area Name</t>
  </si>
  <si>
    <t>Dist. (m)</t>
  </si>
  <si>
    <t>Location (Google Maps link)</t>
  </si>
  <si>
    <t>Road Sign</t>
  </si>
  <si>
    <t>Use</t>
  </si>
  <si>
    <t>Material</t>
  </si>
  <si>
    <t>Width (m)</t>
  </si>
  <si>
    <t>Road Condition</t>
  </si>
  <si>
    <t>Side (N/E)</t>
  </si>
  <si>
    <t>Attachment 1 Type</t>
  </si>
  <si>
    <t>Attachment 1 Width (m)</t>
  </si>
  <si>
    <t>Attachment 1 Dated</t>
  </si>
  <si>
    <t>Attachment 1 Condition</t>
  </si>
  <si>
    <t>Attachment 1 Notes</t>
  </si>
  <si>
    <t>Attachment 2 Type</t>
  </si>
  <si>
    <t>Attachment 2 Width (m)</t>
  </si>
  <si>
    <t>Attachment 2 Dated</t>
  </si>
  <si>
    <t>Attachment 2 Condition</t>
  </si>
  <si>
    <t>Attachment 2 Notes</t>
  </si>
  <si>
    <t>Side (S/W)</t>
  </si>
  <si>
    <t>Attachment 1 Type (S/W)</t>
  </si>
  <si>
    <t>Attachment 1 Width (m) (S/W)</t>
  </si>
  <si>
    <t>Attachment 1 Dated (S/W)</t>
  </si>
  <si>
    <t>Attachment 1 Condition (S/W)</t>
  </si>
  <si>
    <t>Attachment 1 Notes (S/W)</t>
  </si>
  <si>
    <t>Attachment 2 Type (S/W)</t>
  </si>
  <si>
    <t>Attachment 2 Width (m) (S/W)</t>
  </si>
  <si>
    <t>Attachment 2 Dated (S/W)</t>
  </si>
  <si>
    <t>Attachment 2 Condition (S/W)</t>
  </si>
  <si>
    <t>Attachment 2 Notes (S/W)</t>
  </si>
  <si>
    <t>SWG Side (N/E)</t>
  </si>
  <si>
    <t>SWG Type (N/E)</t>
  </si>
  <si>
    <t>SWG Width (m) (N/E)</t>
  </si>
  <si>
    <t>Ward No:</t>
  </si>
  <si>
    <t>Ward Name:</t>
  </si>
  <si>
    <t>Siddrameshwara badavane, Mandakibatti Layout, AK Colony</t>
  </si>
  <si>
    <t>Total Number of Roads</t>
  </si>
  <si>
    <t>nos</t>
  </si>
  <si>
    <t>Total Road Length</t>
  </si>
  <si>
    <t>km</t>
  </si>
  <si>
    <t>Length</t>
  </si>
  <si>
    <t>Area</t>
  </si>
  <si>
    <t>Action</t>
  </si>
  <si>
    <t>Std Rate min</t>
  </si>
  <si>
    <t>Std Rate max</t>
  </si>
  <si>
    <t>Estimation</t>
  </si>
  <si>
    <t>Notes</t>
  </si>
  <si>
    <t>unit</t>
  </si>
  <si>
    <t>#</t>
  </si>
  <si>
    <t>m</t>
  </si>
  <si>
    <t>sqm</t>
  </si>
  <si>
    <t>INR</t>
  </si>
  <si>
    <t>I. Road</t>
  </si>
  <si>
    <t>Rd.Sign</t>
  </si>
  <si>
    <t>Yes</t>
  </si>
  <si>
    <t>na</t>
  </si>
  <si>
    <t>No</t>
  </si>
  <si>
    <t>Damaged</t>
  </si>
  <si>
    <t>Road Type</t>
  </si>
  <si>
    <t>Main Rd</t>
  </si>
  <si>
    <t>Comercial</t>
  </si>
  <si>
    <t>SWG Dated (N/E)</t>
  </si>
  <si>
    <t>SWG Condition (N/E)</t>
  </si>
  <si>
    <t>SWG Notes (N/E)</t>
  </si>
  <si>
    <t>SWG Side (S/W)</t>
  </si>
  <si>
    <t>SWG Width (m) (S/W)</t>
  </si>
  <si>
    <t>SWG Dated (S/W)</t>
  </si>
  <si>
    <t>SWG Condition (S/W)</t>
  </si>
  <si>
    <t>SWG Notes (S/W)</t>
  </si>
  <si>
    <t>UGD Existing</t>
  </si>
  <si>
    <t>UGD Type</t>
  </si>
  <si>
    <t>UGD Date</t>
  </si>
  <si>
    <t>UGD Pipe Dia (m)</t>
  </si>
  <si>
    <t>UGD Condition</t>
  </si>
  <si>
    <t>Jalasiri Existing</t>
  </si>
  <si>
    <t>Jalasiri Condition</t>
  </si>
  <si>
    <t>Jalasiri Note</t>
  </si>
  <si>
    <t>Light Type</t>
  </si>
  <si>
    <t>Electrical Condition</t>
  </si>
  <si>
    <t/>
  </si>
  <si>
    <t xml:space="preserve">Bethur road </t>
  </si>
  <si>
    <t>4th cross A</t>
  </si>
  <si>
    <t>AV nagara</t>
  </si>
  <si>
    <t>Residential</t>
  </si>
  <si>
    <t>ROAD SURVEY — DVG SOUTH CONSTITUENCY — WARD NO. 13</t>
  </si>
  <si>
    <t>Conservency</t>
  </si>
  <si>
    <t>I.</t>
  </si>
  <si>
    <t>Concrete</t>
  </si>
  <si>
    <t>II.</t>
  </si>
  <si>
    <t>III.</t>
  </si>
  <si>
    <t>IV.</t>
  </si>
  <si>
    <t>V.. ROAD ONLY</t>
  </si>
  <si>
    <t>VI. STORM WATER GUTTER</t>
  </si>
  <si>
    <t>VII. UNDERGROUND DRAINAGE</t>
  </si>
  <si>
    <t>Gravell</t>
  </si>
  <si>
    <t>VIIII. JALASIRI</t>
  </si>
  <si>
    <t>IX. ELECTRICAL</t>
  </si>
  <si>
    <t>Road Name</t>
  </si>
  <si>
    <t>Volunteer</t>
  </si>
  <si>
    <t>Main</t>
  </si>
  <si>
    <t>Cross</t>
  </si>
  <si>
    <t>Dist.</t>
  </si>
  <si>
    <t>Loc</t>
  </si>
  <si>
    <t>ROAD</t>
  </si>
  <si>
    <t>Convert to concrete</t>
  </si>
  <si>
    <t>Attachement (N/E)</t>
  </si>
  <si>
    <t>Attachement (S/W)</t>
  </si>
  <si>
    <t>Mud</t>
  </si>
  <si>
    <t>(N/E)</t>
  </si>
  <si>
    <t xml:space="preserve"> (S/W)</t>
  </si>
  <si>
    <t>Existing</t>
  </si>
  <si>
    <t>Type</t>
  </si>
  <si>
    <t>Pipe Dia</t>
  </si>
  <si>
    <t>Condition</t>
  </si>
  <si>
    <t>Note</t>
  </si>
  <si>
    <t>Tar</t>
  </si>
  <si>
    <t>Width</t>
  </si>
  <si>
    <t>Side</t>
  </si>
  <si>
    <t>Attachment 1</t>
  </si>
  <si>
    <t>Dated</t>
  </si>
  <si>
    <t>White Topping</t>
  </si>
  <si>
    <t>II. Attachment (N,S,E,W)</t>
  </si>
  <si>
    <t>Type (N/S) + (E/W)</t>
  </si>
  <si>
    <t>Pavers</t>
  </si>
  <si>
    <t>https://maps.app.goo.gl/b1AxsUbEjTy6Qw2aA</t>
  </si>
  <si>
    <t>Maintenance</t>
  </si>
  <si>
    <t>Pavers (Elevated)</t>
  </si>
  <si>
    <t>Attachment 2</t>
  </si>
  <si>
    <t xml:space="preserve">No attachments </t>
  </si>
  <si>
    <t>Pavers Ramp (Elevated)</t>
  </si>
  <si>
    <t>North</t>
  </si>
  <si>
    <t>Divider (Concrete)</t>
  </si>
  <si>
    <t>FFL Gutter</t>
  </si>
  <si>
    <t>South</t>
  </si>
  <si>
    <t>Divider (Planter)</t>
  </si>
  <si>
    <t>Curb (Planterbox)</t>
  </si>
  <si>
    <t>LED- LT Line</t>
  </si>
  <si>
    <t xml:space="preserve">Bethuru road </t>
  </si>
  <si>
    <t xml:space="preserve">13 cross </t>
  </si>
  <si>
    <t>length*Width</t>
  </si>
  <si>
    <t>https://maps.app.goo.gl/NEJebwwc8rkr5ACC7?g_st=ac</t>
  </si>
  <si>
    <t>Date</t>
  </si>
  <si>
    <t>x</t>
  </si>
  <si>
    <t>West</t>
  </si>
  <si>
    <t>mm</t>
  </si>
  <si>
    <t>East</t>
  </si>
  <si>
    <t>Elevated Gutter</t>
  </si>
  <si>
    <t>Pavement</t>
  </si>
  <si>
    <t>Good</t>
  </si>
  <si>
    <t>Required</t>
  </si>
  <si>
    <t>4th cross B</t>
  </si>
  <si>
    <t>A V nagar</t>
  </si>
  <si>
    <t>https://maps.app.goo.gl/AJnhQJDLmpLWgCko9</t>
  </si>
  <si>
    <t>1 st cross C</t>
  </si>
  <si>
    <t>A V nagara</t>
  </si>
  <si>
    <t>https://maps.app.goo.gl/GLiUSL72rP4E1hzA7?g_st=ac</t>
  </si>
  <si>
    <t>Exposed Soil</t>
  </si>
  <si>
    <t>Pavement (Elevated)</t>
  </si>
  <si>
    <t>Bund</t>
  </si>
  <si>
    <t>YES</t>
  </si>
  <si>
    <t>n/a</t>
  </si>
  <si>
    <t>Additional Required</t>
  </si>
  <si>
    <t>4 th cross D</t>
  </si>
  <si>
    <t>A VNagara</t>
  </si>
  <si>
    <t>https://maps.app.goo.gl/GHQod85dWyVpGha6A</t>
  </si>
  <si>
    <t>Outdated</t>
  </si>
  <si>
    <t>III. SWG (N,S,E,W)</t>
  </si>
  <si>
    <t>No Gutter req</t>
  </si>
  <si>
    <t xml:space="preserve">1st cross </t>
  </si>
  <si>
    <t xml:space="preserve">A V nagar </t>
  </si>
  <si>
    <t>https://maps.app.goo.gl/Z4xYKAn8Amn2LcKo9</t>
  </si>
  <si>
    <t>1 st cross C 1</t>
  </si>
  <si>
    <t>https://maps.app.goo.gl/c6CCK4jpntei6aaN6</t>
  </si>
  <si>
    <t>IIV. UGD</t>
  </si>
  <si>
    <t xml:space="preserve">3 cross </t>
  </si>
  <si>
    <t xml:space="preserve">AV nagar </t>
  </si>
  <si>
    <t>https://maps.app.goo.gl/mJfttck93AJEFqxc8</t>
  </si>
  <si>
    <t>Stone</t>
  </si>
  <si>
    <t xml:space="preserve">2 cross </t>
  </si>
  <si>
    <t>PVC</t>
  </si>
  <si>
    <t>https://maps.app.goo.gl/dS3nk9Van3Kv1utV7</t>
  </si>
  <si>
    <t>UPVC</t>
  </si>
  <si>
    <t>??</t>
  </si>
  <si>
    <t>https://maps.app.goo.gl/oTQevtM5t1oSQ9cf9</t>
  </si>
  <si>
    <t>V. JALASIRI</t>
  </si>
  <si>
    <t>VI.ELECTRICAL</t>
  </si>
  <si>
    <t xml:space="preserve">1st main </t>
  </si>
  <si>
    <t>Devraj nagara</t>
  </si>
  <si>
    <t>https://maps.app.goo.gl/W4EHoZz8FXnJeDkZ7</t>
  </si>
  <si>
    <t>LED- Pole</t>
  </si>
  <si>
    <t>Solar</t>
  </si>
  <si>
    <t>Sodium</t>
  </si>
  <si>
    <t>Devaraj nagara</t>
  </si>
  <si>
    <t>https://maps.app.goo.gl/H8Qooo9LjYKrYpYY8</t>
  </si>
  <si>
    <t>1st cross A</t>
  </si>
  <si>
    <t xml:space="preserve">Devraj nagara </t>
  </si>
  <si>
    <t>https://maps.app.goo.gl/MXJ5S69j2k2J9xV59</t>
  </si>
  <si>
    <t>No SWG</t>
  </si>
  <si>
    <t>Koracharahatti</t>
  </si>
  <si>
    <t>https://maps.app.goo.gl/gRKCVJt79sfFpJsA7</t>
  </si>
  <si>
    <t xml:space="preserve">No pavements </t>
  </si>
  <si>
    <t xml:space="preserve">5 cross </t>
  </si>
  <si>
    <t xml:space="preserve">Devaraj nagara </t>
  </si>
  <si>
    <t>https://maps.app.goo.gl/ufmH2b6TnJgadSts6</t>
  </si>
  <si>
    <t xml:space="preserve">1st cross  A </t>
  </si>
  <si>
    <t>https://maps.app.goo.gl/ZbbT4aAp9mHTo5277</t>
  </si>
  <si>
    <t>2nd cross B</t>
  </si>
  <si>
    <t>https://maps.app.goo.gl/UrqPgvfYP8ePuMz46</t>
  </si>
  <si>
    <t xml:space="preserve">4th cross </t>
  </si>
  <si>
    <t>https://maps.app.goo.gl/8ZjEBhvCtWuR38Yb9</t>
  </si>
  <si>
    <t>https://maps.app.goo.gl/LGcgHfAU7zZndMtSA</t>
  </si>
  <si>
    <t>5th cross</t>
  </si>
  <si>
    <t>https://maps.app.goo.gl/6Vpqz1a8D9SiecYVA</t>
  </si>
  <si>
    <t>6th cross</t>
  </si>
  <si>
    <t>https://maps.app.goo.gl/Jx941QLWJn6i8SYc8</t>
  </si>
  <si>
    <t xml:space="preserve">7th cross </t>
  </si>
  <si>
    <t xml:space="preserve">Bethuru main road </t>
  </si>
  <si>
    <t>https://maps.app.goo.gl/ACwkvVSvjhcDAzRq9?g_st=ac</t>
  </si>
  <si>
    <t>https://maps.app.goo.gl/e8rEn6dVrs2Rvj9D9</t>
  </si>
  <si>
    <t xml:space="preserve">1 main </t>
  </si>
  <si>
    <t>https://maps.app.goo.gl/oKC271LXodYDFAtJ6</t>
  </si>
  <si>
    <t>Calmarks nagara</t>
  </si>
  <si>
    <t>https://maps.app.goo.gl/hDvy6a3GKcEcxh9BA</t>
  </si>
  <si>
    <t xml:space="preserve">Koracharahatti </t>
  </si>
  <si>
    <t>https://maps.app.goo.gl/bfMfHDz36F1ARswJA?g_st=ac</t>
  </si>
  <si>
    <t>https://maps.app.goo.gl/eKRis6XuywAxbicw7?g_st=ac</t>
  </si>
  <si>
    <t xml:space="preserve">Calmarks nagara </t>
  </si>
  <si>
    <t>https://maps.app.goo.gl/JnpkbNxWy1BuX1z86</t>
  </si>
  <si>
    <t xml:space="preserve">4 cross </t>
  </si>
  <si>
    <t>https://maps.app.goo.gl/s3rabKBLHaWpSEfz8</t>
  </si>
  <si>
    <t xml:space="preserve">6th cross </t>
  </si>
  <si>
    <t>https://maps.app.goo.gl/knv44FdizD2TU2hX8</t>
  </si>
  <si>
    <t xml:space="preserve">Idranagar A K Hatti </t>
  </si>
  <si>
    <t>https://maps.app.goo.gl/RpL716YgYPmpasVs6</t>
  </si>
  <si>
    <t xml:space="preserve">Indiranagar A K Hatti </t>
  </si>
  <si>
    <t>https://maps.app.goo.gl/zzevyvduroMAsdqy8</t>
  </si>
  <si>
    <t xml:space="preserve">3rd cross </t>
  </si>
  <si>
    <t>https://maps.app.goo.gl/cbuB65ZYjYq8cJmk7</t>
  </si>
  <si>
    <t xml:space="preserve">Indiranagar </t>
  </si>
  <si>
    <t>https://maps.app.goo.gl/xfYXth7KJSQSfiJb8?g_st=aw</t>
  </si>
  <si>
    <t xml:space="preserve">5th cross </t>
  </si>
  <si>
    <t>https://maps.app.goo.gl/P53ks5dnArfBq6BZ6</t>
  </si>
  <si>
    <t xml:space="preserve">2 main </t>
  </si>
  <si>
    <t>https://maps.app.goo.gl/MSpzmoNbZgB14viw8?g_st=aw</t>
  </si>
  <si>
    <t>2nd main 2nd cross</t>
  </si>
  <si>
    <t>https://maps.app.goo.gl/R2bSuxWYm5UZaPfM9</t>
  </si>
  <si>
    <t xml:space="preserve">3rd cross A </t>
  </si>
  <si>
    <t>Khocharahatti</t>
  </si>
  <si>
    <t>https://maps.app.goo.gl/VW3CbZa9pUzgDG3A8</t>
  </si>
  <si>
    <t>1st cross</t>
  </si>
  <si>
    <t>A</t>
  </si>
  <si>
    <t>Indranagara</t>
  </si>
  <si>
    <t>https://maps.app.goo.gl/JjVhY46AxSQtJNyd7</t>
  </si>
  <si>
    <t>1st main</t>
  </si>
  <si>
    <t>https://maps.app.goo.gl/qYjU5Mw4dfXqufrSA</t>
  </si>
  <si>
    <t>Maintiance</t>
  </si>
  <si>
    <t xml:space="preserve">Indira nagar </t>
  </si>
  <si>
    <t>https://maps.app.goo.gl/wYiJQF8J2JwetLK39</t>
  </si>
  <si>
    <t>Muddabhumi colony</t>
  </si>
  <si>
    <t>https://maps.app.goo.gl/pY7ebH4Ncj9KdPfv7</t>
  </si>
  <si>
    <t>5th a</t>
  </si>
  <si>
    <t>https://maps.app.goo.gl/DhRu5pRdnhxovC9o8</t>
  </si>
  <si>
    <t xml:space="preserve">Muddabhumi colony </t>
  </si>
  <si>
    <t>https://maps.app.goo.gl/bRw1d9Zms7Zj1Q7a9</t>
  </si>
  <si>
    <t>5th b</t>
  </si>
  <si>
    <t>https://maps.app.goo.gl/VvHeaibF7rXAGQK48</t>
  </si>
  <si>
    <t xml:space="preserve">4th </t>
  </si>
  <si>
    <t>https://maps.app.goo.gl/ej4iJaFedzveyZ2s8</t>
  </si>
  <si>
    <t>4th a</t>
  </si>
  <si>
    <t>https://maps.app.goo.gl/MV8RveAhKnxF4Cjw5</t>
  </si>
  <si>
    <t>https://maps.app.goo.gl/DjjCDYzTRRnhUopz5</t>
  </si>
  <si>
    <t>3rd a</t>
  </si>
  <si>
    <t>https://maps.app.goo.gl/8QbUh24bA6L315xG6</t>
  </si>
  <si>
    <t xml:space="preserve">2nd cross </t>
  </si>
  <si>
    <t>https://maps.app.goo.gl/jA3tYHXffSsW7ksu5</t>
  </si>
  <si>
    <t xml:space="preserve">Bethur </t>
  </si>
  <si>
    <t xml:space="preserve">2nd cross A </t>
  </si>
  <si>
    <t>https://maps.app.goo.gl/XrWsn3u41Jp5Bxp38</t>
  </si>
  <si>
    <t>No Gutter</t>
  </si>
  <si>
    <t>https://maps.app.goo.gl/ar7uUtHJ32dx5EsF6</t>
  </si>
  <si>
    <t xml:space="preserve">1st cross A </t>
  </si>
  <si>
    <t>https://maps.app.goo.gl/Kw8x57je4YsLp3RJ7</t>
  </si>
  <si>
    <t>https://maps.app.goo.gl/yN8y5eyxnjC96bjb8</t>
  </si>
  <si>
    <t xml:space="preserve">Maganahalli road </t>
  </si>
  <si>
    <t>https://maps.app.goo.gl/K2vdEjG49kCJZ4Gk7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</si>
</sst>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color rgb="FF274E13"/>
      <name val="Arial"/>
    </font>
    <font/>
    <font>
      <color rgb="FFFF0000"/>
      <name val="Arial"/>
    </font>
    <font>
      <color rgb="FF7F6000"/>
      <name val="Arial"/>
    </font>
    <font>
      <color rgb="FF0000FF"/>
      <name val="Arial"/>
    </font>
    <font>
      <color rgb="FF20124D"/>
      <name val="Arial"/>
    </font>
    <font>
      <color rgb="FFB45F06"/>
      <name val="Arial"/>
    </font>
    <font>
      <b/>
      <color rgb="FFFFFFFF"/>
      <name val="Arial"/>
    </font>
    <font>
      <color rgb="FF073763"/>
      <name val="Arial"/>
    </font>
    <font>
      <color rgb="FF990000"/>
      <name val="Arial"/>
    </font>
    <font>
      <color rgb="FF38761D"/>
      <name val="Arial"/>
    </font>
    <font>
      <u/>
      <color rgb="FF0000FF"/>
      <name val="Roboto"/>
    </font>
    <font>
      <color rgb="FF274E13"/>
      <name val="Roboto"/>
    </font>
    <font>
      <color rgb="FFB45F06"/>
      <name val="Arial"/>
      <scheme val="minor"/>
    </font>
    <font>
      <color rgb="FF274E13"/>
      <name val="Arial"/>
      <scheme val="minor"/>
    </font>
    <font>
      <color rgb="FF351C75"/>
      <name val="Roboto"/>
    </font>
    <font>
      <color rgb="FF38761D"/>
      <name val="Arial"/>
      <scheme val="minor"/>
    </font>
    <font>
      <color rgb="FFFF9900"/>
      <name val="Roboto"/>
    </font>
    <font>
      <color rgb="FF20124D"/>
      <name val="Arial"/>
      <scheme val="minor"/>
    </font>
    <font>
      <color rgb="FFCC0000"/>
      <name val="Roboto"/>
    </font>
    <font>
      <color rgb="FF0000FF"/>
      <name val="Roboto"/>
    </font>
    <font>
      <color rgb="FFFF0000"/>
      <name val="Arial"/>
      <scheme val="minor"/>
    </font>
    <font>
      <color rgb="FF1C4587"/>
      <name val="Arial"/>
    </font>
    <font>
      <color rgb="FF666666"/>
      <name val="Arial"/>
    </font>
    <font>
      <color rgb="FF9900FF"/>
      <name val="Arial"/>
    </font>
    <font>
      <color rgb="FF783F04"/>
      <name val="Arial"/>
    </font>
    <font>
      <color rgb="FFFF0000"/>
      <name val="Roboto"/>
    </font>
    <font>
      <color rgb="FF0000FF"/>
      <name val="Arial"/>
      <scheme val="minor"/>
    </font>
    <font>
      <color rgb="FF351C75"/>
      <name val="Arial"/>
      <scheme val="minor"/>
    </font>
    <font>
      <color rgb="FFFF9900"/>
      <name val="Arial"/>
      <scheme val="minor"/>
    </font>
    <font>
      <color rgb="FFCC0000"/>
      <name val="Arial"/>
      <scheme val="minor"/>
    </font>
    <font>
      <color rgb="FF073763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2" fontId="2" numFmtId="0" xfId="0" applyFill="1" applyFont="1"/>
    <xf borderId="0" fillId="2" fontId="3" numFmtId="0" xfId="0" applyAlignment="1" applyFont="1">
      <alignment shrinkToFit="0" textRotation="0" wrapText="1"/>
    </xf>
    <xf borderId="0" fillId="2" fontId="3" numFmtId="0" xfId="0" applyAlignment="1" applyFont="1">
      <alignment textRotation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164" xfId="0" applyAlignment="1" applyFont="1" applyNumberFormat="1">
      <alignment horizontal="right" textRotation="0" vertical="bottom"/>
    </xf>
    <xf borderId="1" fillId="2" fontId="2" numFmtId="0" xfId="0" applyBorder="1" applyFont="1"/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0" fontId="2" numFmtId="0" xfId="0" applyFont="1"/>
    <xf borderId="5" fillId="0" fontId="2" numFmtId="0" xfId="0" applyAlignment="1" applyBorder="1" applyFont="1">
      <alignment horizontal="center" textRotation="90"/>
    </xf>
    <xf borderId="5" fillId="3" fontId="2" numFmtId="0" xfId="0" applyAlignment="1" applyBorder="1" applyFill="1" applyFont="1">
      <alignment horizontal="center" shrinkToFit="0" textRotation="90" wrapText="1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7" fillId="0" fontId="5" numFmtId="0" xfId="0" applyBorder="1" applyFont="1"/>
    <xf borderId="7" fillId="4" fontId="5" numFmtId="0" xfId="0" applyBorder="1" applyFill="1" applyFont="1"/>
    <xf borderId="1" fillId="4" fontId="6" numFmtId="0" xfId="0" applyAlignment="1" applyBorder="1" applyFont="1">
      <alignment vertical="bottom"/>
    </xf>
    <xf borderId="1" fillId="4" fontId="4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6" fillId="3" fontId="5" numFmtId="0" xfId="0" applyBorder="1" applyFont="1"/>
    <xf borderId="8" fillId="3" fontId="7" numFmtId="0" xfId="0" applyAlignment="1" applyBorder="1" applyFont="1">
      <alignment vertical="bottom"/>
    </xf>
    <xf borderId="8" fillId="3" fontId="4" numFmtId="0" xfId="0" applyAlignment="1" applyBorder="1" applyFont="1">
      <alignment horizontal="right"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shrinkToFit="0" textRotation="90" wrapText="1"/>
    </xf>
    <xf borderId="6" fillId="5" fontId="8" numFmtId="0" xfId="0" applyAlignment="1" applyBorder="1" applyFill="1" applyFont="1">
      <alignment vertical="bottom"/>
    </xf>
    <xf borderId="6" fillId="3" fontId="4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6" fontId="9" numFmtId="0" xfId="0" applyAlignment="1" applyBorder="1" applyFill="1" applyFont="1">
      <alignment vertical="bottom"/>
    </xf>
    <xf borderId="1" fillId="3" fontId="4" numFmtId="0" xfId="0" applyAlignment="1" applyBorder="1" applyFont="1">
      <alignment horizontal="right" vertical="bottom"/>
    </xf>
    <xf borderId="7" fillId="3" fontId="5" numFmtId="0" xfId="0" applyBorder="1" applyFont="1"/>
    <xf borderId="1" fillId="7" fontId="10" numFmtId="0" xfId="0" applyAlignment="1" applyBorder="1" applyFill="1" applyFont="1">
      <alignment vertical="bottom"/>
    </xf>
    <xf borderId="0" fillId="8" fontId="11" numFmtId="0" xfId="0" applyAlignment="1" applyFill="1" applyFont="1">
      <alignment readingOrder="0" vertical="bottom"/>
    </xf>
    <xf borderId="0" fillId="8" fontId="2" numFmtId="0" xfId="0" applyAlignment="1" applyFont="1">
      <alignment vertical="bottom"/>
    </xf>
    <xf borderId="6" fillId="4" fontId="5" numFmtId="0" xfId="0" applyBorder="1" applyFont="1"/>
    <xf borderId="8" fillId="9" fontId="4" numFmtId="0" xfId="0" applyAlignment="1" applyBorder="1" applyFill="1" applyFont="1">
      <alignment vertical="bottom"/>
    </xf>
    <xf borderId="8" fillId="3" fontId="4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10" fillId="10" fontId="2" numFmtId="0" xfId="0" applyAlignment="1" applyBorder="1" applyFill="1" applyFont="1">
      <alignment vertical="bottom"/>
    </xf>
    <xf borderId="11" fillId="10" fontId="11" numFmtId="0" xfId="0" applyAlignment="1" applyBorder="1" applyFont="1">
      <alignment horizontal="center" vertical="bottom"/>
    </xf>
    <xf borderId="12" fillId="0" fontId="5" numFmtId="0" xfId="0" applyBorder="1" applyFont="1"/>
    <xf borderId="7" fillId="0" fontId="2" numFmtId="0" xfId="0" applyAlignment="1" applyBorder="1" applyFont="1">
      <alignment horizontal="center" shrinkToFit="0" textRotation="90" wrapText="1"/>
    </xf>
    <xf borderId="13" fillId="0" fontId="5" numFmtId="0" xfId="0" applyBorder="1" applyFont="1"/>
    <xf borderId="6" fillId="9" fontId="4" numFmtId="0" xfId="0" applyAlignment="1" applyBorder="1" applyFont="1">
      <alignment vertical="bottom"/>
    </xf>
    <xf borderId="10" fillId="10" fontId="11" numFmtId="0" xfId="0" applyAlignment="1" applyBorder="1" applyFont="1">
      <alignment horizontal="center" vertical="bottom"/>
    </xf>
    <xf borderId="11" fillId="11" fontId="11" numFmtId="0" xfId="0" applyAlignment="1" applyBorder="1" applyFill="1" applyFont="1">
      <alignment horizontal="center" vertical="bottom"/>
    </xf>
    <xf borderId="12" fillId="11" fontId="2" numFmtId="0" xfId="0" applyAlignment="1" applyBorder="1" applyFont="1">
      <alignment vertical="bottom"/>
    </xf>
    <xf borderId="13" fillId="11" fontId="2" numFmtId="0" xfId="0" applyAlignment="1" applyBorder="1" applyFont="1">
      <alignment vertical="bottom"/>
    </xf>
    <xf borderId="11" fillId="12" fontId="11" numFmtId="0" xfId="0" applyAlignment="1" applyBorder="1" applyFill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11" fillId="13" fontId="11" numFmtId="0" xfId="0" applyAlignment="1" applyBorder="1" applyFill="1" applyFont="1">
      <alignment horizontal="center" vertical="bottom"/>
    </xf>
    <xf borderId="1" fillId="7" fontId="10" numFmtId="0" xfId="0" applyAlignment="1" applyBorder="1" applyFont="1">
      <alignment vertical="bottom"/>
    </xf>
    <xf borderId="11" fillId="14" fontId="11" numFmtId="0" xfId="0" applyAlignment="1" applyBorder="1" applyFill="1" applyFont="1">
      <alignment horizontal="center" vertical="bottom"/>
    </xf>
    <xf borderId="11" fillId="15" fontId="11" numFmtId="0" xfId="0" applyAlignment="1" applyBorder="1" applyFill="1" applyFont="1">
      <alignment horizontal="center" vertical="bottom"/>
    </xf>
    <xf borderId="14" fillId="10" fontId="11" numFmtId="0" xfId="0" applyAlignment="1" applyBorder="1" applyFont="1">
      <alignment horizontal="center"/>
    </xf>
    <xf borderId="11" fillId="16" fontId="11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11" fillId="17" fontId="11" numFmtId="0" xfId="0" applyAlignment="1" applyBorder="1" applyFill="1" applyFont="1">
      <alignment horizontal="center" vertical="bottom"/>
    </xf>
    <xf borderId="11" fillId="18" fontId="11" numFmtId="0" xfId="0" applyAlignment="1" applyBorder="1" applyFill="1" applyFont="1">
      <alignment horizontal="center" vertical="bottom"/>
    </xf>
    <xf borderId="14" fillId="10" fontId="11" numFmtId="0" xfId="0" applyAlignment="1" applyBorder="1" applyFont="1">
      <alignment horizontal="center" vertical="bottom"/>
    </xf>
    <xf borderId="15" fillId="10" fontId="11" numFmtId="0" xfId="0" applyAlignment="1" applyBorder="1" applyFont="1">
      <alignment horizontal="center" vertical="bottom"/>
    </xf>
    <xf borderId="16" fillId="10" fontId="2" numFmtId="0" xfId="0" applyAlignment="1" applyBorder="1" applyFont="1">
      <alignment vertical="bottom"/>
    </xf>
    <xf borderId="15" fillId="0" fontId="5" numFmtId="0" xfId="0" applyBorder="1" applyFont="1"/>
    <xf borderId="1" fillId="19" fontId="12" numFmtId="0" xfId="0" applyAlignment="1" applyBorder="1" applyFill="1" applyFont="1">
      <alignment vertical="bottom"/>
    </xf>
    <xf borderId="6" fillId="0" fontId="5" numFmtId="0" xfId="0" applyBorder="1" applyFont="1"/>
    <xf borderId="17" fillId="20" fontId="13" numFmtId="0" xfId="0" applyAlignment="1" applyBorder="1" applyFill="1" applyFont="1">
      <alignment vertical="bottom"/>
    </xf>
    <xf borderId="17" fillId="3" fontId="4" numFmtId="0" xfId="0" applyAlignment="1" applyBorder="1" applyFont="1">
      <alignment horizontal="right" vertical="bottom"/>
    </xf>
    <xf borderId="17" fillId="0" fontId="2" numFmtId="0" xfId="0" applyAlignment="1" applyBorder="1" applyFont="1">
      <alignment vertical="bottom"/>
    </xf>
    <xf borderId="17" fillId="0" fontId="2" numFmtId="0" xfId="0" applyAlignment="1" applyBorder="1" applyFont="1">
      <alignment horizontal="right" vertical="bottom"/>
    </xf>
    <xf borderId="17" fillId="0" fontId="2" numFmtId="0" xfId="0" applyAlignment="1" applyBorder="1" applyFont="1">
      <alignment horizontal="center" vertical="bottom"/>
    </xf>
    <xf borderId="18" fillId="0" fontId="2" numFmtId="0" xfId="0" applyAlignment="1" applyBorder="1" applyFont="1">
      <alignment horizontal="center" textRotation="90"/>
    </xf>
    <xf borderId="18" fillId="4" fontId="2" numFmtId="0" xfId="0" applyAlignment="1" applyBorder="1" applyFont="1">
      <alignment horizontal="center" shrinkToFit="0" textRotation="90" wrapText="1"/>
    </xf>
    <xf borderId="19" fillId="9" fontId="14" numFmtId="0" xfId="0" applyAlignment="1" applyBorder="1" applyFont="1">
      <alignment vertical="bottom"/>
    </xf>
    <xf borderId="19" fillId="3" fontId="4" numFmtId="0" xfId="0" applyAlignment="1" applyBorder="1" applyFont="1">
      <alignment horizontal="right" vertical="bottom"/>
    </xf>
    <xf borderId="19" fillId="0" fontId="2" numFmtId="0" xfId="0" applyAlignment="1" applyBorder="1" applyFont="1">
      <alignment vertical="bottom"/>
    </xf>
    <xf borderId="1" fillId="0" fontId="15" numFmtId="0" xfId="0" applyAlignment="1" applyBorder="1" applyFont="1">
      <alignment readingOrder="0" shrinkToFit="0" vertical="center" wrapText="0"/>
    </xf>
    <xf borderId="1" fillId="9" fontId="16" numFmtId="0" xfId="0" applyAlignment="1" applyBorder="1" applyFont="1">
      <alignment shrinkToFit="0" vertical="center" wrapText="0"/>
    </xf>
    <xf borderId="1" fillId="7" fontId="17" numFmtId="0" xfId="0" applyAlignment="1" applyBorder="1" applyFont="1">
      <alignment readingOrder="0" shrinkToFit="0" vertical="center" wrapText="0"/>
    </xf>
    <xf borderId="19" fillId="0" fontId="2" numFmtId="0" xfId="0" applyAlignment="1" applyBorder="1" applyFont="1">
      <alignment horizontal="right" vertical="bottom"/>
    </xf>
    <xf borderId="1" fillId="9" fontId="18" numFmtId="0" xfId="0" applyAlignment="1" applyBorder="1" applyFont="1">
      <alignment readingOrder="0" shrinkToFit="0" vertical="center" wrapText="0"/>
    </xf>
    <xf borderId="2" fillId="7" fontId="17" numFmtId="0" xfId="0" applyAlignment="1" applyBorder="1" applyFont="1">
      <alignment readingOrder="0" shrinkToFit="0" vertical="center" wrapText="0"/>
    </xf>
    <xf borderId="1" fillId="21" fontId="14" numFmtId="0" xfId="0" applyAlignment="1" applyBorder="1" applyFill="1" applyFont="1">
      <alignment vertical="bottom"/>
    </xf>
    <xf borderId="3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17" fontId="4" numFmtId="0" xfId="0" applyAlignment="1" applyBorder="1" applyFont="1">
      <alignment vertical="bottom"/>
    </xf>
    <xf borderId="4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vertical="bottom"/>
    </xf>
    <xf borderId="3" fillId="6" fontId="19" numFmtId="0" xfId="0" applyAlignment="1" applyBorder="1" applyFont="1">
      <alignment shrinkToFit="0" vertical="center" wrapText="0"/>
    </xf>
    <xf borderId="1" fillId="9" fontId="20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20" fontId="21" numFmtId="0" xfId="0" applyAlignment="1" applyBorder="1" applyFont="1">
      <alignment readingOrder="0" shrinkToFit="0" vertical="center" wrapText="0"/>
    </xf>
    <xf borderId="4" fillId="20" fontId="21" numFmtId="0" xfId="0" applyAlignment="1" applyBorder="1" applyFont="1">
      <alignment shrinkToFit="0" vertical="center" wrapText="0"/>
    </xf>
    <xf borderId="3" fillId="9" fontId="18" numFmtId="0" xfId="0" applyAlignment="1" applyBorder="1" applyFont="1">
      <alignment readingOrder="0" shrinkToFit="0" vertical="center" wrapText="0"/>
    </xf>
    <xf borderId="2" fillId="20" fontId="21" numFmtId="0" xfId="0" applyAlignment="1" applyBorder="1" applyFont="1">
      <alignment readingOrder="0" shrinkToFit="0" vertical="center" wrapText="0"/>
    </xf>
    <xf borderId="3" fillId="9" fontId="20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vertical="bottom"/>
    </xf>
    <xf borderId="3" fillId="6" fontId="22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16" fillId="0" fontId="5" numFmtId="0" xfId="0" applyBorder="1" applyFont="1"/>
    <xf borderId="16" fillId="10" fontId="11" numFmtId="0" xfId="0" applyAlignment="1" applyBorder="1" applyFont="1">
      <alignment horizontal="center" vertical="bottom"/>
    </xf>
    <xf borderId="15" fillId="10" fontId="11" numFmtId="0" xfId="0" applyAlignment="1" applyBorder="1" applyFont="1">
      <alignment horizontal="center"/>
    </xf>
    <xf borderId="14" fillId="10" fontId="2" numFmtId="0" xfId="0" applyAlignment="1" applyBorder="1" applyFont="1">
      <alignment vertical="bottom"/>
    </xf>
    <xf borderId="4" fillId="22" fontId="23" numFmtId="0" xfId="0" applyAlignment="1" applyBorder="1" applyFill="1" applyFont="1">
      <alignment shrinkToFit="0" vertical="center" wrapText="0"/>
    </xf>
    <xf borderId="3" fillId="5" fontId="24" numFmtId="0" xfId="0" applyAlignment="1" applyBorder="1" applyFont="1">
      <alignment shrinkToFit="0" vertical="center" wrapText="0"/>
    </xf>
    <xf borderId="1" fillId="5" fontId="24" numFmtId="0" xfId="0" applyAlignment="1" applyBorder="1" applyFont="1">
      <alignment shrinkToFit="0" vertical="center" wrapText="0"/>
    </xf>
    <xf borderId="1" fillId="22" fontId="25" numFmtId="0" xfId="0" applyAlignment="1" applyBorder="1" applyFont="1">
      <alignment readingOrder="0" shrinkToFit="0" vertical="center" wrapText="0"/>
    </xf>
    <xf borderId="1" fillId="22" fontId="6" numFmtId="0" xfId="0" applyAlignment="1" applyBorder="1" applyFont="1">
      <alignment vertical="bottom"/>
    </xf>
    <xf borderId="1" fillId="19" fontId="26" numFmtId="0" xfId="0" applyAlignment="1" applyBorder="1" applyFont="1">
      <alignment vertical="bottom"/>
    </xf>
    <xf borderId="1" fillId="23" fontId="6" numFmtId="0" xfId="0" applyAlignment="1" applyBorder="1" applyFill="1" applyFont="1">
      <alignment vertical="bottom"/>
    </xf>
    <xf borderId="8" fillId="24" fontId="27" numFmtId="0" xfId="0" applyAlignment="1" applyBorder="1" applyFill="1" applyFont="1">
      <alignment vertical="bottom"/>
    </xf>
    <xf borderId="9" fillId="3" fontId="2" numFmtId="0" xfId="0" applyAlignment="1" applyBorder="1" applyFont="1">
      <alignment horizontal="center" shrinkToFit="0" textRotation="90" wrapText="1"/>
    </xf>
    <xf borderId="6" fillId="3" fontId="4" numFmtId="0" xfId="0" applyAlignment="1" applyBorder="1" applyFont="1">
      <alignment vertical="bottom"/>
    </xf>
    <xf borderId="1" fillId="6" fontId="19" numFmtId="0" xfId="0" applyAlignment="1" applyBorder="1" applyFont="1">
      <alignment shrinkToFit="0" vertical="center" wrapText="0"/>
    </xf>
    <xf borderId="1" fillId="20" fontId="21" numFmtId="0" xfId="0" applyAlignment="1" applyBorder="1" applyFont="1">
      <alignment shrinkToFit="0" vertical="center" wrapText="0"/>
    </xf>
    <xf borderId="1" fillId="6" fontId="22" numFmtId="0" xfId="0" applyAlignment="1" applyBorder="1" applyFont="1">
      <alignment readingOrder="0" shrinkToFit="0" vertical="center" wrapText="0"/>
    </xf>
    <xf borderId="6" fillId="4" fontId="4" numFmtId="0" xfId="0" applyAlignment="1" applyBorder="1" applyFont="1">
      <alignment horizontal="right" vertical="bottom"/>
    </xf>
    <xf borderId="1" fillId="22" fontId="6" numFmtId="0" xfId="0" applyAlignment="1" applyBorder="1" applyFont="1">
      <alignment vertical="bottom"/>
    </xf>
    <xf borderId="1" fillId="3" fontId="6" numFmtId="0" xfId="0" applyAlignment="1" applyBorder="1" applyFont="1">
      <alignment horizontal="right" vertical="bottom"/>
    </xf>
    <xf borderId="1" fillId="19" fontId="26" numFmtId="0" xfId="0" applyAlignment="1" applyBorder="1" applyFont="1">
      <alignment vertical="bottom"/>
    </xf>
    <xf borderId="1" fillId="4" fontId="26" numFmtId="0" xfId="0" applyAlignment="1" applyBorder="1" applyFont="1">
      <alignment horizontal="right" vertical="bottom"/>
    </xf>
    <xf borderId="1" fillId="6" fontId="28" numFmtId="0" xfId="0" applyAlignment="1" applyBorder="1" applyFont="1">
      <alignment vertical="bottom"/>
    </xf>
    <xf borderId="1" fillId="3" fontId="28" numFmtId="0" xfId="0" applyAlignment="1" applyBorder="1" applyFont="1">
      <alignment horizontal="right" vertical="bottom"/>
    </xf>
    <xf borderId="1" fillId="7" fontId="29" numFmtId="0" xfId="0" applyAlignment="1" applyBorder="1" applyFont="1">
      <alignment vertical="bottom"/>
    </xf>
    <xf borderId="1" fillId="4" fontId="29" numFmtId="0" xfId="0" applyAlignment="1" applyBorder="1" applyFont="1">
      <alignment horizontal="right" vertical="bottom"/>
    </xf>
    <xf borderId="17" fillId="24" fontId="27" numFmtId="0" xfId="0" applyAlignment="1" applyBorder="1" applyFont="1">
      <alignment vertical="bottom"/>
    </xf>
    <xf borderId="17" fillId="3" fontId="27" numFmtId="0" xfId="0" applyAlignment="1" applyBorder="1" applyFont="1">
      <alignment horizontal="right" vertical="bottom"/>
    </xf>
    <xf borderId="18" fillId="3" fontId="2" numFmtId="0" xfId="0" applyBorder="1" applyFont="1"/>
    <xf borderId="19" fillId="9" fontId="4" numFmtId="0" xfId="0" applyAlignment="1" applyBorder="1" applyFont="1">
      <alignment vertical="bottom"/>
    </xf>
    <xf borderId="19" fillId="4" fontId="4" numFmtId="0" xfId="0" applyAlignment="1" applyBorder="1" applyFont="1">
      <alignment horizontal="right" vertical="bottom"/>
    </xf>
    <xf borderId="19" fillId="0" fontId="2" numFmtId="0" xfId="0" applyAlignment="1" applyBorder="1" applyFont="1">
      <alignment horizontal="center" vertical="bottom"/>
    </xf>
    <xf borderId="1" fillId="19" fontId="8" numFmtId="0" xfId="0" applyAlignment="1" applyBorder="1" applyFont="1">
      <alignment vertical="bottom"/>
    </xf>
    <xf borderId="1" fillId="4" fontId="8" numFmtId="0" xfId="0" applyAlignment="1" applyBorder="1" applyFont="1">
      <alignment horizontal="right" vertical="bottom"/>
    </xf>
    <xf borderId="8" fillId="22" fontId="6" numFmtId="0" xfId="0" applyAlignment="1" applyBorder="1" applyFont="1">
      <alignment vertical="bottom"/>
    </xf>
    <xf borderId="1" fillId="22" fontId="23" numFmtId="0" xfId="0" applyAlignment="1" applyBorder="1" applyFont="1">
      <alignment shrinkToFit="0" vertical="center" wrapText="0"/>
    </xf>
    <xf borderId="8" fillId="4" fontId="6" numFmtId="0" xfId="0" applyAlignment="1" applyBorder="1" applyFont="1">
      <alignment horizontal="right" vertical="bottom"/>
    </xf>
    <xf borderId="6" fillId="9" fontId="4" numFmtId="0" xfId="0" applyAlignment="1" applyBorder="1" applyFont="1">
      <alignment vertical="bottom"/>
    </xf>
    <xf borderId="6" fillId="3" fontId="4" numFmtId="0" xfId="0" applyAlignment="1" applyBorder="1" applyFont="1">
      <alignment horizontal="right" vertical="bottom"/>
    </xf>
    <xf borderId="1" fillId="4" fontId="6" numFmtId="0" xfId="0" applyAlignment="1" applyBorder="1" applyFont="1">
      <alignment horizontal="right" vertical="bottom"/>
    </xf>
    <xf borderId="1" fillId="3" fontId="26" numFmtId="0" xfId="0" applyAlignment="1" applyBorder="1" applyFont="1">
      <alignment horizontal="right" vertical="bottom"/>
    </xf>
    <xf borderId="1" fillId="4" fontId="28" numFmtId="0" xfId="0" applyAlignment="1" applyBorder="1" applyFont="1">
      <alignment horizontal="right" vertical="bottom"/>
    </xf>
    <xf borderId="1" fillId="22" fontId="30" numFmtId="0" xfId="0" applyAlignment="1" applyBorder="1" applyFont="1">
      <alignment shrinkToFit="0" vertical="center" wrapText="0"/>
    </xf>
    <xf borderId="1" fillId="3" fontId="29" numFmtId="0" xfId="0" applyAlignment="1" applyBorder="1" applyFont="1">
      <alignment horizontal="right" vertical="bottom"/>
    </xf>
    <xf borderId="17" fillId="4" fontId="27" numFmtId="0" xfId="0" applyAlignment="1" applyBorder="1" applyFont="1">
      <alignment horizontal="right" vertical="bottom"/>
    </xf>
    <xf borderId="5" fillId="22" fontId="6" numFmtId="0" xfId="0" applyAlignment="1" applyBorder="1" applyFont="1">
      <alignment vertical="bottom"/>
    </xf>
    <xf borderId="5" fillId="3" fontId="6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center" vertical="bottom"/>
    </xf>
    <xf borderId="20" fillId="9" fontId="4" numFmtId="0" xfId="0" applyAlignment="1" applyBorder="1" applyFont="1">
      <alignment vertical="bottom"/>
    </xf>
    <xf borderId="20" fillId="4" fontId="4" numFmtId="0" xfId="0" applyAlignment="1" applyBorder="1" applyFont="1">
      <alignment horizontal="right" vertical="bottom"/>
    </xf>
    <xf borderId="20" fillId="0" fontId="2" numFmtId="0" xfId="0" applyAlignment="1" applyBorder="1" applyFont="1">
      <alignment vertical="bottom"/>
    </xf>
    <xf borderId="20" fillId="0" fontId="2" numFmtId="0" xfId="0" applyAlignment="1" applyBorder="1" applyFont="1">
      <alignment horizontal="right" vertical="bottom"/>
    </xf>
    <xf borderId="20" fillId="0" fontId="2" numFmtId="0" xfId="0" applyAlignment="1" applyBorder="1" applyFont="1">
      <alignment horizontal="center" vertical="bottom"/>
    </xf>
    <xf borderId="1" fillId="20" fontId="13" numFmtId="0" xfId="0" applyAlignment="1" applyBorder="1" applyFont="1">
      <alignment vertical="bottom"/>
    </xf>
    <xf borderId="1" fillId="3" fontId="13" numFmtId="0" xfId="0" applyAlignment="1" applyBorder="1" applyFont="1">
      <alignment horizontal="right" vertical="bottom"/>
    </xf>
    <xf borderId="5" fillId="19" fontId="8" numFmtId="0" xfId="0" applyAlignment="1" applyBorder="1" applyFont="1">
      <alignment vertical="bottom"/>
    </xf>
    <xf borderId="5" fillId="3" fontId="8" numFmtId="0" xfId="0" applyAlignment="1" applyBorder="1" applyFont="1">
      <alignment horizontal="right" vertical="bottom"/>
    </xf>
    <xf borderId="1" fillId="23" fontId="25" numFmtId="0" xfId="0" applyAlignment="1" applyBorder="1" applyFont="1">
      <alignment readingOrder="0" shrinkToFit="0" vertical="center" wrapText="0"/>
    </xf>
    <xf borderId="18" fillId="3" fontId="2" numFmtId="0" xfId="0" applyAlignment="1" applyBorder="1" applyFont="1">
      <alignment horizontal="center" shrinkToFit="0" textRotation="90" wrapText="1"/>
    </xf>
    <xf borderId="5" fillId="4" fontId="6" numFmtId="0" xfId="0" applyAlignment="1" applyBorder="1" applyFont="1">
      <alignment horizontal="right" vertical="bottom"/>
    </xf>
    <xf borderId="9" fillId="4" fontId="2" numFmtId="0" xfId="0" applyAlignment="1" applyBorder="1" applyFont="1">
      <alignment horizontal="center" shrinkToFit="0" textRotation="90" wrapText="1"/>
    </xf>
    <xf borderId="20" fillId="3" fontId="4" numFmtId="0" xfId="0" applyAlignment="1" applyBorder="1" applyFont="1">
      <alignment horizontal="right" vertical="bottom"/>
    </xf>
    <xf borderId="21" fillId="7" fontId="10" numFmtId="0" xfId="0" applyAlignment="1" applyBorder="1" applyFont="1">
      <alignment vertical="bottom"/>
    </xf>
    <xf borderId="19" fillId="3" fontId="10" numFmtId="0" xfId="0" applyAlignment="1" applyBorder="1" applyFont="1">
      <alignment horizontal="right" vertical="bottom"/>
    </xf>
    <xf borderId="22" fillId="9" fontId="4" numFmtId="0" xfId="0" applyAlignment="1" applyBorder="1" applyFont="1">
      <alignment vertical="bottom"/>
    </xf>
    <xf borderId="22" fillId="19" fontId="8" numFmtId="0" xfId="0" applyAlignment="1" applyBorder="1" applyFont="1">
      <alignment vertical="bottom"/>
    </xf>
    <xf borderId="1" fillId="3" fontId="8" numFmtId="0" xfId="0" applyAlignment="1" applyBorder="1" applyFont="1">
      <alignment horizontal="right" vertical="bottom"/>
    </xf>
    <xf borderId="0" fillId="4" fontId="2" numFmtId="0" xfId="0" applyFont="1"/>
    <xf borderId="1" fillId="5" fontId="31" numFmtId="0" xfId="0" applyAlignment="1" applyBorder="1" applyFont="1">
      <alignment readingOrder="0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Font="1"/>
    <xf borderId="1" fillId="6" fontId="32" numFmtId="0" xfId="0" applyAlignment="1" applyBorder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Font="1"/>
    <xf borderId="1" fillId="9" fontId="16" numFmtId="0" xfId="0" applyAlignment="1" applyBorder="1" applyFont="1">
      <alignment readingOrder="0" shrinkToFit="0" vertical="center" wrapText="0"/>
    </xf>
    <xf borderId="1" fillId="7" fontId="33" numFmtId="0" xfId="0" applyAlignment="1" applyBorder="1" applyFont="1">
      <alignment readingOrder="0"/>
    </xf>
    <xf borderId="0" fillId="3" fontId="2" numFmtId="0" xfId="0" applyFont="1"/>
    <xf borderId="1" fillId="20" fontId="34" numFmtId="0" xfId="0" applyAlignment="1" applyBorder="1" applyFont="1">
      <alignment readingOrder="0"/>
    </xf>
    <xf borderId="1" fillId="23" fontId="25" numFmtId="0" xfId="0" applyAlignment="1" applyBorder="1" applyFont="1">
      <alignment readingOrder="0"/>
    </xf>
    <xf borderId="0" fillId="2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23" fontId="1" numFmtId="0" xfId="0" applyAlignment="1" applyBorder="1" applyFont="1">
      <alignment shrinkToFit="0" vertical="center" wrapText="0"/>
    </xf>
    <xf borderId="1" fillId="22" fontId="23" numFmtId="0" xfId="0" applyAlignment="1" applyBorder="1" applyFont="1">
      <alignment readingOrder="0" shrinkToFit="0" vertical="center" wrapText="0"/>
    </xf>
    <xf borderId="1" fillId="5" fontId="31" numFmtId="0" xfId="0" applyAlignment="1" applyBorder="1" applyFont="1">
      <alignment readingOrder="0" shrinkToFit="0" vertical="center" wrapText="0"/>
    </xf>
    <xf borderId="1" fillId="25" fontId="20" numFmtId="0" xfId="0" applyAlignment="1" applyBorder="1" applyFill="1" applyFont="1">
      <alignment readingOrder="0" shrinkToFit="0" vertical="center" wrapText="0"/>
    </xf>
    <xf borderId="1" fillId="19" fontId="35" numFmtId="0" xfId="0" applyAlignment="1" applyBorder="1" applyFont="1">
      <alignment readingOrder="0" shrinkToFit="0" vertical="center" wrapText="0"/>
    </xf>
    <xf borderId="1" fillId="26" fontId="1" numFmtId="0" xfId="0" applyAlignment="1" applyBorder="1" applyFill="1" applyFont="1">
      <alignment readingOrder="0" shrinkToFit="0" vertical="center" wrapText="0"/>
    </xf>
    <xf borderId="1" fillId="27" fontId="1" numFmtId="0" xfId="0" applyAlignment="1" applyBorder="1" applyFill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2" fontId="30" numFmtId="0" xfId="0" applyAlignment="1" applyBorder="1" applyFont="1">
      <alignment shrinkToFit="0" vertical="center" wrapText="0"/>
    </xf>
    <xf borderId="1" fillId="7" fontId="17" numFmtId="0" xfId="0" applyAlignment="1" applyBorder="1" applyFont="1">
      <alignment readingOrder="0" shrinkToFit="0" vertical="center" wrapText="0"/>
    </xf>
    <xf borderId="1" fillId="9" fontId="18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S-style">
      <tableStyleElement dxfId="2" type="firstRowStripe"/>
      <tableStyleElement dxfId="3" type="secondRowStripe"/>
    </tableStyle>
    <tableStyle count="2" pivot="0" name="DS-style 2">
      <tableStyleElement dxfId="3" type="firstRowStripe"/>
      <tableStyleElement dxfId="2" type="secondRowStripe"/>
    </tableStyle>
    <tableStyle count="2" pivot="0" name="DS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6ed0cc08-77b3-494e-ada4-e7d4a0cc058a}" providerId="google-sheets"/>
</x18tc:personList>
</file>

<file path=xl/tables/table1.xml><?xml version="1.0" encoding="utf-8"?>
<table xmlns="http://schemas.openxmlformats.org/spreadsheetml/2006/main" ref="A1:BE58" displayName="Form_Responses" name="Form_Responses" id="1">
  <tableColumns count="57">
    <tableColumn name="Column 57" id="1"/>
    <tableColumn name="Timestamp" id="2"/>
    <tableColumn name="Email address" id="3"/>
    <tableColumn name="Surveyor Name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12:D13" displayName="Table_1" name="Table_1" id="2">
  <tableColumns count="1">
    <tableColumn name="Column1" id="1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D36:E71" displayName="Table_2" name="Table_2" id="3">
  <tableColumns count="2">
    <tableColumn name="Column1" id="1"/>
    <tableColumn name="Column2" id="2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D73:E85" displayName="Table_3" name="Table_3" id="4">
  <tableColumns count="2">
    <tableColumn name="Column1" id="1"/>
    <tableColumn name="Column2" id="2"/>
  </tableColumns>
  <tableStyleInfo name="D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E2" dT="2026-07-25T13:17:02.00" personId="{6ed0cc08-77b3-494e-ada4-e7d4a0cc058a}" id="{dcebce31-79e7-4f02-b9ad-190ce2b89b8a}" done="0">
    <x18tc:text xml:space="preserve">Partialy complete can also be an option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MSpzmoNbZgB14viw8?g_st=aw" TargetMode="External"/><Relationship Id="rId42" Type="http://schemas.openxmlformats.org/officeDocument/2006/relationships/hyperlink" Target="https://maps.app.goo.gl/VW3CbZa9pUzgDG3A8" TargetMode="External"/><Relationship Id="rId41" Type="http://schemas.openxmlformats.org/officeDocument/2006/relationships/hyperlink" Target="https://maps.app.goo.gl/R2bSuxWYm5UZaPfM9" TargetMode="External"/><Relationship Id="rId44" Type="http://schemas.openxmlformats.org/officeDocument/2006/relationships/hyperlink" Target="https://maps.app.goo.gl/qYjU5Mw4dfXqufrSA" TargetMode="External"/><Relationship Id="rId43" Type="http://schemas.openxmlformats.org/officeDocument/2006/relationships/hyperlink" Target="https://maps.app.goo.gl/JjVhY46AxSQtJNyd7" TargetMode="External"/><Relationship Id="rId46" Type="http://schemas.openxmlformats.org/officeDocument/2006/relationships/hyperlink" Target="https://maps.app.goo.gl/pY7ebH4Ncj9KdPfv7" TargetMode="External"/><Relationship Id="rId45" Type="http://schemas.openxmlformats.org/officeDocument/2006/relationships/hyperlink" Target="https://maps.app.goo.gl/wYiJQF8J2JwetLK3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b1AxsUbEjTy6Qw2aA" TargetMode="External"/><Relationship Id="rId9" Type="http://schemas.openxmlformats.org/officeDocument/2006/relationships/hyperlink" Target="https://maps.app.goo.gl/Z4xYKAn8Amn2LcKo9" TargetMode="External"/><Relationship Id="rId48" Type="http://schemas.openxmlformats.org/officeDocument/2006/relationships/hyperlink" Target="https://maps.app.goo.gl/bRw1d9Zms7Zj1Q7a9" TargetMode="External"/><Relationship Id="rId47" Type="http://schemas.openxmlformats.org/officeDocument/2006/relationships/hyperlink" Target="https://maps.app.goo.gl/DhRu5pRdnhxovC9o8" TargetMode="External"/><Relationship Id="rId49" Type="http://schemas.openxmlformats.org/officeDocument/2006/relationships/hyperlink" Target="https://maps.app.goo.gl/VvHeaibF7rXAGQK48" TargetMode="External"/><Relationship Id="rId5" Type="http://schemas.openxmlformats.org/officeDocument/2006/relationships/hyperlink" Target="https://maps.app.goo.gl/NEJebwwc8rkr5ACC7?g_st=ac" TargetMode="External"/><Relationship Id="rId6" Type="http://schemas.openxmlformats.org/officeDocument/2006/relationships/hyperlink" Target="https://maps.app.goo.gl/AJnhQJDLmpLWgCko9" TargetMode="External"/><Relationship Id="rId7" Type="http://schemas.openxmlformats.org/officeDocument/2006/relationships/hyperlink" Target="https://maps.app.goo.gl/GLiUSL72rP4E1hzA7?g_st=ac" TargetMode="External"/><Relationship Id="rId8" Type="http://schemas.openxmlformats.org/officeDocument/2006/relationships/hyperlink" Target="https://maps.app.goo.gl/GHQod85dWyVpGha6A" TargetMode="External"/><Relationship Id="rId31" Type="http://schemas.openxmlformats.org/officeDocument/2006/relationships/hyperlink" Target="https://maps.app.goo.gl/eKRis6XuywAxbicw7?g_st=ac" TargetMode="External"/><Relationship Id="rId30" Type="http://schemas.openxmlformats.org/officeDocument/2006/relationships/hyperlink" Target="https://maps.app.goo.gl/bfMfHDz36F1ARswJA?g_st=ac" TargetMode="External"/><Relationship Id="rId33" Type="http://schemas.openxmlformats.org/officeDocument/2006/relationships/hyperlink" Target="https://maps.app.goo.gl/s3rabKBLHaWpSEfz8" TargetMode="External"/><Relationship Id="rId32" Type="http://schemas.openxmlformats.org/officeDocument/2006/relationships/hyperlink" Target="https://maps.app.goo.gl/JnpkbNxWy1BuX1z86" TargetMode="External"/><Relationship Id="rId35" Type="http://schemas.openxmlformats.org/officeDocument/2006/relationships/hyperlink" Target="https://maps.app.goo.gl/RpL716YgYPmpasVs6" TargetMode="External"/><Relationship Id="rId34" Type="http://schemas.openxmlformats.org/officeDocument/2006/relationships/hyperlink" Target="https://maps.app.goo.gl/knv44FdizD2TU2hX8" TargetMode="External"/><Relationship Id="rId37" Type="http://schemas.openxmlformats.org/officeDocument/2006/relationships/hyperlink" Target="https://maps.app.goo.gl/cbuB65ZYjYq8cJmk7" TargetMode="External"/><Relationship Id="rId36" Type="http://schemas.openxmlformats.org/officeDocument/2006/relationships/hyperlink" Target="https://maps.app.goo.gl/zzevyvduroMAsdqy8" TargetMode="External"/><Relationship Id="rId39" Type="http://schemas.openxmlformats.org/officeDocument/2006/relationships/hyperlink" Target="https://maps.app.goo.gl/P53ks5dnArfBq6BZ6" TargetMode="External"/><Relationship Id="rId38" Type="http://schemas.openxmlformats.org/officeDocument/2006/relationships/hyperlink" Target="https://maps.app.goo.gl/xfYXth7KJSQSfiJb8?g_st=aw" TargetMode="External"/><Relationship Id="rId61" Type="http://schemas.openxmlformats.org/officeDocument/2006/relationships/vmlDrawing" Target="../drawings/vmlDrawing1.vml"/><Relationship Id="rId20" Type="http://schemas.openxmlformats.org/officeDocument/2006/relationships/hyperlink" Target="https://maps.app.goo.gl/UrqPgvfYP8ePuMz46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maps.app.goo.gl/LGcgHfAU7zZndMtSA" TargetMode="External"/><Relationship Id="rId21" Type="http://schemas.openxmlformats.org/officeDocument/2006/relationships/hyperlink" Target="https://maps.app.goo.gl/8ZjEBhvCtWuR38Yb9" TargetMode="External"/><Relationship Id="rId24" Type="http://schemas.openxmlformats.org/officeDocument/2006/relationships/hyperlink" Target="https://maps.app.goo.gl/Jx941QLWJn6i8SYc8" TargetMode="External"/><Relationship Id="rId23" Type="http://schemas.openxmlformats.org/officeDocument/2006/relationships/hyperlink" Target="https://maps.app.goo.gl/6Vpqz1a8D9SiecYVA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maps.app.goo.gl/ACwkvVSvjhcDAzRq9?g_st=ac" TargetMode="External"/><Relationship Id="rId25" Type="http://schemas.openxmlformats.org/officeDocument/2006/relationships/hyperlink" Target="https://maps.app.goo.gl/Jx941QLWJn6i8SYc8" TargetMode="External"/><Relationship Id="rId28" Type="http://schemas.openxmlformats.org/officeDocument/2006/relationships/hyperlink" Target="https://maps.app.goo.gl/oKC271LXodYDFAtJ6" TargetMode="External"/><Relationship Id="rId27" Type="http://schemas.openxmlformats.org/officeDocument/2006/relationships/hyperlink" Target="https://maps.app.goo.gl/e8rEn6dVrs2Rvj9D9" TargetMode="External"/><Relationship Id="rId29" Type="http://schemas.openxmlformats.org/officeDocument/2006/relationships/hyperlink" Target="https://maps.app.goo.gl/hDvy6a3GKcEcxh9BA" TargetMode="External"/><Relationship Id="rId51" Type="http://schemas.openxmlformats.org/officeDocument/2006/relationships/hyperlink" Target="https://maps.app.goo.gl/MV8RveAhKnxF4Cjw5" TargetMode="External"/><Relationship Id="rId50" Type="http://schemas.openxmlformats.org/officeDocument/2006/relationships/hyperlink" Target="https://maps.app.goo.gl/ej4iJaFedzveyZ2s8" TargetMode="External"/><Relationship Id="rId53" Type="http://schemas.openxmlformats.org/officeDocument/2006/relationships/hyperlink" Target="https://maps.app.goo.gl/8QbUh24bA6L315xG6" TargetMode="External"/><Relationship Id="rId52" Type="http://schemas.openxmlformats.org/officeDocument/2006/relationships/hyperlink" Target="https://maps.app.goo.gl/DjjCDYzTRRnhUopz5" TargetMode="External"/><Relationship Id="rId11" Type="http://schemas.openxmlformats.org/officeDocument/2006/relationships/hyperlink" Target="https://maps.app.goo.gl/mJfttck93AJEFqxc8" TargetMode="External"/><Relationship Id="rId55" Type="http://schemas.openxmlformats.org/officeDocument/2006/relationships/hyperlink" Target="https://maps.app.goo.gl/XrWsn3u41Jp5Bxp38" TargetMode="External"/><Relationship Id="rId10" Type="http://schemas.openxmlformats.org/officeDocument/2006/relationships/hyperlink" Target="https://maps.app.goo.gl/c6CCK4jpntei6aaN6" TargetMode="External"/><Relationship Id="rId54" Type="http://schemas.openxmlformats.org/officeDocument/2006/relationships/hyperlink" Target="https://maps.app.goo.gl/jA3tYHXffSsW7ksu5" TargetMode="External"/><Relationship Id="rId13" Type="http://schemas.openxmlformats.org/officeDocument/2006/relationships/hyperlink" Target="https://maps.app.goo.gl/oTQevtM5t1oSQ9cf9" TargetMode="External"/><Relationship Id="rId57" Type="http://schemas.openxmlformats.org/officeDocument/2006/relationships/hyperlink" Target="https://maps.app.goo.gl/Kw8x57je4YsLp3RJ7" TargetMode="External"/><Relationship Id="rId12" Type="http://schemas.openxmlformats.org/officeDocument/2006/relationships/hyperlink" Target="https://maps.app.goo.gl/dS3nk9Van3Kv1utV7" TargetMode="External"/><Relationship Id="rId56" Type="http://schemas.openxmlformats.org/officeDocument/2006/relationships/hyperlink" Target="https://maps.app.goo.gl/ar7uUtHJ32dx5EsF6" TargetMode="External"/><Relationship Id="rId15" Type="http://schemas.openxmlformats.org/officeDocument/2006/relationships/hyperlink" Target="https://maps.app.goo.gl/H8Qooo9LjYKrYpYY8" TargetMode="External"/><Relationship Id="rId59" Type="http://schemas.openxmlformats.org/officeDocument/2006/relationships/hyperlink" Target="https://maps.app.goo.gl/K2vdEjG49kCJZ4Gk7" TargetMode="External"/><Relationship Id="rId14" Type="http://schemas.openxmlformats.org/officeDocument/2006/relationships/hyperlink" Target="https://maps.app.goo.gl/W4EHoZz8FXnJeDkZ7" TargetMode="External"/><Relationship Id="rId58" Type="http://schemas.openxmlformats.org/officeDocument/2006/relationships/hyperlink" Target="https://maps.app.goo.gl/yN8y5eyxnjC96bjb8" TargetMode="External"/><Relationship Id="rId17" Type="http://schemas.openxmlformats.org/officeDocument/2006/relationships/hyperlink" Target="https://maps.app.goo.gl/gRKCVJt79sfFpJsA7" TargetMode="External"/><Relationship Id="rId16" Type="http://schemas.openxmlformats.org/officeDocument/2006/relationships/hyperlink" Target="https://maps.app.goo.gl/MXJ5S69j2k2J9xV59" TargetMode="External"/><Relationship Id="rId19" Type="http://schemas.openxmlformats.org/officeDocument/2006/relationships/hyperlink" Target="https://maps.app.goo.gl/ZbbT4aAp9mHTo5277" TargetMode="External"/><Relationship Id="rId18" Type="http://schemas.openxmlformats.org/officeDocument/2006/relationships/hyperlink" Target="https://maps.app.goo.gl/ufmH2b6TnJgadSts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hidden="1" min="2" max="4" width="18.88"/>
    <col customWidth="1" min="5" max="6" width="11.75"/>
    <col customWidth="1" min="7" max="7" width="13.25"/>
    <col customWidth="1" min="8" max="8" width="9.25"/>
    <col customWidth="1" min="9" max="9" width="14.38"/>
    <col customWidth="1" min="10" max="10" width="9.88"/>
    <col customWidth="1" min="11" max="11" width="10.25"/>
    <col customWidth="1" min="12" max="12" width="11.88"/>
    <col customWidth="1" min="13" max="13" width="10.0"/>
    <col customWidth="1" min="14" max="14" width="12.5"/>
    <col customWidth="1" min="15" max="15" width="9.75"/>
    <col customWidth="1" min="16" max="25" width="14.25"/>
    <col customWidth="1" min="26" max="26" width="9.75"/>
    <col customWidth="1" min="27" max="36" width="14.25"/>
    <col customWidth="1" min="37" max="37" width="9.13"/>
    <col customWidth="1" min="38" max="42" width="13.0"/>
    <col customWidth="1" min="43" max="43" width="9.13"/>
    <col customWidth="1" min="44" max="47" width="13.0"/>
    <col customWidth="1" min="48" max="50" width="11.25"/>
    <col customWidth="1" min="51" max="51" width="11.88"/>
    <col customWidth="1" min="52" max="52" width="13.75"/>
    <col customWidth="1" min="53" max="53" width="11.25"/>
    <col customWidth="1" min="54" max="54" width="12.88"/>
    <col customWidth="1" min="55" max="55" width="10.75"/>
    <col customWidth="1" min="56" max="56" width="11.63"/>
    <col customWidth="1" min="57" max="57" width="13.13"/>
    <col customWidth="1" hidden="1" min="58" max="62" width="18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3" t="s">
        <v>36</v>
      </c>
      <c r="AL1" s="1" t="s">
        <v>37</v>
      </c>
      <c r="AM1" s="1" t="s">
        <v>38</v>
      </c>
      <c r="AN1" s="1" t="s">
        <v>67</v>
      </c>
      <c r="AO1" s="1" t="s">
        <v>68</v>
      </c>
      <c r="AP1" s="2" t="s">
        <v>69</v>
      </c>
      <c r="AQ1" s="4" t="s">
        <v>70</v>
      </c>
      <c r="AR1" s="1" t="s">
        <v>71</v>
      </c>
      <c r="AS1" s="1" t="s">
        <v>72</v>
      </c>
      <c r="AT1" s="1" t="s">
        <v>73</v>
      </c>
      <c r="AU1" s="2" t="s">
        <v>74</v>
      </c>
      <c r="AV1" s="3" t="s">
        <v>75</v>
      </c>
      <c r="AW1" s="1" t="s">
        <v>76</v>
      </c>
      <c r="AX1" s="1" t="s">
        <v>77</v>
      </c>
      <c r="AY1" s="1" t="s">
        <v>78</v>
      </c>
      <c r="AZ1" s="2" t="s">
        <v>79</v>
      </c>
      <c r="BA1" s="3" t="s">
        <v>80</v>
      </c>
      <c r="BB1" s="1" t="s">
        <v>81</v>
      </c>
      <c r="BC1" s="2" t="s">
        <v>82</v>
      </c>
      <c r="BD1" s="3" t="s">
        <v>83</v>
      </c>
      <c r="BE1" s="1" t="s">
        <v>84</v>
      </c>
      <c r="BF1" s="36"/>
      <c r="BG1" s="36"/>
      <c r="BH1" s="36"/>
      <c r="BI1" s="36"/>
      <c r="BJ1" s="36"/>
    </row>
    <row r="2" ht="14.25" customHeight="1">
      <c r="A2" s="37">
        <v>1.0</v>
      </c>
      <c r="B2" s="38">
        <v>46227.49581800926</v>
      </c>
      <c r="C2" s="37" t="s">
        <v>85</v>
      </c>
      <c r="D2" s="39"/>
      <c r="E2" s="37" t="s">
        <v>86</v>
      </c>
      <c r="F2" s="37" t="s">
        <v>87</v>
      </c>
      <c r="G2" s="37" t="s">
        <v>88</v>
      </c>
      <c r="H2" s="37">
        <v>30.0</v>
      </c>
      <c r="I2" s="88" t="s">
        <v>130</v>
      </c>
      <c r="J2" s="89" t="s">
        <v>60</v>
      </c>
      <c r="K2" s="90" t="s">
        <v>89</v>
      </c>
      <c r="L2" s="92" t="s">
        <v>93</v>
      </c>
      <c r="M2" s="37">
        <v>2.0</v>
      </c>
      <c r="N2" s="93" t="s">
        <v>131</v>
      </c>
      <c r="O2" s="95" t="s">
        <v>61</v>
      </c>
      <c r="P2" s="95" t="s">
        <v>61</v>
      </c>
      <c r="Q2" s="37" t="s">
        <v>61</v>
      </c>
      <c r="R2" s="37" t="s">
        <v>61</v>
      </c>
      <c r="S2" s="37" t="s">
        <v>61</v>
      </c>
      <c r="T2" s="37" t="s">
        <v>61</v>
      </c>
      <c r="U2" s="37" t="s">
        <v>61</v>
      </c>
      <c r="V2" s="37" t="s">
        <v>61</v>
      </c>
      <c r="W2" s="37" t="s">
        <v>61</v>
      </c>
      <c r="X2" s="39"/>
      <c r="Y2" s="96" t="s">
        <v>134</v>
      </c>
      <c r="Z2" s="98"/>
      <c r="AA2" s="39"/>
      <c r="AB2" s="39"/>
      <c r="AC2" s="39"/>
      <c r="AD2" s="39"/>
      <c r="AE2" s="39"/>
      <c r="AF2" s="39"/>
      <c r="AG2" s="39"/>
      <c r="AH2" s="39"/>
      <c r="AI2" s="39"/>
      <c r="AJ2" s="99"/>
      <c r="AK2" s="101" t="s">
        <v>136</v>
      </c>
      <c r="AL2" s="102" t="s">
        <v>138</v>
      </c>
      <c r="AM2" s="37">
        <v>0.5</v>
      </c>
      <c r="AN2" s="103">
        <v>46227.0</v>
      </c>
      <c r="AO2" s="104" t="s">
        <v>131</v>
      </c>
      <c r="AP2" s="99"/>
      <c r="AQ2" s="105" t="s">
        <v>139</v>
      </c>
      <c r="AR2" s="37">
        <v>0.5</v>
      </c>
      <c r="AS2" s="103">
        <v>46227.0</v>
      </c>
      <c r="AT2" s="104" t="s">
        <v>131</v>
      </c>
      <c r="AU2" s="99"/>
      <c r="AV2" s="106" t="s">
        <v>60</v>
      </c>
      <c r="AW2" s="102" t="s">
        <v>93</v>
      </c>
      <c r="AX2" s="103">
        <v>46227.0</v>
      </c>
      <c r="AY2" s="37">
        <v>0.3</v>
      </c>
      <c r="AZ2" s="107" t="s">
        <v>131</v>
      </c>
      <c r="BA2" s="108" t="s">
        <v>60</v>
      </c>
      <c r="BB2" s="104" t="s">
        <v>131</v>
      </c>
      <c r="BC2" s="99"/>
      <c r="BD2" s="110" t="s">
        <v>142</v>
      </c>
      <c r="BE2" s="104" t="s">
        <v>131</v>
      </c>
      <c r="BF2" s="111"/>
      <c r="BG2" s="111"/>
      <c r="BH2" s="111"/>
      <c r="BI2" s="111"/>
      <c r="BJ2" s="111"/>
    </row>
    <row r="3" ht="14.25" customHeight="1">
      <c r="A3" s="112">
        <v>2.0</v>
      </c>
      <c r="B3" s="38">
        <v>46227.49861335648</v>
      </c>
      <c r="C3" s="37" t="s">
        <v>85</v>
      </c>
      <c r="D3" s="39"/>
      <c r="E3" s="37" t="s">
        <v>143</v>
      </c>
      <c r="F3" s="37" t="s">
        <v>144</v>
      </c>
      <c r="G3" s="37" t="s">
        <v>88</v>
      </c>
      <c r="H3" s="37">
        <v>250.0</v>
      </c>
      <c r="I3" s="88" t="s">
        <v>146</v>
      </c>
      <c r="J3" s="89" t="s">
        <v>60</v>
      </c>
      <c r="K3" s="90" t="s">
        <v>89</v>
      </c>
      <c r="L3" s="92" t="s">
        <v>93</v>
      </c>
      <c r="M3" s="37">
        <v>5.0</v>
      </c>
      <c r="N3" s="93" t="s">
        <v>131</v>
      </c>
      <c r="O3" s="95" t="s">
        <v>61</v>
      </c>
      <c r="P3" s="95" t="s">
        <v>61</v>
      </c>
      <c r="Q3" s="37" t="s">
        <v>61</v>
      </c>
      <c r="R3" s="37" t="s">
        <v>61</v>
      </c>
      <c r="S3" s="37" t="s">
        <v>61</v>
      </c>
      <c r="T3" s="37" t="s">
        <v>61</v>
      </c>
      <c r="U3" s="37" t="s">
        <v>61</v>
      </c>
      <c r="V3" s="37" t="s">
        <v>61</v>
      </c>
      <c r="W3" s="37" t="s">
        <v>61</v>
      </c>
      <c r="X3" s="39"/>
      <c r="Y3" s="99"/>
      <c r="Z3" s="117" t="s">
        <v>149</v>
      </c>
      <c r="AA3" s="102" t="s">
        <v>129</v>
      </c>
      <c r="AB3" s="37">
        <v>1.8</v>
      </c>
      <c r="AC3" s="103">
        <v>46227.0</v>
      </c>
      <c r="AD3" s="104" t="s">
        <v>131</v>
      </c>
      <c r="AE3" s="39"/>
      <c r="AF3" s="39"/>
      <c r="AG3" s="39"/>
      <c r="AH3" s="39"/>
      <c r="AI3" s="39"/>
      <c r="AJ3" s="99"/>
      <c r="AK3" s="118" t="s">
        <v>151</v>
      </c>
      <c r="AL3" s="119" t="s">
        <v>152</v>
      </c>
      <c r="AM3" s="37">
        <v>1.2</v>
      </c>
      <c r="AN3" s="103">
        <v>46227.0</v>
      </c>
      <c r="AO3" s="104" t="s">
        <v>131</v>
      </c>
      <c r="AP3" s="99"/>
      <c r="AQ3" s="98"/>
      <c r="AR3" s="39"/>
      <c r="AS3" s="39"/>
      <c r="AT3" s="39"/>
      <c r="AU3" s="99"/>
      <c r="AV3" s="106" t="s">
        <v>60</v>
      </c>
      <c r="AW3" s="102" t="s">
        <v>93</v>
      </c>
      <c r="AX3" s="103">
        <v>46227.0</v>
      </c>
      <c r="AY3" s="37">
        <v>0.3</v>
      </c>
      <c r="AZ3" s="107" t="s">
        <v>131</v>
      </c>
      <c r="BA3" s="108" t="s">
        <v>60</v>
      </c>
      <c r="BB3" s="102" t="s">
        <v>154</v>
      </c>
      <c r="BC3" s="99"/>
      <c r="BD3" s="110" t="s">
        <v>142</v>
      </c>
      <c r="BE3" s="120" t="s">
        <v>155</v>
      </c>
      <c r="BF3" s="111"/>
      <c r="BG3" s="111"/>
      <c r="BH3" s="111"/>
      <c r="BI3" s="111"/>
      <c r="BJ3" s="111"/>
    </row>
    <row r="4" ht="14.25" customHeight="1">
      <c r="A4" s="37">
        <v>3.0</v>
      </c>
      <c r="B4" s="38">
        <v>46227.49936618056</v>
      </c>
      <c r="C4" s="37" t="s">
        <v>85</v>
      </c>
      <c r="D4" s="39"/>
      <c r="E4" s="37" t="s">
        <v>86</v>
      </c>
      <c r="F4" s="37" t="s">
        <v>156</v>
      </c>
      <c r="G4" s="37" t="s">
        <v>157</v>
      </c>
      <c r="H4" s="37">
        <v>150.0</v>
      </c>
      <c r="I4" s="88" t="s">
        <v>158</v>
      </c>
      <c r="J4" s="89" t="s">
        <v>60</v>
      </c>
      <c r="K4" s="90" t="s">
        <v>89</v>
      </c>
      <c r="L4" s="92" t="s">
        <v>93</v>
      </c>
      <c r="M4" s="37">
        <v>2.0</v>
      </c>
      <c r="N4" s="93" t="s">
        <v>131</v>
      </c>
      <c r="O4" s="95" t="s">
        <v>61</v>
      </c>
      <c r="P4" s="95" t="s">
        <v>61</v>
      </c>
      <c r="Q4" s="37" t="s">
        <v>61</v>
      </c>
      <c r="R4" s="37" t="s">
        <v>61</v>
      </c>
      <c r="S4" s="37" t="s">
        <v>61</v>
      </c>
      <c r="T4" s="37" t="s">
        <v>61</v>
      </c>
      <c r="U4" s="37" t="s">
        <v>61</v>
      </c>
      <c r="V4" s="37" t="s">
        <v>61</v>
      </c>
      <c r="W4" s="37" t="s">
        <v>61</v>
      </c>
      <c r="X4" s="39"/>
      <c r="Y4" s="99"/>
      <c r="Z4" s="98"/>
      <c r="AA4" s="39"/>
      <c r="AB4" s="39"/>
      <c r="AC4" s="39"/>
      <c r="AD4" s="39"/>
      <c r="AE4" s="39"/>
      <c r="AF4" s="39"/>
      <c r="AG4" s="39"/>
      <c r="AH4" s="39"/>
      <c r="AI4" s="39"/>
      <c r="AJ4" s="99"/>
      <c r="AK4" s="101" t="s">
        <v>136</v>
      </c>
      <c r="AL4" s="102" t="s">
        <v>138</v>
      </c>
      <c r="AM4" s="37">
        <v>0.5</v>
      </c>
      <c r="AN4" s="103">
        <v>46227.0</v>
      </c>
      <c r="AO4" s="104" t="s">
        <v>131</v>
      </c>
      <c r="AP4" s="99"/>
      <c r="AQ4" s="105" t="s">
        <v>139</v>
      </c>
      <c r="AR4" s="37">
        <v>0.5</v>
      </c>
      <c r="AS4" s="103">
        <v>46227.0</v>
      </c>
      <c r="AT4" s="104" t="s">
        <v>131</v>
      </c>
      <c r="AU4" s="99"/>
      <c r="AV4" s="106" t="s">
        <v>60</v>
      </c>
      <c r="AW4" s="102" t="s">
        <v>93</v>
      </c>
      <c r="AX4" s="103">
        <v>46227.0</v>
      </c>
      <c r="AY4" s="37">
        <v>0.3</v>
      </c>
      <c r="AZ4" s="107" t="s">
        <v>131</v>
      </c>
      <c r="BA4" s="108" t="s">
        <v>60</v>
      </c>
      <c r="BB4" s="104" t="s">
        <v>131</v>
      </c>
      <c r="BC4" s="99"/>
      <c r="BD4" s="110" t="s">
        <v>142</v>
      </c>
      <c r="BE4" s="104" t="s">
        <v>131</v>
      </c>
      <c r="BF4" s="111"/>
      <c r="BG4" s="111"/>
      <c r="BH4" s="111"/>
      <c r="BI4" s="111"/>
      <c r="BJ4" s="111"/>
    </row>
    <row r="5" ht="14.25" customHeight="1">
      <c r="A5" s="112">
        <v>4.0</v>
      </c>
      <c r="B5" s="38">
        <v>46227.5026500463</v>
      </c>
      <c r="C5" s="37" t="s">
        <v>85</v>
      </c>
      <c r="D5" s="39"/>
      <c r="E5" s="37" t="s">
        <v>143</v>
      </c>
      <c r="F5" s="37" t="s">
        <v>159</v>
      </c>
      <c r="G5" s="37" t="s">
        <v>160</v>
      </c>
      <c r="H5" s="37">
        <v>145.0</v>
      </c>
      <c r="I5" s="88" t="s">
        <v>161</v>
      </c>
      <c r="J5" s="89" t="s">
        <v>60</v>
      </c>
      <c r="K5" s="90" t="s">
        <v>89</v>
      </c>
      <c r="L5" s="92" t="s">
        <v>93</v>
      </c>
      <c r="M5" s="37">
        <v>2.0</v>
      </c>
      <c r="N5" s="120" t="s">
        <v>155</v>
      </c>
      <c r="O5" s="95" t="s">
        <v>61</v>
      </c>
      <c r="P5" s="95" t="s">
        <v>61</v>
      </c>
      <c r="Q5" s="37" t="s">
        <v>61</v>
      </c>
      <c r="R5" s="37" t="s">
        <v>61</v>
      </c>
      <c r="S5" s="37" t="s">
        <v>61</v>
      </c>
      <c r="T5" s="37" t="s">
        <v>61</v>
      </c>
      <c r="U5" s="37" t="s">
        <v>61</v>
      </c>
      <c r="V5" s="37" t="s">
        <v>61</v>
      </c>
      <c r="W5" s="37" t="s">
        <v>61</v>
      </c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127" t="s">
        <v>136</v>
      </c>
      <c r="AL5" s="102" t="s">
        <v>138</v>
      </c>
      <c r="AM5" s="37">
        <v>0.5</v>
      </c>
      <c r="AN5" s="103">
        <v>46227.0</v>
      </c>
      <c r="AO5" s="120" t="s">
        <v>155</v>
      </c>
      <c r="AP5" s="39"/>
      <c r="AQ5" s="128" t="s">
        <v>139</v>
      </c>
      <c r="AR5" s="37">
        <v>0.5</v>
      </c>
      <c r="AS5" s="103">
        <v>46227.0</v>
      </c>
      <c r="AT5" s="120" t="s">
        <v>155</v>
      </c>
      <c r="AU5" s="39"/>
      <c r="AV5" s="92" t="s">
        <v>60</v>
      </c>
      <c r="AW5" s="102" t="s">
        <v>93</v>
      </c>
      <c r="AX5" s="103">
        <v>46227.0</v>
      </c>
      <c r="AY5" s="37">
        <v>0.3</v>
      </c>
      <c r="AZ5" s="104" t="s">
        <v>131</v>
      </c>
      <c r="BA5" s="102" t="s">
        <v>60</v>
      </c>
      <c r="BB5" s="102" t="s">
        <v>154</v>
      </c>
      <c r="BC5" s="39"/>
      <c r="BD5" s="129" t="s">
        <v>142</v>
      </c>
      <c r="BE5" s="120" t="s">
        <v>155</v>
      </c>
      <c r="BF5" s="111"/>
      <c r="BG5" s="111"/>
      <c r="BH5" s="111"/>
      <c r="BI5" s="111"/>
      <c r="BJ5" s="111"/>
    </row>
    <row r="6" ht="14.25" customHeight="1">
      <c r="A6" s="37">
        <v>5.0</v>
      </c>
      <c r="B6" s="38">
        <v>46227.51794627315</v>
      </c>
      <c r="C6" s="37" t="s">
        <v>85</v>
      </c>
      <c r="D6" s="39"/>
      <c r="E6" s="37" t="s">
        <v>143</v>
      </c>
      <c r="F6" s="37" t="s">
        <v>168</v>
      </c>
      <c r="G6" s="37" t="s">
        <v>169</v>
      </c>
      <c r="H6" s="37">
        <v>135.0</v>
      </c>
      <c r="I6" s="88" t="s">
        <v>170</v>
      </c>
      <c r="J6" s="89" t="s">
        <v>60</v>
      </c>
      <c r="K6" s="90" t="s">
        <v>89</v>
      </c>
      <c r="L6" s="92" t="s">
        <v>93</v>
      </c>
      <c r="M6" s="37">
        <v>3.0</v>
      </c>
      <c r="N6" s="120" t="s">
        <v>155</v>
      </c>
      <c r="O6" s="95" t="s">
        <v>61</v>
      </c>
      <c r="P6" s="95" t="s">
        <v>61</v>
      </c>
      <c r="Q6" s="37" t="s">
        <v>61</v>
      </c>
      <c r="R6" s="37" t="s">
        <v>61</v>
      </c>
      <c r="S6" s="37" t="s">
        <v>61</v>
      </c>
      <c r="T6" s="37" t="s">
        <v>61</v>
      </c>
      <c r="U6" s="37" t="s">
        <v>61</v>
      </c>
      <c r="V6" s="37" t="s">
        <v>61</v>
      </c>
      <c r="W6" s="37" t="s">
        <v>61</v>
      </c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128" t="s">
        <v>139</v>
      </c>
      <c r="AR6" s="37">
        <v>0.2</v>
      </c>
      <c r="AS6" s="103">
        <v>46227.0</v>
      </c>
      <c r="AT6" s="120" t="s">
        <v>155</v>
      </c>
      <c r="AU6" s="39"/>
      <c r="AV6" s="92" t="s">
        <v>60</v>
      </c>
      <c r="AW6" s="102" t="s">
        <v>93</v>
      </c>
      <c r="AX6" s="103">
        <v>46227.0</v>
      </c>
      <c r="AY6" s="37">
        <v>0.3</v>
      </c>
      <c r="AZ6" s="120" t="s">
        <v>155</v>
      </c>
      <c r="BA6" s="102" t="s">
        <v>60</v>
      </c>
      <c r="BB6" s="102" t="s">
        <v>154</v>
      </c>
      <c r="BC6" s="39"/>
      <c r="BD6" s="129" t="s">
        <v>142</v>
      </c>
      <c r="BE6" s="120" t="s">
        <v>155</v>
      </c>
      <c r="BF6" s="111"/>
      <c r="BG6" s="111"/>
      <c r="BH6" s="111"/>
      <c r="BI6" s="111"/>
      <c r="BJ6" s="111"/>
    </row>
    <row r="7" ht="14.25" customHeight="1">
      <c r="A7" s="37">
        <v>6.0</v>
      </c>
      <c r="B7" s="38">
        <v>46227.52259655093</v>
      </c>
      <c r="C7" s="37" t="s">
        <v>85</v>
      </c>
      <c r="D7" s="39"/>
      <c r="E7" s="37" t="s">
        <v>86</v>
      </c>
      <c r="F7" s="37" t="s">
        <v>174</v>
      </c>
      <c r="G7" s="37" t="s">
        <v>175</v>
      </c>
      <c r="H7" s="37">
        <v>115.0</v>
      </c>
      <c r="I7" s="88" t="s">
        <v>176</v>
      </c>
      <c r="J7" s="89" t="s">
        <v>60</v>
      </c>
      <c r="K7" s="90" t="s">
        <v>89</v>
      </c>
      <c r="L7" s="92" t="s">
        <v>93</v>
      </c>
      <c r="M7" s="37">
        <v>2.0</v>
      </c>
      <c r="N7" s="90" t="s">
        <v>131</v>
      </c>
      <c r="O7" s="95" t="s">
        <v>61</v>
      </c>
      <c r="P7" s="95" t="s">
        <v>61</v>
      </c>
      <c r="Q7" s="37" t="s">
        <v>61</v>
      </c>
      <c r="R7" s="37" t="s">
        <v>61</v>
      </c>
      <c r="S7" s="37" t="s">
        <v>61</v>
      </c>
      <c r="T7" s="37" t="s">
        <v>61</v>
      </c>
      <c r="U7" s="37" t="s">
        <v>61</v>
      </c>
      <c r="V7" s="37" t="s">
        <v>61</v>
      </c>
      <c r="W7" s="37" t="s">
        <v>61</v>
      </c>
      <c r="X7" s="39"/>
      <c r="Y7" s="37" t="s">
        <v>134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119" t="s">
        <v>151</v>
      </c>
      <c r="AL7" s="119" t="s">
        <v>152</v>
      </c>
      <c r="AM7" s="37">
        <v>1.0</v>
      </c>
      <c r="AN7" s="103">
        <v>46227.0</v>
      </c>
      <c r="AO7" s="104" t="s">
        <v>131</v>
      </c>
      <c r="AP7" s="39"/>
      <c r="AQ7" s="148" t="s">
        <v>149</v>
      </c>
      <c r="AR7" s="37">
        <v>1.0</v>
      </c>
      <c r="AS7" s="103">
        <v>46227.0</v>
      </c>
      <c r="AT7" s="104" t="s">
        <v>131</v>
      </c>
      <c r="AU7" s="39"/>
      <c r="AV7" s="92" t="s">
        <v>60</v>
      </c>
      <c r="AW7" s="102" t="s">
        <v>93</v>
      </c>
      <c r="AX7" s="103">
        <v>46227.0</v>
      </c>
      <c r="AY7" s="37">
        <v>0.3</v>
      </c>
      <c r="AZ7" s="104" t="s">
        <v>131</v>
      </c>
      <c r="BA7" s="102" t="s">
        <v>60</v>
      </c>
      <c r="BB7" s="104" t="s">
        <v>131</v>
      </c>
      <c r="BC7" s="39"/>
      <c r="BD7" s="129" t="s">
        <v>142</v>
      </c>
      <c r="BE7" s="104" t="s">
        <v>131</v>
      </c>
      <c r="BF7" s="111"/>
      <c r="BG7" s="111"/>
      <c r="BH7" s="111"/>
      <c r="BI7" s="111"/>
      <c r="BJ7" s="111"/>
    </row>
    <row r="8" ht="14.25" customHeight="1">
      <c r="A8" s="112">
        <v>7.0</v>
      </c>
      <c r="B8" s="38">
        <v>46227.52640483796</v>
      </c>
      <c r="C8" s="37" t="s">
        <v>85</v>
      </c>
      <c r="D8" s="39"/>
      <c r="E8" s="37" t="s">
        <v>143</v>
      </c>
      <c r="F8" s="37" t="s">
        <v>177</v>
      </c>
      <c r="G8" s="37" t="s">
        <v>160</v>
      </c>
      <c r="H8" s="37">
        <v>30.0</v>
      </c>
      <c r="I8" s="88" t="s">
        <v>178</v>
      </c>
      <c r="J8" s="155" t="s">
        <v>62</v>
      </c>
      <c r="K8" s="90" t="s">
        <v>89</v>
      </c>
      <c r="L8" s="92" t="s">
        <v>93</v>
      </c>
      <c r="M8" s="37">
        <v>2.0</v>
      </c>
      <c r="N8" s="90" t="s">
        <v>131</v>
      </c>
      <c r="O8" s="95" t="s">
        <v>61</v>
      </c>
      <c r="P8" s="95" t="s">
        <v>61</v>
      </c>
      <c r="Q8" s="37" t="s">
        <v>61</v>
      </c>
      <c r="R8" s="37" t="s">
        <v>61</v>
      </c>
      <c r="S8" s="37" t="s">
        <v>61</v>
      </c>
      <c r="T8" s="37" t="s">
        <v>61</v>
      </c>
      <c r="U8" s="37" t="s">
        <v>61</v>
      </c>
      <c r="V8" s="37" t="s">
        <v>61</v>
      </c>
      <c r="W8" s="37" t="s">
        <v>61</v>
      </c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119" t="s">
        <v>151</v>
      </c>
      <c r="AL8" s="102" t="s">
        <v>138</v>
      </c>
      <c r="AM8" s="37">
        <v>0.5</v>
      </c>
      <c r="AN8" s="103">
        <v>46227.0</v>
      </c>
      <c r="AO8" s="120" t="s">
        <v>155</v>
      </c>
      <c r="AP8" s="39"/>
      <c r="AQ8" s="148" t="s">
        <v>149</v>
      </c>
      <c r="AR8" s="37">
        <v>0.5</v>
      </c>
      <c r="AS8" s="103">
        <v>46227.0</v>
      </c>
      <c r="AT8" s="120" t="s">
        <v>155</v>
      </c>
      <c r="AU8" s="39"/>
      <c r="AV8" s="92" t="s">
        <v>60</v>
      </c>
      <c r="AW8" s="102" t="s">
        <v>93</v>
      </c>
      <c r="AX8" s="103">
        <v>46227.0</v>
      </c>
      <c r="AY8" s="37">
        <v>0.3</v>
      </c>
      <c r="AZ8" s="104" t="s">
        <v>131</v>
      </c>
      <c r="BA8" s="102" t="s">
        <v>60</v>
      </c>
      <c r="BB8" s="102" t="s">
        <v>154</v>
      </c>
      <c r="BC8" s="39"/>
      <c r="BD8" s="129" t="s">
        <v>142</v>
      </c>
      <c r="BE8" s="120" t="s">
        <v>155</v>
      </c>
      <c r="BF8" s="111"/>
      <c r="BG8" s="111"/>
      <c r="BH8" s="111"/>
      <c r="BI8" s="111"/>
      <c r="BJ8" s="111"/>
    </row>
    <row r="9" ht="14.25" customHeight="1">
      <c r="A9" s="37">
        <v>8.0</v>
      </c>
      <c r="B9" s="38">
        <v>46227.53091609954</v>
      </c>
      <c r="C9" s="37" t="s">
        <v>85</v>
      </c>
      <c r="D9" s="39"/>
      <c r="E9" s="37" t="s">
        <v>143</v>
      </c>
      <c r="F9" s="37" t="s">
        <v>180</v>
      </c>
      <c r="G9" s="37" t="s">
        <v>181</v>
      </c>
      <c r="H9" s="37">
        <v>30.0</v>
      </c>
      <c r="I9" s="88" t="s">
        <v>182</v>
      </c>
      <c r="J9" s="89" t="s">
        <v>60</v>
      </c>
      <c r="K9" s="90" t="s">
        <v>89</v>
      </c>
      <c r="L9" s="92" t="s">
        <v>93</v>
      </c>
      <c r="M9" s="37">
        <v>2.0</v>
      </c>
      <c r="N9" s="120" t="s">
        <v>155</v>
      </c>
      <c r="O9" s="95" t="s">
        <v>61</v>
      </c>
      <c r="P9" s="95" t="s">
        <v>61</v>
      </c>
      <c r="Q9" s="37" t="s">
        <v>61</v>
      </c>
      <c r="R9" s="37" t="s">
        <v>61</v>
      </c>
      <c r="S9" s="37" t="s">
        <v>61</v>
      </c>
      <c r="T9" s="37" t="s">
        <v>61</v>
      </c>
      <c r="U9" s="37" t="s">
        <v>61</v>
      </c>
      <c r="V9" s="37" t="s">
        <v>61</v>
      </c>
      <c r="W9" s="37" t="s">
        <v>61</v>
      </c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119" t="s">
        <v>151</v>
      </c>
      <c r="AL9" s="102" t="s">
        <v>138</v>
      </c>
      <c r="AM9" s="37">
        <v>0.5</v>
      </c>
      <c r="AN9" s="103">
        <v>46227.0</v>
      </c>
      <c r="AO9" s="120" t="s">
        <v>155</v>
      </c>
      <c r="AP9" s="39"/>
      <c r="AQ9" s="148" t="s">
        <v>149</v>
      </c>
      <c r="AR9" s="37">
        <v>0.5</v>
      </c>
      <c r="AS9" s="103">
        <v>46227.0</v>
      </c>
      <c r="AT9" s="120" t="s">
        <v>155</v>
      </c>
      <c r="AU9" s="39"/>
      <c r="AV9" s="92" t="s">
        <v>60</v>
      </c>
      <c r="AW9" s="102" t="s">
        <v>93</v>
      </c>
      <c r="AX9" s="103">
        <v>46227.0</v>
      </c>
      <c r="AY9" s="37">
        <v>0.3</v>
      </c>
      <c r="AZ9" s="104" t="s">
        <v>131</v>
      </c>
      <c r="BA9" s="102" t="s">
        <v>60</v>
      </c>
      <c r="BB9" s="102" t="s">
        <v>154</v>
      </c>
      <c r="BC9" s="39"/>
      <c r="BD9" s="129" t="s">
        <v>142</v>
      </c>
      <c r="BE9" s="120" t="s">
        <v>155</v>
      </c>
      <c r="BF9" s="111"/>
      <c r="BG9" s="111"/>
      <c r="BH9" s="111"/>
      <c r="BI9" s="111"/>
      <c r="BJ9" s="111"/>
    </row>
    <row r="10" ht="14.25" customHeight="1">
      <c r="A10" s="112">
        <v>9.0</v>
      </c>
      <c r="B10" s="38">
        <v>46227.533161597225</v>
      </c>
      <c r="C10" s="37" t="s">
        <v>85</v>
      </c>
      <c r="D10" s="39"/>
      <c r="E10" s="37" t="s">
        <v>143</v>
      </c>
      <c r="F10" s="37" t="s">
        <v>184</v>
      </c>
      <c r="G10" s="37" t="s">
        <v>160</v>
      </c>
      <c r="H10" s="37">
        <v>30.0</v>
      </c>
      <c r="I10" s="88" t="s">
        <v>186</v>
      </c>
      <c r="J10" s="89" t="s">
        <v>60</v>
      </c>
      <c r="K10" s="90" t="s">
        <v>89</v>
      </c>
      <c r="L10" s="92" t="s">
        <v>93</v>
      </c>
      <c r="M10" s="37">
        <v>3.0</v>
      </c>
      <c r="N10" s="90" t="s">
        <v>131</v>
      </c>
      <c r="O10" s="95" t="s">
        <v>61</v>
      </c>
      <c r="P10" s="95" t="s">
        <v>61</v>
      </c>
      <c r="Q10" s="37" t="s">
        <v>61</v>
      </c>
      <c r="R10" s="37" t="s">
        <v>61</v>
      </c>
      <c r="S10" s="37" t="s">
        <v>61</v>
      </c>
      <c r="T10" s="37" t="s">
        <v>61</v>
      </c>
      <c r="U10" s="37" t="s">
        <v>61</v>
      </c>
      <c r="V10" s="37" t="s">
        <v>61</v>
      </c>
      <c r="W10" s="37" t="s">
        <v>61</v>
      </c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119" t="s">
        <v>151</v>
      </c>
      <c r="AL10" s="102" t="s">
        <v>138</v>
      </c>
      <c r="AM10" s="37">
        <v>0.5</v>
      </c>
      <c r="AN10" s="103">
        <v>46227.0</v>
      </c>
      <c r="AO10" s="104" t="s">
        <v>131</v>
      </c>
      <c r="AP10" s="39"/>
      <c r="AQ10" s="148" t="s">
        <v>149</v>
      </c>
      <c r="AR10" s="37">
        <v>0.5</v>
      </c>
      <c r="AS10" s="103">
        <v>46227.0</v>
      </c>
      <c r="AT10" s="104" t="s">
        <v>131</v>
      </c>
      <c r="AU10" s="39"/>
      <c r="AV10" s="92" t="s">
        <v>60</v>
      </c>
      <c r="AW10" s="102" t="s">
        <v>93</v>
      </c>
      <c r="AX10" s="103">
        <v>46227.0</v>
      </c>
      <c r="AY10" s="37">
        <v>0.3</v>
      </c>
      <c r="AZ10" s="104" t="s">
        <v>131</v>
      </c>
      <c r="BA10" s="102" t="s">
        <v>60</v>
      </c>
      <c r="BB10" s="102" t="s">
        <v>154</v>
      </c>
      <c r="BC10" s="39"/>
      <c r="BD10" s="129" t="s">
        <v>142</v>
      </c>
      <c r="BE10" s="104" t="s">
        <v>131</v>
      </c>
      <c r="BF10" s="111"/>
      <c r="BG10" s="111"/>
      <c r="BH10" s="111"/>
      <c r="BI10" s="111"/>
      <c r="BJ10" s="111"/>
    </row>
    <row r="11" ht="14.25" customHeight="1">
      <c r="A11" s="37">
        <v>10.0</v>
      </c>
      <c r="B11" s="38">
        <v>46227.537273009264</v>
      </c>
      <c r="C11" s="37" t="s">
        <v>85</v>
      </c>
      <c r="D11" s="39"/>
      <c r="E11" s="37" t="s">
        <v>86</v>
      </c>
      <c r="F11" s="172" t="s">
        <v>188</v>
      </c>
      <c r="G11" s="37" t="s">
        <v>88</v>
      </c>
      <c r="H11" s="37">
        <v>20.0</v>
      </c>
      <c r="I11" s="88" t="s">
        <v>189</v>
      </c>
      <c r="J11" s="155" t="s">
        <v>62</v>
      </c>
      <c r="K11" s="90" t="s">
        <v>89</v>
      </c>
      <c r="L11" s="92" t="s">
        <v>93</v>
      </c>
      <c r="M11" s="37">
        <v>2.0</v>
      </c>
      <c r="N11" s="90" t="s">
        <v>131</v>
      </c>
      <c r="O11" s="95" t="s">
        <v>61</v>
      </c>
      <c r="P11" s="95" t="s">
        <v>61</v>
      </c>
      <c r="Q11" s="37" t="s">
        <v>61</v>
      </c>
      <c r="R11" s="37" t="s">
        <v>61</v>
      </c>
      <c r="S11" s="37" t="s">
        <v>61</v>
      </c>
      <c r="T11" s="37" t="s">
        <v>61</v>
      </c>
      <c r="U11" s="37" t="s">
        <v>61</v>
      </c>
      <c r="V11" s="37" t="s">
        <v>61</v>
      </c>
      <c r="W11" s="37" t="s">
        <v>61</v>
      </c>
      <c r="X11" s="39"/>
      <c r="Y11" s="37" t="s">
        <v>134</v>
      </c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127" t="s">
        <v>136</v>
      </c>
      <c r="AL11" s="102" t="s">
        <v>138</v>
      </c>
      <c r="AM11" s="37">
        <v>0.5</v>
      </c>
      <c r="AN11" s="103">
        <v>46227.0</v>
      </c>
      <c r="AO11" s="104" t="s">
        <v>131</v>
      </c>
      <c r="AP11" s="39"/>
      <c r="AQ11" s="128" t="s">
        <v>139</v>
      </c>
      <c r="AR11" s="37">
        <v>0.5</v>
      </c>
      <c r="AS11" s="103">
        <v>46227.0</v>
      </c>
      <c r="AT11" s="104" t="s">
        <v>131</v>
      </c>
      <c r="AU11" s="39"/>
      <c r="AV11" s="92" t="s">
        <v>60</v>
      </c>
      <c r="AW11" s="102" t="s">
        <v>93</v>
      </c>
      <c r="AX11" s="103">
        <v>46227.0</v>
      </c>
      <c r="AY11" s="37">
        <v>0.3</v>
      </c>
      <c r="AZ11" s="104" t="s">
        <v>131</v>
      </c>
      <c r="BA11" s="102" t="s">
        <v>60</v>
      </c>
      <c r="BB11" s="104" t="s">
        <v>131</v>
      </c>
      <c r="BC11" s="39"/>
      <c r="BD11" s="129" t="s">
        <v>142</v>
      </c>
      <c r="BE11" s="104" t="s">
        <v>131</v>
      </c>
      <c r="BF11" s="111"/>
      <c r="BG11" s="111"/>
      <c r="BH11" s="111"/>
      <c r="BI11" s="111"/>
      <c r="BJ11" s="111"/>
    </row>
    <row r="12" ht="14.25" customHeight="1">
      <c r="A12" s="37">
        <v>11.0</v>
      </c>
      <c r="B12" s="38">
        <v>46227.54219893519</v>
      </c>
      <c r="C12" s="37" t="s">
        <v>85</v>
      </c>
      <c r="D12" s="39"/>
      <c r="E12" s="37" t="s">
        <v>86</v>
      </c>
      <c r="F12" s="37" t="s">
        <v>192</v>
      </c>
      <c r="G12" s="37" t="s">
        <v>193</v>
      </c>
      <c r="H12" s="37">
        <v>210.0</v>
      </c>
      <c r="I12" s="88" t="s">
        <v>194</v>
      </c>
      <c r="J12" s="89" t="s">
        <v>60</v>
      </c>
      <c r="K12" s="90" t="s">
        <v>89</v>
      </c>
      <c r="L12" s="92" t="s">
        <v>93</v>
      </c>
      <c r="M12" s="37">
        <v>5.0</v>
      </c>
      <c r="N12" s="90" t="s">
        <v>131</v>
      </c>
      <c r="O12" s="119" t="s">
        <v>151</v>
      </c>
      <c r="P12" s="102" t="s">
        <v>129</v>
      </c>
      <c r="Q12" s="37">
        <v>3.0</v>
      </c>
      <c r="R12" s="103">
        <v>46227.0</v>
      </c>
      <c r="S12" s="37" t="s">
        <v>154</v>
      </c>
      <c r="T12" s="37" t="s">
        <v>61</v>
      </c>
      <c r="U12" s="102" t="s">
        <v>129</v>
      </c>
      <c r="V12" s="37">
        <v>3.0</v>
      </c>
      <c r="W12" s="103">
        <v>46227.0</v>
      </c>
      <c r="X12" s="102" t="s">
        <v>154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7" t="s">
        <v>134</v>
      </c>
      <c r="AK12" s="119" t="s">
        <v>151</v>
      </c>
      <c r="AL12" s="119" t="s">
        <v>152</v>
      </c>
      <c r="AM12" s="37">
        <v>0.7</v>
      </c>
      <c r="AN12" s="103">
        <v>46227.0</v>
      </c>
      <c r="AO12" s="102" t="s">
        <v>154</v>
      </c>
      <c r="AP12" s="39"/>
      <c r="AQ12" s="148" t="s">
        <v>149</v>
      </c>
      <c r="AR12" s="37">
        <v>0.7</v>
      </c>
      <c r="AS12" s="103">
        <v>46227.0</v>
      </c>
      <c r="AT12" s="102" t="s">
        <v>154</v>
      </c>
      <c r="AU12" s="39"/>
      <c r="AV12" s="92" t="s">
        <v>60</v>
      </c>
      <c r="AW12" s="102" t="s">
        <v>93</v>
      </c>
      <c r="AX12" s="103">
        <v>46227.0</v>
      </c>
      <c r="AY12" s="37">
        <v>0.3</v>
      </c>
      <c r="AZ12" s="102" t="s">
        <v>154</v>
      </c>
      <c r="BA12" s="102" t="s">
        <v>60</v>
      </c>
      <c r="BB12" s="104" t="s">
        <v>131</v>
      </c>
      <c r="BC12" s="39"/>
      <c r="BD12" s="129" t="s">
        <v>142</v>
      </c>
      <c r="BE12" s="104" t="s">
        <v>131</v>
      </c>
      <c r="BF12" s="111"/>
      <c r="BG12" s="111"/>
      <c r="BH12" s="111"/>
      <c r="BI12" s="111"/>
      <c r="BJ12" s="111"/>
    </row>
    <row r="13" ht="14.25" customHeight="1">
      <c r="A13" s="112">
        <v>12.0</v>
      </c>
      <c r="B13" s="38">
        <v>46227.545733125</v>
      </c>
      <c r="C13" s="37" t="s">
        <v>85</v>
      </c>
      <c r="D13" s="39"/>
      <c r="E13" s="37" t="s">
        <v>143</v>
      </c>
      <c r="F13" s="37" t="s">
        <v>184</v>
      </c>
      <c r="G13" s="37" t="s">
        <v>198</v>
      </c>
      <c r="H13" s="37">
        <v>150.0</v>
      </c>
      <c r="I13" s="88" t="s">
        <v>199</v>
      </c>
      <c r="J13" s="89" t="s">
        <v>60</v>
      </c>
      <c r="K13" s="90" t="s">
        <v>89</v>
      </c>
      <c r="L13" s="92" t="s">
        <v>93</v>
      </c>
      <c r="M13" s="37">
        <v>6.0</v>
      </c>
      <c r="N13" s="190" t="s">
        <v>154</v>
      </c>
      <c r="O13" s="95" t="s">
        <v>61</v>
      </c>
      <c r="P13" s="95" t="s">
        <v>61</v>
      </c>
      <c r="Q13" s="37" t="s">
        <v>61</v>
      </c>
      <c r="R13" s="37" t="s">
        <v>61</v>
      </c>
      <c r="S13" s="37" t="s">
        <v>61</v>
      </c>
      <c r="T13" s="37" t="s">
        <v>61</v>
      </c>
      <c r="U13" s="37" t="s">
        <v>61</v>
      </c>
      <c r="V13" s="37" t="s">
        <v>61</v>
      </c>
      <c r="W13" s="37" t="s">
        <v>61</v>
      </c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92" t="s">
        <v>60</v>
      </c>
      <c r="AW13" s="102" t="s">
        <v>93</v>
      </c>
      <c r="AX13" s="103">
        <v>46227.0</v>
      </c>
      <c r="AY13" s="37">
        <v>0.3</v>
      </c>
      <c r="AZ13" s="102" t="s">
        <v>154</v>
      </c>
      <c r="BA13" s="102" t="s">
        <v>60</v>
      </c>
      <c r="BB13" s="102" t="s">
        <v>154</v>
      </c>
      <c r="BC13" s="39"/>
      <c r="BD13" s="129" t="s">
        <v>142</v>
      </c>
      <c r="BE13" s="120" t="s">
        <v>155</v>
      </c>
      <c r="BF13" s="111"/>
      <c r="BG13" s="111"/>
      <c r="BH13" s="111"/>
      <c r="BI13" s="111"/>
      <c r="BJ13" s="111"/>
    </row>
    <row r="14" ht="14.25" customHeight="1">
      <c r="A14" s="37">
        <v>13.0</v>
      </c>
      <c r="B14" s="38">
        <v>46227.54573931713</v>
      </c>
      <c r="C14" s="37" t="s">
        <v>85</v>
      </c>
      <c r="D14" s="39"/>
      <c r="E14" s="37" t="s">
        <v>86</v>
      </c>
      <c r="F14" s="37" t="s">
        <v>200</v>
      </c>
      <c r="G14" s="37" t="s">
        <v>201</v>
      </c>
      <c r="H14" s="37">
        <v>55.0</v>
      </c>
      <c r="I14" s="88" t="s">
        <v>202</v>
      </c>
      <c r="J14" s="89" t="s">
        <v>60</v>
      </c>
      <c r="K14" s="90" t="s">
        <v>89</v>
      </c>
      <c r="L14" s="92" t="s">
        <v>93</v>
      </c>
      <c r="M14" s="37">
        <v>4.0</v>
      </c>
      <c r="N14" s="90" t="s">
        <v>131</v>
      </c>
      <c r="O14" s="95" t="s">
        <v>61</v>
      </c>
      <c r="P14" s="95" t="s">
        <v>61</v>
      </c>
      <c r="Q14" s="37" t="s">
        <v>61</v>
      </c>
      <c r="R14" s="37" t="s">
        <v>61</v>
      </c>
      <c r="S14" s="37" t="s">
        <v>61</v>
      </c>
      <c r="T14" s="37" t="s">
        <v>61</v>
      </c>
      <c r="U14" s="37" t="s">
        <v>61</v>
      </c>
      <c r="V14" s="37" t="s">
        <v>61</v>
      </c>
      <c r="W14" s="37" t="s">
        <v>61</v>
      </c>
      <c r="X14" s="39"/>
      <c r="Y14" s="37" t="s">
        <v>134</v>
      </c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7" t="s">
        <v>203</v>
      </c>
      <c r="AQ14" s="39"/>
      <c r="AR14" s="39"/>
      <c r="AS14" s="39"/>
      <c r="AT14" s="39"/>
      <c r="AU14" s="37" t="s">
        <v>203</v>
      </c>
      <c r="AV14" s="92" t="s">
        <v>60</v>
      </c>
      <c r="AW14" s="102" t="s">
        <v>93</v>
      </c>
      <c r="AX14" s="103">
        <v>46227.0</v>
      </c>
      <c r="AY14" s="37">
        <v>0.3</v>
      </c>
      <c r="AZ14" s="104" t="s">
        <v>131</v>
      </c>
      <c r="BA14" s="102" t="s">
        <v>60</v>
      </c>
      <c r="BB14" s="104" t="s">
        <v>131</v>
      </c>
      <c r="BC14" s="39"/>
      <c r="BD14" s="129" t="s">
        <v>142</v>
      </c>
      <c r="BE14" s="198"/>
      <c r="BF14" s="111"/>
      <c r="BG14" s="111"/>
      <c r="BH14" s="111"/>
      <c r="BI14" s="111"/>
      <c r="BJ14" s="111"/>
    </row>
    <row r="15" ht="14.25" customHeight="1">
      <c r="A15" s="112">
        <v>14.0</v>
      </c>
      <c r="B15" s="38">
        <v>46227.55013960648</v>
      </c>
      <c r="C15" s="37" t="s">
        <v>85</v>
      </c>
      <c r="D15" s="39"/>
      <c r="E15" s="37" t="s">
        <v>86</v>
      </c>
      <c r="F15" s="37" t="s">
        <v>174</v>
      </c>
      <c r="G15" s="37" t="s">
        <v>204</v>
      </c>
      <c r="H15" s="37">
        <v>140.0</v>
      </c>
      <c r="I15" s="88" t="s">
        <v>205</v>
      </c>
      <c r="J15" s="89" t="s">
        <v>60</v>
      </c>
      <c r="K15" s="90" t="s">
        <v>89</v>
      </c>
      <c r="L15" s="92" t="s">
        <v>93</v>
      </c>
      <c r="M15" s="37">
        <v>4.0</v>
      </c>
      <c r="N15" s="90" t="s">
        <v>131</v>
      </c>
      <c r="O15" s="95" t="s">
        <v>61</v>
      </c>
      <c r="P15" s="95" t="s">
        <v>61</v>
      </c>
      <c r="Q15" s="37" t="s">
        <v>61</v>
      </c>
      <c r="R15" s="37" t="s">
        <v>61</v>
      </c>
      <c r="S15" s="37" t="s">
        <v>61</v>
      </c>
      <c r="T15" s="37" t="s">
        <v>61</v>
      </c>
      <c r="U15" s="37" t="s">
        <v>61</v>
      </c>
      <c r="V15" s="37" t="s">
        <v>61</v>
      </c>
      <c r="W15" s="37" t="s">
        <v>61</v>
      </c>
      <c r="X15" s="39"/>
      <c r="Y15" s="37" t="s">
        <v>206</v>
      </c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127" t="s">
        <v>136</v>
      </c>
      <c r="AL15" s="102" t="s">
        <v>138</v>
      </c>
      <c r="AM15" s="37">
        <v>1.0</v>
      </c>
      <c r="AN15" s="103">
        <v>46227.0</v>
      </c>
      <c r="AO15" s="104" t="s">
        <v>131</v>
      </c>
      <c r="AP15" s="39"/>
      <c r="AQ15" s="128" t="s">
        <v>139</v>
      </c>
      <c r="AR15" s="37">
        <v>1.0</v>
      </c>
      <c r="AS15" s="103">
        <v>46227.0</v>
      </c>
      <c r="AT15" s="104" t="s">
        <v>131</v>
      </c>
      <c r="AU15" s="39"/>
      <c r="AV15" s="92" t="s">
        <v>60</v>
      </c>
      <c r="AW15" s="102" t="s">
        <v>93</v>
      </c>
      <c r="AX15" s="103">
        <v>46227.0</v>
      </c>
      <c r="AY15" s="37">
        <v>0.3</v>
      </c>
      <c r="AZ15" s="104" t="s">
        <v>131</v>
      </c>
      <c r="BA15" s="102" t="s">
        <v>60</v>
      </c>
      <c r="BB15" s="104" t="s">
        <v>131</v>
      </c>
      <c r="BC15" s="39"/>
      <c r="BD15" s="129" t="s">
        <v>142</v>
      </c>
      <c r="BE15" s="104" t="s">
        <v>131</v>
      </c>
      <c r="BF15" s="111"/>
      <c r="BG15" s="111"/>
      <c r="BH15" s="111"/>
      <c r="BI15" s="111"/>
      <c r="BJ15" s="111"/>
    </row>
    <row r="16" ht="14.25" customHeight="1">
      <c r="A16" s="37">
        <v>15.0</v>
      </c>
      <c r="B16" s="38">
        <v>46227.55046837963</v>
      </c>
      <c r="C16" s="37" t="s">
        <v>85</v>
      </c>
      <c r="D16" s="39"/>
      <c r="E16" s="37" t="s">
        <v>143</v>
      </c>
      <c r="F16" s="37" t="s">
        <v>207</v>
      </c>
      <c r="G16" s="37" t="s">
        <v>208</v>
      </c>
      <c r="H16" s="37">
        <v>75.0</v>
      </c>
      <c r="I16" s="88" t="s">
        <v>209</v>
      </c>
      <c r="J16" s="89" t="s">
        <v>60</v>
      </c>
      <c r="K16" s="90" t="s">
        <v>89</v>
      </c>
      <c r="L16" s="92" t="s">
        <v>93</v>
      </c>
      <c r="M16" s="37">
        <v>4.0</v>
      </c>
      <c r="N16" s="90" t="s">
        <v>131</v>
      </c>
      <c r="O16" s="95" t="s">
        <v>61</v>
      </c>
      <c r="P16" s="95" t="s">
        <v>61</v>
      </c>
      <c r="Q16" s="37" t="s">
        <v>61</v>
      </c>
      <c r="R16" s="37" t="s">
        <v>61</v>
      </c>
      <c r="S16" s="37" t="s">
        <v>61</v>
      </c>
      <c r="T16" s="37" t="s">
        <v>61</v>
      </c>
      <c r="U16" s="37" t="s">
        <v>61</v>
      </c>
      <c r="V16" s="37" t="s">
        <v>61</v>
      </c>
      <c r="W16" s="37" t="s">
        <v>61</v>
      </c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127" t="s">
        <v>136</v>
      </c>
      <c r="AL16" s="119" t="s">
        <v>152</v>
      </c>
      <c r="AM16" s="37">
        <v>1.0</v>
      </c>
      <c r="AN16" s="103">
        <v>46227.0</v>
      </c>
      <c r="AO16" s="102" t="s">
        <v>154</v>
      </c>
      <c r="AP16" s="39"/>
      <c r="AQ16" s="39"/>
      <c r="AR16" s="39"/>
      <c r="AS16" s="39"/>
      <c r="AT16" s="39"/>
      <c r="AU16" s="39"/>
      <c r="AV16" s="92" t="s">
        <v>60</v>
      </c>
      <c r="AW16" s="102" t="s">
        <v>93</v>
      </c>
      <c r="AX16" s="103">
        <v>46227.0</v>
      </c>
      <c r="AY16" s="37">
        <v>0.3</v>
      </c>
      <c r="AZ16" s="104" t="s">
        <v>131</v>
      </c>
      <c r="BA16" s="102" t="s">
        <v>60</v>
      </c>
      <c r="BB16" s="104" t="s">
        <v>131</v>
      </c>
      <c r="BC16" s="39"/>
      <c r="BD16" s="129" t="s">
        <v>142</v>
      </c>
      <c r="BE16" s="120" t="s">
        <v>155</v>
      </c>
      <c r="BF16" s="111"/>
      <c r="BG16" s="111"/>
      <c r="BH16" s="111"/>
      <c r="BI16" s="111"/>
      <c r="BJ16" s="111"/>
    </row>
    <row r="17" ht="14.25" customHeight="1">
      <c r="A17" s="37">
        <v>16.0</v>
      </c>
      <c r="B17" s="38">
        <v>46228.42510653935</v>
      </c>
      <c r="C17" s="37" t="s">
        <v>85</v>
      </c>
      <c r="D17" s="39"/>
      <c r="E17" s="37" t="s">
        <v>86</v>
      </c>
      <c r="F17" s="37" t="s">
        <v>210</v>
      </c>
      <c r="G17" s="37" t="s">
        <v>201</v>
      </c>
      <c r="H17" s="37">
        <v>50.0</v>
      </c>
      <c r="I17" s="88" t="s">
        <v>211</v>
      </c>
      <c r="J17" s="89" t="s">
        <v>60</v>
      </c>
      <c r="K17" s="90" t="s">
        <v>89</v>
      </c>
      <c r="L17" s="92" t="s">
        <v>93</v>
      </c>
      <c r="M17" s="37">
        <v>4.0</v>
      </c>
      <c r="N17" s="190" t="s">
        <v>154</v>
      </c>
      <c r="O17" s="119" t="s">
        <v>151</v>
      </c>
      <c r="P17" s="95" t="s">
        <v>61</v>
      </c>
      <c r="Q17" s="37" t="s">
        <v>61</v>
      </c>
      <c r="R17" s="103">
        <v>46228.0</v>
      </c>
      <c r="S17" s="120" t="s">
        <v>155</v>
      </c>
      <c r="T17" s="37" t="s">
        <v>61</v>
      </c>
      <c r="U17" s="37" t="s">
        <v>61</v>
      </c>
      <c r="V17" s="37" t="s">
        <v>61</v>
      </c>
      <c r="W17" s="37" t="s">
        <v>61</v>
      </c>
      <c r="X17" s="39"/>
      <c r="Y17" s="37" t="s">
        <v>134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119" t="s">
        <v>151</v>
      </c>
      <c r="AL17" s="102" t="s">
        <v>138</v>
      </c>
      <c r="AM17" s="37">
        <v>1.0</v>
      </c>
      <c r="AN17" s="103">
        <v>46228.0</v>
      </c>
      <c r="AO17" s="104" t="s">
        <v>131</v>
      </c>
      <c r="AP17" s="39"/>
      <c r="AQ17" s="148" t="s">
        <v>149</v>
      </c>
      <c r="AR17" s="37">
        <v>1.0</v>
      </c>
      <c r="AS17" s="103">
        <v>46228.0</v>
      </c>
      <c r="AT17" s="104" t="s">
        <v>131</v>
      </c>
      <c r="AU17" s="39"/>
      <c r="AV17" s="92" t="s">
        <v>60</v>
      </c>
      <c r="AW17" s="102" t="s">
        <v>93</v>
      </c>
      <c r="AX17" s="103">
        <v>46228.0</v>
      </c>
      <c r="AY17" s="37">
        <v>0.3</v>
      </c>
      <c r="AZ17" s="102" t="s">
        <v>154</v>
      </c>
      <c r="BA17" s="102" t="s">
        <v>60</v>
      </c>
      <c r="BB17" s="102" t="s">
        <v>154</v>
      </c>
      <c r="BC17" s="39"/>
      <c r="BD17" s="129" t="s">
        <v>142</v>
      </c>
      <c r="BE17" s="104" t="s">
        <v>131</v>
      </c>
      <c r="BF17" s="111"/>
      <c r="BG17" s="111"/>
      <c r="BH17" s="111"/>
      <c r="BI17" s="111"/>
      <c r="BJ17" s="111"/>
    </row>
    <row r="18" ht="14.25" customHeight="1">
      <c r="A18" s="112">
        <v>17.0</v>
      </c>
      <c r="B18" s="38">
        <v>46228.428392800924</v>
      </c>
      <c r="C18" s="37" t="s">
        <v>85</v>
      </c>
      <c r="D18" s="39"/>
      <c r="E18" s="37" t="s">
        <v>86</v>
      </c>
      <c r="F18" s="37" t="s">
        <v>212</v>
      </c>
      <c r="G18" s="37" t="s">
        <v>201</v>
      </c>
      <c r="H18" s="37">
        <v>60.0</v>
      </c>
      <c r="I18" s="88" t="s">
        <v>213</v>
      </c>
      <c r="J18" s="89" t="s">
        <v>60</v>
      </c>
      <c r="K18" s="90" t="s">
        <v>89</v>
      </c>
      <c r="L18" s="92" t="s">
        <v>93</v>
      </c>
      <c r="M18" s="37">
        <v>4.0</v>
      </c>
      <c r="N18" s="190" t="s">
        <v>154</v>
      </c>
      <c r="O18" s="119" t="s">
        <v>151</v>
      </c>
      <c r="P18" s="95" t="s">
        <v>61</v>
      </c>
      <c r="Q18" s="37" t="s">
        <v>61</v>
      </c>
      <c r="R18" s="103">
        <v>46228.0</v>
      </c>
      <c r="S18" s="120" t="s">
        <v>155</v>
      </c>
      <c r="T18" s="37" t="s">
        <v>61</v>
      </c>
      <c r="U18" s="37" t="s">
        <v>61</v>
      </c>
      <c r="V18" s="37" t="s">
        <v>61</v>
      </c>
      <c r="W18" s="37" t="s">
        <v>61</v>
      </c>
      <c r="X18" s="39"/>
      <c r="Y18" s="37" t="s">
        <v>134</v>
      </c>
      <c r="Z18" s="148" t="s">
        <v>149</v>
      </c>
      <c r="AA18" s="39"/>
      <c r="AB18" s="39"/>
      <c r="AC18" s="103">
        <v>46228.0</v>
      </c>
      <c r="AD18" s="120" t="s">
        <v>155</v>
      </c>
      <c r="AE18" s="39"/>
      <c r="AF18" s="39"/>
      <c r="AG18" s="39"/>
      <c r="AH18" s="39"/>
      <c r="AI18" s="39"/>
      <c r="AJ18" s="39"/>
      <c r="AK18" s="119" t="s">
        <v>151</v>
      </c>
      <c r="AL18" s="102" t="s">
        <v>138</v>
      </c>
      <c r="AM18" s="37">
        <v>1.0</v>
      </c>
      <c r="AN18" s="103">
        <v>46228.0</v>
      </c>
      <c r="AO18" s="104" t="s">
        <v>131</v>
      </c>
      <c r="AP18" s="39"/>
      <c r="AQ18" s="148" t="s">
        <v>149</v>
      </c>
      <c r="AR18" s="37">
        <v>1.0</v>
      </c>
      <c r="AS18" s="103">
        <v>46228.0</v>
      </c>
      <c r="AT18" s="104" t="s">
        <v>131</v>
      </c>
      <c r="AU18" s="39"/>
      <c r="AV18" s="92" t="s">
        <v>60</v>
      </c>
      <c r="AW18" s="102" t="s">
        <v>93</v>
      </c>
      <c r="AX18" s="103">
        <v>46228.0</v>
      </c>
      <c r="AY18" s="37">
        <v>0.3</v>
      </c>
      <c r="AZ18" s="102" t="s">
        <v>154</v>
      </c>
      <c r="BA18" s="102" t="s">
        <v>60</v>
      </c>
      <c r="BB18" s="104" t="s">
        <v>131</v>
      </c>
      <c r="BC18" s="39"/>
      <c r="BD18" s="129" t="s">
        <v>142</v>
      </c>
      <c r="BE18" s="104" t="s">
        <v>131</v>
      </c>
      <c r="BF18" s="111"/>
      <c r="BG18" s="111"/>
      <c r="BH18" s="111"/>
      <c r="BI18" s="111"/>
      <c r="BJ18" s="111"/>
    </row>
    <row r="19" ht="14.25" customHeight="1">
      <c r="A19" s="37">
        <v>18.0</v>
      </c>
      <c r="B19" s="38">
        <v>46228.43510300926</v>
      </c>
      <c r="C19" s="37" t="s">
        <v>85</v>
      </c>
      <c r="D19" s="39"/>
      <c r="E19" s="37" t="s">
        <v>86</v>
      </c>
      <c r="F19" s="37" t="s">
        <v>214</v>
      </c>
      <c r="G19" s="37" t="s">
        <v>201</v>
      </c>
      <c r="H19" s="37">
        <v>70.0</v>
      </c>
      <c r="I19" s="88" t="s">
        <v>215</v>
      </c>
      <c r="J19" s="89" t="s">
        <v>60</v>
      </c>
      <c r="K19" s="90" t="s">
        <v>89</v>
      </c>
      <c r="L19" s="172" t="s">
        <v>188</v>
      </c>
      <c r="M19" s="37">
        <v>3.0</v>
      </c>
      <c r="N19" s="90" t="s">
        <v>131</v>
      </c>
      <c r="O19" s="127" t="s">
        <v>136</v>
      </c>
      <c r="P19" s="95" t="s">
        <v>61</v>
      </c>
      <c r="Q19" s="37" t="s">
        <v>61</v>
      </c>
      <c r="R19" s="37" t="s">
        <v>61</v>
      </c>
      <c r="S19" s="120" t="s">
        <v>155</v>
      </c>
      <c r="T19" s="37" t="s">
        <v>61</v>
      </c>
      <c r="U19" s="37" t="s">
        <v>61</v>
      </c>
      <c r="V19" s="37" t="s">
        <v>61</v>
      </c>
      <c r="W19" s="37" t="s">
        <v>61</v>
      </c>
      <c r="X19" s="39"/>
      <c r="Y19" s="37" t="s">
        <v>134</v>
      </c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127" t="s">
        <v>136</v>
      </c>
      <c r="AL19" s="102" t="s">
        <v>138</v>
      </c>
      <c r="AM19" s="37">
        <v>0.5</v>
      </c>
      <c r="AN19" s="103">
        <v>46228.0</v>
      </c>
      <c r="AO19" s="104" t="s">
        <v>131</v>
      </c>
      <c r="AP19" s="39"/>
      <c r="AQ19" s="128" t="s">
        <v>139</v>
      </c>
      <c r="AR19" s="37">
        <v>0.5</v>
      </c>
      <c r="AS19" s="103">
        <v>46228.0</v>
      </c>
      <c r="AT19" s="104" t="s">
        <v>131</v>
      </c>
      <c r="AU19" s="39"/>
      <c r="AV19" s="92" t="s">
        <v>60</v>
      </c>
      <c r="AW19" s="102" t="s">
        <v>93</v>
      </c>
      <c r="AX19" s="103">
        <v>46228.0</v>
      </c>
      <c r="AY19" s="37">
        <v>0.2</v>
      </c>
      <c r="AZ19" s="104" t="s">
        <v>131</v>
      </c>
      <c r="BA19" s="102" t="s">
        <v>60</v>
      </c>
      <c r="BB19" s="104" t="s">
        <v>131</v>
      </c>
      <c r="BC19" s="39"/>
      <c r="BD19" s="129" t="s">
        <v>142</v>
      </c>
      <c r="BE19" s="102" t="s">
        <v>154</v>
      </c>
      <c r="BF19" s="111"/>
      <c r="BG19" s="111"/>
      <c r="BH19" s="111"/>
      <c r="BI19" s="111"/>
      <c r="BJ19" s="111"/>
    </row>
    <row r="20" ht="14.25" customHeight="1">
      <c r="A20" s="112">
        <v>19.0</v>
      </c>
      <c r="B20" s="38">
        <v>46228.440289039354</v>
      </c>
      <c r="C20" s="37" t="s">
        <v>85</v>
      </c>
      <c r="D20" s="39"/>
      <c r="E20" s="37" t="s">
        <v>86</v>
      </c>
      <c r="F20" s="37" t="s">
        <v>87</v>
      </c>
      <c r="G20" s="37" t="s">
        <v>201</v>
      </c>
      <c r="H20" s="37">
        <v>80.0</v>
      </c>
      <c r="I20" s="88" t="s">
        <v>216</v>
      </c>
      <c r="J20" s="89" t="s">
        <v>60</v>
      </c>
      <c r="K20" s="90" t="s">
        <v>89</v>
      </c>
      <c r="L20" s="92" t="s">
        <v>93</v>
      </c>
      <c r="M20" s="37">
        <v>3.0</v>
      </c>
      <c r="N20" s="90" t="s">
        <v>131</v>
      </c>
      <c r="O20" s="127" t="s">
        <v>136</v>
      </c>
      <c r="P20" s="102" t="s">
        <v>129</v>
      </c>
      <c r="Q20" s="37" t="s">
        <v>61</v>
      </c>
      <c r="R20" s="103">
        <v>46228.0</v>
      </c>
      <c r="S20" s="120" t="s">
        <v>155</v>
      </c>
      <c r="T20" s="37" t="s">
        <v>61</v>
      </c>
      <c r="U20" s="37" t="s">
        <v>61</v>
      </c>
      <c r="V20" s="37" t="s">
        <v>61</v>
      </c>
      <c r="W20" s="37" t="s">
        <v>61</v>
      </c>
      <c r="X20" s="39"/>
      <c r="Y20" s="39"/>
      <c r="Z20" s="148" t="s">
        <v>149</v>
      </c>
      <c r="AA20" s="102" t="s">
        <v>129</v>
      </c>
      <c r="AB20" s="37">
        <v>1.0</v>
      </c>
      <c r="AC20" s="103">
        <v>46228.0</v>
      </c>
      <c r="AD20" s="102" t="s">
        <v>154</v>
      </c>
      <c r="AE20" s="39"/>
      <c r="AF20" s="39"/>
      <c r="AG20" s="39"/>
      <c r="AH20" s="39"/>
      <c r="AI20" s="39"/>
      <c r="AJ20" s="39"/>
      <c r="AK20" s="119" t="s">
        <v>151</v>
      </c>
      <c r="AL20" s="119" t="s">
        <v>152</v>
      </c>
      <c r="AM20" s="37">
        <v>1.0</v>
      </c>
      <c r="AN20" s="103">
        <v>46228.0</v>
      </c>
      <c r="AO20" s="104" t="s">
        <v>131</v>
      </c>
      <c r="AP20" s="39"/>
      <c r="AQ20" s="148" t="s">
        <v>149</v>
      </c>
      <c r="AR20" s="37">
        <v>1.0</v>
      </c>
      <c r="AS20" s="103">
        <v>46228.0</v>
      </c>
      <c r="AT20" s="104" t="s">
        <v>131</v>
      </c>
      <c r="AU20" s="39"/>
      <c r="AV20" s="92" t="s">
        <v>60</v>
      </c>
      <c r="AW20" s="102" t="s">
        <v>93</v>
      </c>
      <c r="AX20" s="103">
        <v>46228.0</v>
      </c>
      <c r="AY20" s="37">
        <v>0.3</v>
      </c>
      <c r="AZ20" s="104" t="s">
        <v>131</v>
      </c>
      <c r="BA20" s="102" t="s">
        <v>60</v>
      </c>
      <c r="BB20" s="104" t="s">
        <v>131</v>
      </c>
      <c r="BC20" s="39"/>
      <c r="BD20" s="129" t="s">
        <v>142</v>
      </c>
      <c r="BE20" s="104" t="s">
        <v>131</v>
      </c>
      <c r="BF20" s="111"/>
      <c r="BG20" s="111"/>
      <c r="BH20" s="111"/>
      <c r="BI20" s="111"/>
      <c r="BJ20" s="111"/>
    </row>
    <row r="21" ht="14.25" customHeight="1">
      <c r="A21" s="37">
        <v>20.0</v>
      </c>
      <c r="B21" s="38">
        <v>46228.4435340162</v>
      </c>
      <c r="C21" s="37" t="s">
        <v>85</v>
      </c>
      <c r="D21" s="39"/>
      <c r="E21" s="37" t="s">
        <v>86</v>
      </c>
      <c r="F21" s="37" t="s">
        <v>217</v>
      </c>
      <c r="G21" s="37" t="s">
        <v>201</v>
      </c>
      <c r="H21" s="37">
        <v>80.0</v>
      </c>
      <c r="I21" s="88" t="s">
        <v>218</v>
      </c>
      <c r="J21" s="89" t="s">
        <v>60</v>
      </c>
      <c r="K21" s="90" t="s">
        <v>89</v>
      </c>
      <c r="L21" s="92" t="s">
        <v>93</v>
      </c>
      <c r="M21" s="37">
        <v>2.5</v>
      </c>
      <c r="N21" s="190" t="s">
        <v>154</v>
      </c>
      <c r="O21" s="127" t="s">
        <v>136</v>
      </c>
      <c r="P21" s="102" t="s">
        <v>129</v>
      </c>
      <c r="Q21" s="37">
        <v>0.5</v>
      </c>
      <c r="R21" s="103">
        <v>46228.0</v>
      </c>
      <c r="S21" s="120" t="s">
        <v>155</v>
      </c>
      <c r="T21" s="37" t="s">
        <v>61</v>
      </c>
      <c r="U21" s="37" t="s">
        <v>61</v>
      </c>
      <c r="V21" s="37" t="s">
        <v>61</v>
      </c>
      <c r="W21" s="37" t="s">
        <v>61</v>
      </c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7" t="s">
        <v>134</v>
      </c>
      <c r="AK21" s="127" t="s">
        <v>136</v>
      </c>
      <c r="AL21" s="119" t="s">
        <v>152</v>
      </c>
      <c r="AM21" s="37">
        <v>1.0</v>
      </c>
      <c r="AN21" s="103">
        <v>46228.0</v>
      </c>
      <c r="AO21" s="102" t="s">
        <v>154</v>
      </c>
      <c r="AP21" s="39"/>
      <c r="AQ21" s="128" t="s">
        <v>139</v>
      </c>
      <c r="AR21" s="37">
        <v>1.0</v>
      </c>
      <c r="AS21" s="103">
        <v>46228.0</v>
      </c>
      <c r="AT21" s="102" t="s">
        <v>154</v>
      </c>
      <c r="AU21" s="39"/>
      <c r="AV21" s="92" t="s">
        <v>60</v>
      </c>
      <c r="AW21" s="102" t="s">
        <v>93</v>
      </c>
      <c r="AX21" s="103">
        <v>46228.0</v>
      </c>
      <c r="AY21" s="37">
        <v>0.3</v>
      </c>
      <c r="AZ21" s="104" t="s">
        <v>131</v>
      </c>
      <c r="BA21" s="199" t="s">
        <v>62</v>
      </c>
      <c r="BB21" s="120" t="s">
        <v>155</v>
      </c>
      <c r="BC21" s="39"/>
      <c r="BD21" s="129" t="s">
        <v>142</v>
      </c>
      <c r="BE21" s="102" t="s">
        <v>154</v>
      </c>
      <c r="BF21" s="111"/>
      <c r="BG21" s="111"/>
      <c r="BH21" s="111"/>
      <c r="BI21" s="111"/>
      <c r="BJ21" s="111"/>
    </row>
    <row r="22" ht="14.25" customHeight="1">
      <c r="A22" s="37">
        <v>21.0</v>
      </c>
      <c r="B22" s="38">
        <v>46228.4473300463</v>
      </c>
      <c r="C22" s="37" t="s">
        <v>85</v>
      </c>
      <c r="D22" s="39"/>
      <c r="E22" s="37" t="s">
        <v>86</v>
      </c>
      <c r="F22" s="37" t="s">
        <v>219</v>
      </c>
      <c r="G22" s="37" t="s">
        <v>201</v>
      </c>
      <c r="H22" s="37">
        <v>136.0</v>
      </c>
      <c r="I22" s="88" t="s">
        <v>220</v>
      </c>
      <c r="J22" s="89" t="s">
        <v>60</v>
      </c>
      <c r="K22" s="90" t="s">
        <v>89</v>
      </c>
      <c r="L22" s="92" t="s">
        <v>93</v>
      </c>
      <c r="M22" s="37">
        <v>3.0</v>
      </c>
      <c r="N22" s="190" t="s">
        <v>154</v>
      </c>
      <c r="O22" s="127" t="s">
        <v>136</v>
      </c>
      <c r="P22" s="102" t="s">
        <v>129</v>
      </c>
      <c r="Q22" s="37">
        <v>1.5</v>
      </c>
      <c r="R22" s="103">
        <v>46228.0</v>
      </c>
      <c r="S22" s="102" t="s">
        <v>154</v>
      </c>
      <c r="T22" s="37" t="s">
        <v>61</v>
      </c>
      <c r="U22" s="102" t="s">
        <v>129</v>
      </c>
      <c r="V22" s="37" t="s">
        <v>61</v>
      </c>
      <c r="W22" s="103">
        <v>46228.0</v>
      </c>
      <c r="X22" s="120" t="s">
        <v>155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127" t="s">
        <v>136</v>
      </c>
      <c r="AL22" s="119" t="s">
        <v>152</v>
      </c>
      <c r="AM22" s="37">
        <v>1.0</v>
      </c>
      <c r="AN22" s="103">
        <v>46228.0</v>
      </c>
      <c r="AO22" s="102" t="s">
        <v>154</v>
      </c>
      <c r="AP22" s="39"/>
      <c r="AQ22" s="128" t="s">
        <v>139</v>
      </c>
      <c r="AR22" s="37">
        <v>1.0</v>
      </c>
      <c r="AS22" s="103">
        <v>46228.0</v>
      </c>
      <c r="AT22" s="102" t="s">
        <v>154</v>
      </c>
      <c r="AU22" s="39"/>
      <c r="AV22" s="92" t="s">
        <v>60</v>
      </c>
      <c r="AW22" s="102" t="s">
        <v>93</v>
      </c>
      <c r="AX22" s="103">
        <v>46228.0</v>
      </c>
      <c r="AY22" s="37">
        <v>0.3</v>
      </c>
      <c r="AZ22" s="102" t="s">
        <v>154</v>
      </c>
      <c r="BA22" s="199" t="s">
        <v>62</v>
      </c>
      <c r="BB22" s="120" t="s">
        <v>155</v>
      </c>
      <c r="BC22" s="39"/>
      <c r="BD22" s="129" t="s">
        <v>142</v>
      </c>
      <c r="BE22" s="102" t="s">
        <v>154</v>
      </c>
      <c r="BF22" s="111"/>
      <c r="BG22" s="111"/>
      <c r="BH22" s="111"/>
      <c r="BI22" s="111"/>
      <c r="BJ22" s="111"/>
    </row>
    <row r="23" ht="14.25" customHeight="1">
      <c r="A23" s="112">
        <v>22.0</v>
      </c>
      <c r="B23" s="38">
        <v>46228.45076929398</v>
      </c>
      <c r="C23" s="37" t="s">
        <v>85</v>
      </c>
      <c r="D23" s="39"/>
      <c r="E23" s="37" t="s">
        <v>86</v>
      </c>
      <c r="F23" s="37" t="s">
        <v>221</v>
      </c>
      <c r="G23" s="37" t="s">
        <v>201</v>
      </c>
      <c r="H23" s="37">
        <v>138.0</v>
      </c>
      <c r="I23" s="88" t="s">
        <v>220</v>
      </c>
      <c r="J23" s="89" t="s">
        <v>60</v>
      </c>
      <c r="K23" s="90" t="s">
        <v>89</v>
      </c>
      <c r="L23" s="92" t="s">
        <v>93</v>
      </c>
      <c r="M23" s="37">
        <v>3.0</v>
      </c>
      <c r="N23" s="190" t="s">
        <v>154</v>
      </c>
      <c r="O23" s="127" t="s">
        <v>136</v>
      </c>
      <c r="P23" s="102" t="s">
        <v>129</v>
      </c>
      <c r="Q23" s="37">
        <v>1.0</v>
      </c>
      <c r="R23" s="103">
        <v>46228.0</v>
      </c>
      <c r="S23" s="120" t="s">
        <v>155</v>
      </c>
      <c r="T23" s="37" t="s">
        <v>61</v>
      </c>
      <c r="U23" s="102" t="s">
        <v>129</v>
      </c>
      <c r="V23" s="37">
        <v>1.0</v>
      </c>
      <c r="W23" s="103">
        <v>46228.0</v>
      </c>
      <c r="X23" s="120" t="s">
        <v>155</v>
      </c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127" t="s">
        <v>136</v>
      </c>
      <c r="AL23" s="119" t="s">
        <v>152</v>
      </c>
      <c r="AM23" s="37">
        <v>1.0</v>
      </c>
      <c r="AN23" s="103">
        <v>46228.0</v>
      </c>
      <c r="AO23" s="104" t="s">
        <v>131</v>
      </c>
      <c r="AP23" s="39"/>
      <c r="AQ23" s="128" t="s">
        <v>139</v>
      </c>
      <c r="AR23" s="37">
        <v>1.0</v>
      </c>
      <c r="AS23" s="103">
        <v>46228.0</v>
      </c>
      <c r="AT23" s="104" t="s">
        <v>131</v>
      </c>
      <c r="AU23" s="39"/>
      <c r="AV23" s="92" t="s">
        <v>60</v>
      </c>
      <c r="AW23" s="102" t="s">
        <v>93</v>
      </c>
      <c r="AX23" s="103">
        <v>46228.0</v>
      </c>
      <c r="AY23" s="37">
        <v>0.3</v>
      </c>
      <c r="AZ23" s="102" t="s">
        <v>154</v>
      </c>
      <c r="BA23" s="199" t="s">
        <v>62</v>
      </c>
      <c r="BB23" s="120" t="s">
        <v>155</v>
      </c>
      <c r="BC23" s="39"/>
      <c r="BD23" s="129" t="s">
        <v>142</v>
      </c>
      <c r="BE23" s="102" t="s">
        <v>154</v>
      </c>
      <c r="BF23" s="111"/>
      <c r="BG23" s="111"/>
      <c r="BH23" s="111"/>
      <c r="BI23" s="111"/>
      <c r="BJ23" s="111"/>
    </row>
    <row r="24" ht="14.25" customHeight="1">
      <c r="A24" s="37">
        <v>23.0</v>
      </c>
      <c r="B24" s="38">
        <v>46228.45082769676</v>
      </c>
      <c r="C24" s="37" t="s">
        <v>85</v>
      </c>
      <c r="D24" s="39"/>
      <c r="E24" s="37" t="s">
        <v>222</v>
      </c>
      <c r="F24" s="172" t="s">
        <v>188</v>
      </c>
      <c r="G24" s="172" t="s">
        <v>188</v>
      </c>
      <c r="H24" s="37">
        <v>790.0</v>
      </c>
      <c r="I24" s="88" t="s">
        <v>223</v>
      </c>
      <c r="J24" s="155" t="s">
        <v>62</v>
      </c>
      <c r="K24" s="200" t="s">
        <v>65</v>
      </c>
      <c r="L24" s="92" t="s">
        <v>93</v>
      </c>
      <c r="M24" s="37">
        <v>9.0</v>
      </c>
      <c r="N24" s="190" t="s">
        <v>154</v>
      </c>
      <c r="O24" s="127" t="s">
        <v>136</v>
      </c>
      <c r="P24" s="102" t="s">
        <v>129</v>
      </c>
      <c r="Q24" s="37">
        <v>1.8</v>
      </c>
      <c r="R24" s="103">
        <v>46228.0</v>
      </c>
      <c r="S24" s="104" t="s">
        <v>131</v>
      </c>
      <c r="T24" s="37" t="s">
        <v>61</v>
      </c>
      <c r="U24" s="201" t="s">
        <v>132</v>
      </c>
      <c r="V24" s="37">
        <v>1.2</v>
      </c>
      <c r="W24" s="103">
        <v>46228.0</v>
      </c>
      <c r="X24" s="104" t="s">
        <v>131</v>
      </c>
      <c r="Y24" s="39"/>
      <c r="Z24" s="128" t="s">
        <v>139</v>
      </c>
      <c r="AA24" s="102" t="s">
        <v>129</v>
      </c>
      <c r="AB24" s="37">
        <v>1.8</v>
      </c>
      <c r="AC24" s="103">
        <v>46228.0</v>
      </c>
      <c r="AD24" s="104" t="s">
        <v>131</v>
      </c>
      <c r="AE24" s="39"/>
      <c r="AF24" s="201" t="s">
        <v>132</v>
      </c>
      <c r="AG24" s="37">
        <v>1.2</v>
      </c>
      <c r="AH24" s="103">
        <v>46228.0</v>
      </c>
      <c r="AI24" s="104" t="s">
        <v>131</v>
      </c>
      <c r="AJ24" s="39"/>
      <c r="AK24" s="127" t="s">
        <v>136</v>
      </c>
      <c r="AL24" s="119" t="s">
        <v>152</v>
      </c>
      <c r="AM24" s="37">
        <v>1.2</v>
      </c>
      <c r="AN24" s="103">
        <v>46228.0</v>
      </c>
      <c r="AO24" s="104" t="s">
        <v>131</v>
      </c>
      <c r="AP24" s="39"/>
      <c r="AQ24" s="128" t="s">
        <v>139</v>
      </c>
      <c r="AR24" s="37">
        <v>1.2</v>
      </c>
      <c r="AS24" s="103">
        <v>46228.0</v>
      </c>
      <c r="AT24" s="104" t="s">
        <v>131</v>
      </c>
      <c r="AU24" s="39"/>
      <c r="AV24" s="39"/>
      <c r="AW24" s="39"/>
      <c r="AX24" s="39"/>
      <c r="AY24" s="39"/>
      <c r="AZ24" s="39"/>
      <c r="BA24" s="39"/>
      <c r="BB24" s="39"/>
      <c r="BC24" s="39"/>
      <c r="BD24" s="89" t="s">
        <v>195</v>
      </c>
      <c r="BE24" s="104" t="s">
        <v>131</v>
      </c>
      <c r="BF24" s="111"/>
      <c r="BG24" s="111"/>
      <c r="BH24" s="111"/>
      <c r="BI24" s="111"/>
      <c r="BJ24" s="111"/>
    </row>
    <row r="25" ht="14.25" customHeight="1">
      <c r="A25" s="112">
        <v>24.0</v>
      </c>
      <c r="B25" s="38">
        <v>46228.455339513894</v>
      </c>
      <c r="C25" s="37" t="s">
        <v>85</v>
      </c>
      <c r="D25" s="39"/>
      <c r="E25" s="37" t="s">
        <v>86</v>
      </c>
      <c r="F25" s="37" t="s">
        <v>156</v>
      </c>
      <c r="G25" s="37" t="s">
        <v>201</v>
      </c>
      <c r="H25" s="37">
        <v>80.0</v>
      </c>
      <c r="I25" s="88" t="s">
        <v>224</v>
      </c>
      <c r="J25" s="89" t="s">
        <v>60</v>
      </c>
      <c r="K25" s="90" t="s">
        <v>89</v>
      </c>
      <c r="L25" s="92" t="s">
        <v>93</v>
      </c>
      <c r="M25" s="37">
        <v>2.5</v>
      </c>
      <c r="N25" s="90" t="s">
        <v>131</v>
      </c>
      <c r="O25" s="119" t="s">
        <v>151</v>
      </c>
      <c r="P25" s="102" t="s">
        <v>129</v>
      </c>
      <c r="Q25" s="37">
        <v>0.5</v>
      </c>
      <c r="R25" s="103">
        <v>46228.0</v>
      </c>
      <c r="S25" s="120" t="s">
        <v>155</v>
      </c>
      <c r="T25" s="37" t="s">
        <v>61</v>
      </c>
      <c r="U25" s="102" t="s">
        <v>129</v>
      </c>
      <c r="V25" s="39"/>
      <c r="W25" s="103">
        <v>46228.0</v>
      </c>
      <c r="X25" s="120" t="s">
        <v>155</v>
      </c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119" t="s">
        <v>151</v>
      </c>
      <c r="AL25" s="102" t="s">
        <v>138</v>
      </c>
      <c r="AM25" s="37">
        <v>0.7</v>
      </c>
      <c r="AN25" s="103">
        <v>46228.0</v>
      </c>
      <c r="AO25" s="129" t="s">
        <v>171</v>
      </c>
      <c r="AP25" s="39"/>
      <c r="AQ25" s="148" t="s">
        <v>149</v>
      </c>
      <c r="AR25" s="37">
        <v>0.7</v>
      </c>
      <c r="AS25" s="103">
        <v>46228.0</v>
      </c>
      <c r="AT25" s="129" t="s">
        <v>171</v>
      </c>
      <c r="AU25" s="39"/>
      <c r="AV25" s="92" t="s">
        <v>60</v>
      </c>
      <c r="AW25" s="102" t="s">
        <v>93</v>
      </c>
      <c r="AX25" s="103">
        <v>46228.0</v>
      </c>
      <c r="AY25" s="37">
        <v>0.2</v>
      </c>
      <c r="AZ25" s="104" t="s">
        <v>131</v>
      </c>
      <c r="BA25" s="102" t="s">
        <v>60</v>
      </c>
      <c r="BB25" s="120" t="s">
        <v>155</v>
      </c>
      <c r="BC25" s="39"/>
      <c r="BD25" s="129" t="s">
        <v>142</v>
      </c>
      <c r="BE25" s="102" t="s">
        <v>154</v>
      </c>
      <c r="BF25" s="111"/>
      <c r="BG25" s="111"/>
      <c r="BH25" s="111"/>
      <c r="BI25" s="111"/>
      <c r="BJ25" s="111"/>
    </row>
    <row r="26" ht="14.25" customHeight="1">
      <c r="A26" s="37">
        <v>25.0</v>
      </c>
      <c r="B26" s="38">
        <v>46228.459750671296</v>
      </c>
      <c r="C26" s="37" t="s">
        <v>85</v>
      </c>
      <c r="D26" s="39"/>
      <c r="E26" s="37" t="s">
        <v>143</v>
      </c>
      <c r="F26" s="37" t="s">
        <v>225</v>
      </c>
      <c r="G26" s="37" t="s">
        <v>204</v>
      </c>
      <c r="H26" s="37">
        <v>660.0</v>
      </c>
      <c r="I26" s="88" t="s">
        <v>226</v>
      </c>
      <c r="J26" s="89" t="s">
        <v>60</v>
      </c>
      <c r="K26" s="90" t="s">
        <v>89</v>
      </c>
      <c r="L26" s="92" t="s">
        <v>93</v>
      </c>
      <c r="M26" s="37">
        <v>5.0</v>
      </c>
      <c r="N26" s="190" t="s">
        <v>154</v>
      </c>
      <c r="O26" s="119" t="s">
        <v>151</v>
      </c>
      <c r="P26" s="102" t="s">
        <v>129</v>
      </c>
      <c r="Q26" s="37">
        <v>0.5</v>
      </c>
      <c r="R26" s="103">
        <v>46228.0</v>
      </c>
      <c r="S26" s="104" t="s">
        <v>131</v>
      </c>
      <c r="T26" s="37" t="s">
        <v>61</v>
      </c>
      <c r="U26" s="201" t="s">
        <v>132</v>
      </c>
      <c r="V26" s="37">
        <v>0.7</v>
      </c>
      <c r="W26" s="103">
        <v>46228.0</v>
      </c>
      <c r="X26" s="104" t="s">
        <v>131</v>
      </c>
      <c r="Y26" s="39"/>
      <c r="Z26" s="148" t="s">
        <v>149</v>
      </c>
      <c r="AA26" s="102" t="s">
        <v>129</v>
      </c>
      <c r="AB26" s="37">
        <v>0.5</v>
      </c>
      <c r="AC26" s="103">
        <v>46228.0</v>
      </c>
      <c r="AD26" s="104" t="s">
        <v>131</v>
      </c>
      <c r="AE26" s="39"/>
      <c r="AF26" s="201" t="s">
        <v>132</v>
      </c>
      <c r="AG26" s="37">
        <v>0.7</v>
      </c>
      <c r="AH26" s="103">
        <v>46228.0</v>
      </c>
      <c r="AI26" s="104" t="s">
        <v>131</v>
      </c>
      <c r="AJ26" s="39"/>
      <c r="AK26" s="119" t="s">
        <v>151</v>
      </c>
      <c r="AL26" s="119" t="s">
        <v>152</v>
      </c>
      <c r="AM26" s="37">
        <v>0.7</v>
      </c>
      <c r="AN26" s="103">
        <v>46228.0</v>
      </c>
      <c r="AO26" s="104" t="s">
        <v>131</v>
      </c>
      <c r="AP26" s="39"/>
      <c r="AQ26" s="148" t="s">
        <v>149</v>
      </c>
      <c r="AR26" s="37">
        <v>0.7</v>
      </c>
      <c r="AS26" s="103">
        <v>46228.0</v>
      </c>
      <c r="AT26" s="104" t="s">
        <v>131</v>
      </c>
      <c r="AU26" s="39"/>
      <c r="AV26" s="92" t="s">
        <v>60</v>
      </c>
      <c r="AW26" s="102" t="s">
        <v>93</v>
      </c>
      <c r="AX26" s="103">
        <v>46228.0</v>
      </c>
      <c r="AY26" s="37">
        <v>0.3</v>
      </c>
      <c r="AZ26" s="104" t="s">
        <v>131</v>
      </c>
      <c r="BA26" s="102" t="s">
        <v>60</v>
      </c>
      <c r="BB26" s="104" t="s">
        <v>131</v>
      </c>
      <c r="BC26" s="39"/>
      <c r="BD26" s="129" t="s">
        <v>142</v>
      </c>
      <c r="BE26" s="104" t="s">
        <v>131</v>
      </c>
      <c r="BF26" s="111"/>
      <c r="BG26" s="111"/>
      <c r="BH26" s="111"/>
      <c r="BI26" s="111"/>
      <c r="BJ26" s="111"/>
    </row>
    <row r="27" ht="14.25" customHeight="1">
      <c r="A27" s="37">
        <v>26.0</v>
      </c>
      <c r="B27" s="38">
        <v>46228.46159759259</v>
      </c>
      <c r="C27" s="37" t="s">
        <v>85</v>
      </c>
      <c r="D27" s="39"/>
      <c r="E27" s="37" t="s">
        <v>86</v>
      </c>
      <c r="F27" s="39"/>
      <c r="G27" s="37" t="s">
        <v>227</v>
      </c>
      <c r="H27" s="37">
        <v>100.0</v>
      </c>
      <c r="I27" s="88" t="s">
        <v>228</v>
      </c>
      <c r="J27" s="155" t="s">
        <v>62</v>
      </c>
      <c r="K27" s="90" t="s">
        <v>89</v>
      </c>
      <c r="L27" s="92" t="s">
        <v>93</v>
      </c>
      <c r="M27" s="37">
        <v>3.0</v>
      </c>
      <c r="N27" s="190" t="s">
        <v>154</v>
      </c>
      <c r="O27" s="119" t="s">
        <v>151</v>
      </c>
      <c r="P27" s="102" t="s">
        <v>129</v>
      </c>
      <c r="Q27" s="37">
        <v>0.5</v>
      </c>
      <c r="R27" s="103">
        <v>46228.0</v>
      </c>
      <c r="S27" s="120" t="s">
        <v>155</v>
      </c>
      <c r="T27" s="37" t="s">
        <v>61</v>
      </c>
      <c r="U27" s="102" t="s">
        <v>129</v>
      </c>
      <c r="V27" s="37">
        <v>0.5</v>
      </c>
      <c r="W27" s="103">
        <v>46228.0</v>
      </c>
      <c r="X27" s="129" t="s">
        <v>171</v>
      </c>
      <c r="Y27" s="39"/>
      <c r="Z27" s="148" t="s">
        <v>149</v>
      </c>
      <c r="AA27" s="102" t="s">
        <v>129</v>
      </c>
      <c r="AB27" s="37">
        <v>0.5</v>
      </c>
      <c r="AC27" s="103">
        <v>46228.0</v>
      </c>
      <c r="AD27" s="120" t="s">
        <v>155</v>
      </c>
      <c r="AE27" s="39"/>
      <c r="AF27" s="102" t="s">
        <v>129</v>
      </c>
      <c r="AG27" s="37">
        <v>0.5</v>
      </c>
      <c r="AH27" s="103">
        <v>46228.0</v>
      </c>
      <c r="AI27" s="120" t="s">
        <v>155</v>
      </c>
      <c r="AJ27" s="39"/>
      <c r="AK27" s="119" t="s">
        <v>151</v>
      </c>
      <c r="AL27" s="102" t="s">
        <v>138</v>
      </c>
      <c r="AM27" s="37">
        <v>0.5</v>
      </c>
      <c r="AN27" s="103">
        <v>46228.0</v>
      </c>
      <c r="AO27" s="129" t="s">
        <v>171</v>
      </c>
      <c r="AP27" s="39"/>
      <c r="AQ27" s="148" t="s">
        <v>149</v>
      </c>
      <c r="AR27" s="37">
        <v>0.5</v>
      </c>
      <c r="AS27" s="103">
        <v>46228.0</v>
      </c>
      <c r="AT27" s="129" t="s">
        <v>171</v>
      </c>
      <c r="AU27" s="39"/>
      <c r="AV27" s="92" t="s">
        <v>60</v>
      </c>
      <c r="AW27" s="102" t="s">
        <v>93</v>
      </c>
      <c r="AX27" s="103">
        <v>46228.0</v>
      </c>
      <c r="AY27" s="37">
        <v>0.3</v>
      </c>
      <c r="AZ27" s="129" t="s">
        <v>171</v>
      </c>
      <c r="BA27" s="102" t="s">
        <v>60</v>
      </c>
      <c r="BB27" s="120" t="s">
        <v>155</v>
      </c>
      <c r="BC27" s="39"/>
      <c r="BD27" s="129" t="s">
        <v>142</v>
      </c>
      <c r="BE27" s="102" t="s">
        <v>154</v>
      </c>
      <c r="BF27" s="111"/>
      <c r="BG27" s="111"/>
      <c r="BH27" s="111"/>
      <c r="BI27" s="111"/>
      <c r="BJ27" s="111"/>
    </row>
    <row r="28" ht="14.25" customHeight="1">
      <c r="A28" s="112">
        <v>27.0</v>
      </c>
      <c r="B28" s="38">
        <v>46228.46345148148</v>
      </c>
      <c r="C28" s="37" t="s">
        <v>85</v>
      </c>
      <c r="D28" s="39"/>
      <c r="E28" s="37" t="s">
        <v>143</v>
      </c>
      <c r="F28" s="37" t="s">
        <v>184</v>
      </c>
      <c r="G28" s="37" t="s">
        <v>229</v>
      </c>
      <c r="H28" s="37">
        <v>120.0</v>
      </c>
      <c r="I28" s="88" t="s">
        <v>230</v>
      </c>
      <c r="J28" s="89" t="s">
        <v>60</v>
      </c>
      <c r="K28" s="90" t="s">
        <v>89</v>
      </c>
      <c r="L28" s="92" t="s">
        <v>93</v>
      </c>
      <c r="M28" s="37">
        <v>4.0</v>
      </c>
      <c r="N28" s="90" t="s">
        <v>131</v>
      </c>
      <c r="O28" s="127" t="s">
        <v>136</v>
      </c>
      <c r="P28" s="37" t="s">
        <v>61</v>
      </c>
      <c r="Q28" s="37">
        <v>0.0</v>
      </c>
      <c r="R28" s="37" t="s">
        <v>61</v>
      </c>
      <c r="S28" s="37" t="s">
        <v>61</v>
      </c>
      <c r="T28" s="37" t="s">
        <v>61</v>
      </c>
      <c r="U28" s="37" t="s">
        <v>61</v>
      </c>
      <c r="V28" s="37" t="s">
        <v>61</v>
      </c>
      <c r="W28" s="37" t="s">
        <v>61</v>
      </c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127" t="s">
        <v>136</v>
      </c>
      <c r="AL28" s="102" t="s">
        <v>138</v>
      </c>
      <c r="AM28" s="37">
        <v>0.5</v>
      </c>
      <c r="AN28" s="103">
        <v>46228.0</v>
      </c>
      <c r="AO28" s="104" t="s">
        <v>131</v>
      </c>
      <c r="AP28" s="39"/>
      <c r="AQ28" s="128" t="s">
        <v>139</v>
      </c>
      <c r="AR28" s="37">
        <v>0.5</v>
      </c>
      <c r="AS28" s="103">
        <v>46228.0</v>
      </c>
      <c r="AT28" s="104" t="s">
        <v>131</v>
      </c>
      <c r="AU28" s="39"/>
      <c r="AV28" s="92" t="s">
        <v>60</v>
      </c>
      <c r="AW28" s="102" t="s">
        <v>93</v>
      </c>
      <c r="AX28" s="103">
        <v>46228.0</v>
      </c>
      <c r="AY28" s="37">
        <v>0.3</v>
      </c>
      <c r="AZ28" s="104" t="s">
        <v>131</v>
      </c>
      <c r="BA28" s="102" t="s">
        <v>60</v>
      </c>
      <c r="BB28" s="102" t="s">
        <v>154</v>
      </c>
      <c r="BC28" s="39"/>
      <c r="BD28" s="129" t="s">
        <v>142</v>
      </c>
      <c r="BE28" s="104" t="s">
        <v>131</v>
      </c>
      <c r="BF28" s="111"/>
      <c r="BG28" s="111"/>
      <c r="BH28" s="111"/>
      <c r="BI28" s="111"/>
      <c r="BJ28" s="111"/>
    </row>
    <row r="29" ht="14.25" customHeight="1">
      <c r="A29" s="37">
        <v>28.0</v>
      </c>
      <c r="B29" s="38">
        <v>46228.46572008102</v>
      </c>
      <c r="C29" s="37" t="s">
        <v>85</v>
      </c>
      <c r="D29" s="39"/>
      <c r="E29" s="37" t="s">
        <v>143</v>
      </c>
      <c r="F29" s="37" t="s">
        <v>180</v>
      </c>
      <c r="G29" s="37" t="s">
        <v>229</v>
      </c>
      <c r="H29" s="37">
        <v>80.0</v>
      </c>
      <c r="I29" s="88" t="s">
        <v>231</v>
      </c>
      <c r="J29" s="89" t="s">
        <v>60</v>
      </c>
      <c r="K29" s="90" t="s">
        <v>89</v>
      </c>
      <c r="L29" s="92" t="s">
        <v>93</v>
      </c>
      <c r="M29" s="37">
        <v>3.0</v>
      </c>
      <c r="N29" s="90" t="s">
        <v>131</v>
      </c>
      <c r="O29" s="37" t="s">
        <v>61</v>
      </c>
      <c r="P29" s="37" t="s">
        <v>61</v>
      </c>
      <c r="Q29" s="37">
        <v>0.0</v>
      </c>
      <c r="R29" s="37" t="s">
        <v>61</v>
      </c>
      <c r="S29" s="37" t="s">
        <v>61</v>
      </c>
      <c r="T29" s="37" t="s">
        <v>61</v>
      </c>
      <c r="U29" s="37" t="s">
        <v>61</v>
      </c>
      <c r="V29" s="37" t="s">
        <v>61</v>
      </c>
      <c r="W29" s="37" t="s">
        <v>61</v>
      </c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128" t="s">
        <v>139</v>
      </c>
      <c r="AR29" s="37">
        <v>0.5</v>
      </c>
      <c r="AS29" s="103">
        <v>46228.0</v>
      </c>
      <c r="AT29" s="104" t="s">
        <v>131</v>
      </c>
      <c r="AU29" s="39"/>
      <c r="AV29" s="92" t="s">
        <v>60</v>
      </c>
      <c r="AW29" s="102" t="s">
        <v>93</v>
      </c>
      <c r="AX29" s="103">
        <v>46228.0</v>
      </c>
      <c r="AY29" s="37">
        <v>0.3</v>
      </c>
      <c r="AZ29" s="104" t="s">
        <v>131</v>
      </c>
      <c r="BA29" s="102" t="s">
        <v>60</v>
      </c>
      <c r="BB29" s="102" t="s">
        <v>154</v>
      </c>
      <c r="BC29" s="39"/>
      <c r="BD29" s="129" t="s">
        <v>142</v>
      </c>
      <c r="BE29" s="104" t="s">
        <v>131</v>
      </c>
      <c r="BF29" s="111"/>
      <c r="BG29" s="111"/>
      <c r="BH29" s="111"/>
      <c r="BI29" s="111"/>
      <c r="BJ29" s="111"/>
    </row>
    <row r="30" ht="14.25" customHeight="1">
      <c r="A30" s="112">
        <v>29.0</v>
      </c>
      <c r="B30" s="38">
        <v>46228.466595254635</v>
      </c>
      <c r="C30" s="37" t="s">
        <v>85</v>
      </c>
      <c r="D30" s="39"/>
      <c r="E30" s="37" t="s">
        <v>86</v>
      </c>
      <c r="F30" s="37" t="s">
        <v>174</v>
      </c>
      <c r="G30" s="37" t="s">
        <v>232</v>
      </c>
      <c r="H30" s="37">
        <v>90.0</v>
      </c>
      <c r="I30" s="88" t="s">
        <v>233</v>
      </c>
      <c r="J30" s="89" t="s">
        <v>60</v>
      </c>
      <c r="K30" s="90" t="s">
        <v>89</v>
      </c>
      <c r="L30" s="92" t="s">
        <v>93</v>
      </c>
      <c r="M30" s="37">
        <v>3.0</v>
      </c>
      <c r="N30" s="190" t="s">
        <v>154</v>
      </c>
      <c r="O30" s="119" t="s">
        <v>151</v>
      </c>
      <c r="P30" s="102" t="s">
        <v>129</v>
      </c>
      <c r="Q30" s="37">
        <v>0.8</v>
      </c>
      <c r="R30" s="103">
        <v>46228.0</v>
      </c>
      <c r="S30" s="120" t="s">
        <v>155</v>
      </c>
      <c r="T30" s="37" t="s">
        <v>61</v>
      </c>
      <c r="U30" s="102" t="s">
        <v>129</v>
      </c>
      <c r="V30" s="37">
        <v>0.8</v>
      </c>
      <c r="W30" s="103">
        <v>46228.0</v>
      </c>
      <c r="X30" s="120" t="s">
        <v>155</v>
      </c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119" t="s">
        <v>151</v>
      </c>
      <c r="AL30" s="102" t="s">
        <v>138</v>
      </c>
      <c r="AM30" s="37">
        <v>0.5</v>
      </c>
      <c r="AN30" s="103">
        <v>46228.0</v>
      </c>
      <c r="AO30" s="104" t="s">
        <v>131</v>
      </c>
      <c r="AP30" s="39"/>
      <c r="AQ30" s="128" t="s">
        <v>139</v>
      </c>
      <c r="AR30" s="37">
        <v>0.5</v>
      </c>
      <c r="AS30" s="103">
        <v>46228.0</v>
      </c>
      <c r="AT30" s="104" t="s">
        <v>131</v>
      </c>
      <c r="AU30" s="39"/>
      <c r="AV30" s="92" t="s">
        <v>60</v>
      </c>
      <c r="AW30" s="102" t="s">
        <v>93</v>
      </c>
      <c r="AX30" s="103">
        <v>46228.0</v>
      </c>
      <c r="AY30" s="37">
        <v>0.3</v>
      </c>
      <c r="AZ30" s="129" t="s">
        <v>171</v>
      </c>
      <c r="BA30" s="102" t="s">
        <v>60</v>
      </c>
      <c r="BB30" s="120" t="s">
        <v>155</v>
      </c>
      <c r="BC30" s="39"/>
      <c r="BD30" s="129" t="s">
        <v>142</v>
      </c>
      <c r="BE30" s="120" t="s">
        <v>155</v>
      </c>
      <c r="BF30" s="111"/>
      <c r="BG30" s="111"/>
      <c r="BH30" s="111"/>
      <c r="BI30" s="111"/>
      <c r="BJ30" s="111"/>
    </row>
    <row r="31" ht="14.25" customHeight="1">
      <c r="A31" s="37">
        <v>30.0</v>
      </c>
      <c r="B31" s="38">
        <v>46228.46990899305</v>
      </c>
      <c r="C31" s="37" t="s">
        <v>85</v>
      </c>
      <c r="D31" s="39"/>
      <c r="E31" s="37" t="s">
        <v>143</v>
      </c>
      <c r="F31" s="37" t="s">
        <v>234</v>
      </c>
      <c r="G31" s="37" t="s">
        <v>229</v>
      </c>
      <c r="H31" s="37">
        <v>60.0</v>
      </c>
      <c r="I31" s="88" t="s">
        <v>235</v>
      </c>
      <c r="J31" s="155" t="s">
        <v>62</v>
      </c>
      <c r="K31" s="90" t="s">
        <v>89</v>
      </c>
      <c r="L31" s="92" t="s">
        <v>93</v>
      </c>
      <c r="M31" s="37">
        <v>3.0</v>
      </c>
      <c r="N31" s="190" t="s">
        <v>154</v>
      </c>
      <c r="O31" s="37" t="s">
        <v>61</v>
      </c>
      <c r="P31" s="37" t="s">
        <v>61</v>
      </c>
      <c r="Q31" s="37">
        <v>0.0</v>
      </c>
      <c r="R31" s="39"/>
      <c r="S31" s="37" t="s">
        <v>61</v>
      </c>
      <c r="T31" s="37" t="s">
        <v>61</v>
      </c>
      <c r="U31" s="37" t="s">
        <v>61</v>
      </c>
      <c r="V31" s="37" t="s">
        <v>61</v>
      </c>
      <c r="W31" s="37" t="s">
        <v>61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127" t="s">
        <v>136</v>
      </c>
      <c r="AL31" s="102" t="s">
        <v>138</v>
      </c>
      <c r="AM31" s="37">
        <v>0.5</v>
      </c>
      <c r="AN31" s="103">
        <v>46228.0</v>
      </c>
      <c r="AO31" s="104" t="s">
        <v>131</v>
      </c>
      <c r="AP31" s="39"/>
      <c r="AQ31" s="39"/>
      <c r="AR31" s="39"/>
      <c r="AS31" s="39"/>
      <c r="AT31" s="39"/>
      <c r="AU31" s="39"/>
      <c r="AV31" s="92" t="s">
        <v>60</v>
      </c>
      <c r="AW31" s="102" t="s">
        <v>93</v>
      </c>
      <c r="AX31" s="103">
        <v>46228.0</v>
      </c>
      <c r="AY31" s="37">
        <v>0.3</v>
      </c>
      <c r="AZ31" s="104" t="s">
        <v>131</v>
      </c>
      <c r="BA31" s="102" t="s">
        <v>60</v>
      </c>
      <c r="BB31" s="102" t="s">
        <v>154</v>
      </c>
      <c r="BC31" s="39"/>
      <c r="BD31" s="129" t="s">
        <v>142</v>
      </c>
      <c r="BE31" s="104" t="s">
        <v>131</v>
      </c>
      <c r="BF31" s="111"/>
      <c r="BG31" s="111"/>
      <c r="BH31" s="111"/>
      <c r="BI31" s="111"/>
      <c r="BJ31" s="111"/>
    </row>
    <row r="32" ht="14.25" customHeight="1">
      <c r="A32" s="37">
        <v>31.0</v>
      </c>
      <c r="B32" s="38">
        <v>46228.47149091435</v>
      </c>
      <c r="C32" s="37" t="s">
        <v>85</v>
      </c>
      <c r="D32" s="39"/>
      <c r="E32" s="37" t="s">
        <v>86</v>
      </c>
      <c r="F32" s="37" t="s">
        <v>236</v>
      </c>
      <c r="G32" s="37" t="s">
        <v>232</v>
      </c>
      <c r="H32" s="37">
        <v>140.0</v>
      </c>
      <c r="I32" s="88" t="s">
        <v>237</v>
      </c>
      <c r="J32" s="89" t="s">
        <v>60</v>
      </c>
      <c r="K32" s="90" t="s">
        <v>89</v>
      </c>
      <c r="L32" s="92" t="s">
        <v>93</v>
      </c>
      <c r="M32" s="37">
        <v>3.0</v>
      </c>
      <c r="N32" s="190" t="s">
        <v>154</v>
      </c>
      <c r="O32" s="127" t="s">
        <v>136</v>
      </c>
      <c r="P32" s="102" t="s">
        <v>129</v>
      </c>
      <c r="Q32" s="37">
        <v>0.0</v>
      </c>
      <c r="R32" s="103">
        <v>46228.0</v>
      </c>
      <c r="S32" s="120" t="s">
        <v>155</v>
      </c>
      <c r="T32" s="37" t="s">
        <v>61</v>
      </c>
      <c r="U32" s="102" t="s">
        <v>129</v>
      </c>
      <c r="V32" s="37" t="s">
        <v>61</v>
      </c>
      <c r="W32" s="103">
        <v>46228.0</v>
      </c>
      <c r="X32" s="120" t="s">
        <v>155</v>
      </c>
      <c r="Y32" s="39"/>
      <c r="Z32" s="128" t="s">
        <v>139</v>
      </c>
      <c r="AA32" s="102" t="s">
        <v>129</v>
      </c>
      <c r="AB32" s="39"/>
      <c r="AC32" s="39"/>
      <c r="AD32" s="39"/>
      <c r="AE32" s="39"/>
      <c r="AF32" s="39"/>
      <c r="AG32" s="39"/>
      <c r="AH32" s="39"/>
      <c r="AI32" s="39"/>
      <c r="AJ32" s="39"/>
      <c r="AK32" s="127" t="s">
        <v>136</v>
      </c>
      <c r="AL32" s="102" t="s">
        <v>138</v>
      </c>
      <c r="AM32" s="37">
        <v>1.0</v>
      </c>
      <c r="AN32" s="103">
        <v>46228.0</v>
      </c>
      <c r="AO32" s="104" t="s">
        <v>131</v>
      </c>
      <c r="AP32" s="39"/>
      <c r="AQ32" s="128" t="s">
        <v>139</v>
      </c>
      <c r="AR32" s="37">
        <v>1.0</v>
      </c>
      <c r="AS32" s="103">
        <v>46228.0</v>
      </c>
      <c r="AT32" s="104" t="s">
        <v>131</v>
      </c>
      <c r="AU32" s="39"/>
      <c r="AV32" s="92" t="s">
        <v>60</v>
      </c>
      <c r="AW32" s="102" t="s">
        <v>93</v>
      </c>
      <c r="AX32" s="103">
        <v>46228.0</v>
      </c>
      <c r="AY32" s="37">
        <v>0.3</v>
      </c>
      <c r="AZ32" s="129" t="s">
        <v>171</v>
      </c>
      <c r="BA32" s="102" t="s">
        <v>60</v>
      </c>
      <c r="BB32" s="120" t="s">
        <v>155</v>
      </c>
      <c r="BC32" s="39"/>
      <c r="BD32" s="129" t="s">
        <v>142</v>
      </c>
      <c r="BE32" s="120" t="s">
        <v>155</v>
      </c>
      <c r="BF32" s="111"/>
      <c r="BG32" s="111"/>
      <c r="BH32" s="111"/>
      <c r="BI32" s="111"/>
      <c r="BJ32" s="111"/>
    </row>
    <row r="33" ht="14.25" customHeight="1">
      <c r="A33" s="112">
        <v>32.0</v>
      </c>
      <c r="B33" s="38">
        <v>46228.472031377314</v>
      </c>
      <c r="C33" s="37" t="s">
        <v>85</v>
      </c>
      <c r="D33" s="39"/>
      <c r="E33" s="37" t="s">
        <v>143</v>
      </c>
      <c r="F33" s="39"/>
      <c r="G33" s="37" t="s">
        <v>238</v>
      </c>
      <c r="H33" s="37">
        <v>60.0</v>
      </c>
      <c r="I33" s="88" t="s">
        <v>239</v>
      </c>
      <c r="J33" s="89" t="s">
        <v>60</v>
      </c>
      <c r="K33" s="90" t="s">
        <v>89</v>
      </c>
      <c r="L33" s="92" t="s">
        <v>93</v>
      </c>
      <c r="M33" s="37">
        <v>2.0</v>
      </c>
      <c r="N33" s="90" t="s">
        <v>131</v>
      </c>
      <c r="O33" s="37" t="s">
        <v>61</v>
      </c>
      <c r="P33" s="37" t="s">
        <v>61</v>
      </c>
      <c r="Q33" s="37">
        <v>0.0</v>
      </c>
      <c r="R33" s="39"/>
      <c r="S33" s="37" t="s">
        <v>61</v>
      </c>
      <c r="T33" s="37" t="s">
        <v>61</v>
      </c>
      <c r="U33" s="37" t="s">
        <v>61</v>
      </c>
      <c r="V33" s="37" t="s">
        <v>61</v>
      </c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127" t="s">
        <v>136</v>
      </c>
      <c r="AL33" s="119" t="s">
        <v>152</v>
      </c>
      <c r="AM33" s="37">
        <v>0.5</v>
      </c>
      <c r="AN33" s="103">
        <v>46228.0</v>
      </c>
      <c r="AO33" s="104" t="s">
        <v>131</v>
      </c>
      <c r="AP33" s="39"/>
      <c r="AQ33" s="128" t="s">
        <v>139</v>
      </c>
      <c r="AR33" s="37">
        <v>0.5</v>
      </c>
      <c r="AS33" s="103">
        <v>46228.0</v>
      </c>
      <c r="AT33" s="104" t="s">
        <v>131</v>
      </c>
      <c r="AU33" s="39"/>
      <c r="AV33" s="92" t="s">
        <v>60</v>
      </c>
      <c r="AW33" s="102" t="s">
        <v>93</v>
      </c>
      <c r="AX33" s="103">
        <v>46228.0</v>
      </c>
      <c r="AY33" s="37">
        <v>0.3</v>
      </c>
      <c r="AZ33" s="104" t="s">
        <v>131</v>
      </c>
      <c r="BA33" s="102" t="s">
        <v>60</v>
      </c>
      <c r="BB33" s="102" t="s">
        <v>154</v>
      </c>
      <c r="BC33" s="39"/>
      <c r="BD33" s="129" t="s">
        <v>142</v>
      </c>
      <c r="BE33" s="104" t="s">
        <v>131</v>
      </c>
      <c r="BF33" s="111"/>
      <c r="BG33" s="111"/>
      <c r="BH33" s="111"/>
      <c r="BI33" s="111"/>
      <c r="BJ33" s="111"/>
    </row>
    <row r="34" ht="14.25" customHeight="1">
      <c r="A34" s="37">
        <v>33.0</v>
      </c>
      <c r="B34" s="38">
        <v>46228.4757321412</v>
      </c>
      <c r="C34" s="37" t="s">
        <v>85</v>
      </c>
      <c r="D34" s="39"/>
      <c r="E34" s="37" t="s">
        <v>143</v>
      </c>
      <c r="F34" s="37" t="s">
        <v>184</v>
      </c>
      <c r="G34" s="37" t="s">
        <v>240</v>
      </c>
      <c r="H34" s="37">
        <v>70.0</v>
      </c>
      <c r="I34" s="88" t="s">
        <v>241</v>
      </c>
      <c r="J34" s="89" t="s">
        <v>60</v>
      </c>
      <c r="K34" s="90" t="s">
        <v>89</v>
      </c>
      <c r="L34" s="92" t="s">
        <v>93</v>
      </c>
      <c r="M34" s="37">
        <v>5.0</v>
      </c>
      <c r="N34" s="90" t="s">
        <v>131</v>
      </c>
      <c r="O34" s="37" t="s">
        <v>61</v>
      </c>
      <c r="P34" s="37" t="s">
        <v>61</v>
      </c>
      <c r="Q34" s="37">
        <v>0.0</v>
      </c>
      <c r="R34" s="39"/>
      <c r="S34" s="37" t="s">
        <v>61</v>
      </c>
      <c r="T34" s="37" t="s">
        <v>61</v>
      </c>
      <c r="U34" s="37" t="s">
        <v>61</v>
      </c>
      <c r="V34" s="37" t="s">
        <v>61</v>
      </c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127" t="s">
        <v>136</v>
      </c>
      <c r="AL34" s="119" t="s">
        <v>152</v>
      </c>
      <c r="AM34" s="37">
        <v>0.5</v>
      </c>
      <c r="AN34" s="103">
        <v>46228.0</v>
      </c>
      <c r="AO34" s="104" t="s">
        <v>131</v>
      </c>
      <c r="AP34" s="39"/>
      <c r="AQ34" s="128" t="s">
        <v>139</v>
      </c>
      <c r="AR34" s="37">
        <v>0.5</v>
      </c>
      <c r="AS34" s="103">
        <v>46228.0</v>
      </c>
      <c r="AT34" s="104" t="s">
        <v>131</v>
      </c>
      <c r="AU34" s="39"/>
      <c r="AV34" s="92" t="s">
        <v>60</v>
      </c>
      <c r="AW34" s="102" t="s">
        <v>93</v>
      </c>
      <c r="AX34" s="103">
        <v>46228.0</v>
      </c>
      <c r="AY34" s="37">
        <v>0.3</v>
      </c>
      <c r="AZ34" s="104" t="s">
        <v>131</v>
      </c>
      <c r="BA34" s="102" t="s">
        <v>60</v>
      </c>
      <c r="BB34" s="104" t="s">
        <v>131</v>
      </c>
      <c r="BC34" s="39"/>
      <c r="BD34" s="202" t="s">
        <v>196</v>
      </c>
      <c r="BE34" s="120" t="s">
        <v>155</v>
      </c>
      <c r="BF34" s="111"/>
      <c r="BG34" s="111"/>
      <c r="BH34" s="111"/>
      <c r="BI34" s="111"/>
      <c r="BJ34" s="111"/>
    </row>
    <row r="35" ht="14.25" customHeight="1">
      <c r="A35" s="112">
        <v>34.0</v>
      </c>
      <c r="B35" s="38">
        <v>46228.4765694213</v>
      </c>
      <c r="C35" s="37" t="s">
        <v>85</v>
      </c>
      <c r="D35" s="39"/>
      <c r="E35" s="37" t="s">
        <v>86</v>
      </c>
      <c r="F35" s="37" t="s">
        <v>242</v>
      </c>
      <c r="G35" s="37" t="s">
        <v>232</v>
      </c>
      <c r="H35" s="37">
        <v>40.0</v>
      </c>
      <c r="I35" s="88" t="s">
        <v>243</v>
      </c>
      <c r="J35" s="89" t="s">
        <v>60</v>
      </c>
      <c r="K35" s="90" t="s">
        <v>89</v>
      </c>
      <c r="L35" s="92" t="s">
        <v>93</v>
      </c>
      <c r="M35" s="37">
        <v>9.0</v>
      </c>
      <c r="N35" s="190" t="s">
        <v>154</v>
      </c>
      <c r="O35" s="127" t="s">
        <v>136</v>
      </c>
      <c r="P35" s="102" t="s">
        <v>129</v>
      </c>
      <c r="Q35" s="37">
        <v>1.0</v>
      </c>
      <c r="R35" s="103">
        <v>46228.0</v>
      </c>
      <c r="S35" s="102" t="s">
        <v>154</v>
      </c>
      <c r="T35" s="37" t="s">
        <v>61</v>
      </c>
      <c r="U35" s="102" t="s">
        <v>129</v>
      </c>
      <c r="V35" s="37">
        <v>1.0</v>
      </c>
      <c r="W35" s="103">
        <v>46228.0</v>
      </c>
      <c r="X35" s="120" t="s">
        <v>155</v>
      </c>
      <c r="Y35" s="39"/>
      <c r="Z35" s="39"/>
      <c r="AA35" s="37"/>
      <c r="AB35" s="39"/>
      <c r="AC35" s="39"/>
      <c r="AD35" s="39"/>
      <c r="AE35" s="39"/>
      <c r="AF35" s="39"/>
      <c r="AG35" s="39"/>
      <c r="AH35" s="39"/>
      <c r="AI35" s="39"/>
      <c r="AJ35" s="39"/>
      <c r="AK35" s="127" t="s">
        <v>136</v>
      </c>
      <c r="AL35" s="119" t="s">
        <v>152</v>
      </c>
      <c r="AM35" s="37">
        <v>1.0</v>
      </c>
      <c r="AN35" s="103">
        <v>46228.0</v>
      </c>
      <c r="AO35" s="102" t="s">
        <v>154</v>
      </c>
      <c r="AP35" s="39"/>
      <c r="AQ35" s="128" t="s">
        <v>139</v>
      </c>
      <c r="AR35" s="37">
        <v>1.0</v>
      </c>
      <c r="AS35" s="103">
        <v>46228.0</v>
      </c>
      <c r="AT35" s="102" t="s">
        <v>154</v>
      </c>
      <c r="AU35" s="39"/>
      <c r="AV35" s="92" t="s">
        <v>60</v>
      </c>
      <c r="AW35" s="102" t="s">
        <v>93</v>
      </c>
      <c r="AX35" s="103">
        <v>46228.0</v>
      </c>
      <c r="AY35" s="37">
        <v>0.3</v>
      </c>
      <c r="AZ35" s="102" t="s">
        <v>154</v>
      </c>
      <c r="BA35" s="102" t="s">
        <v>60</v>
      </c>
      <c r="BB35" s="120" t="s">
        <v>155</v>
      </c>
      <c r="BC35" s="39"/>
      <c r="BD35" s="129" t="s">
        <v>142</v>
      </c>
      <c r="BE35" s="102" t="s">
        <v>154</v>
      </c>
      <c r="BF35" s="111"/>
      <c r="BG35" s="111"/>
      <c r="BH35" s="111"/>
      <c r="BI35" s="111"/>
      <c r="BJ35" s="111"/>
    </row>
    <row r="36" ht="14.25" customHeight="1">
      <c r="A36" s="37">
        <v>35.0</v>
      </c>
      <c r="B36" s="38">
        <v>46228.47927981481</v>
      </c>
      <c r="C36" s="37" t="s">
        <v>85</v>
      </c>
      <c r="D36" s="39"/>
      <c r="E36" s="37" t="s">
        <v>143</v>
      </c>
      <c r="F36" s="37" t="s">
        <v>180</v>
      </c>
      <c r="G36" s="37" t="s">
        <v>244</v>
      </c>
      <c r="H36" s="37">
        <v>140.0</v>
      </c>
      <c r="I36" s="88" t="s">
        <v>245</v>
      </c>
      <c r="J36" s="89" t="s">
        <v>60</v>
      </c>
      <c r="K36" s="90" t="s">
        <v>89</v>
      </c>
      <c r="L36" s="92" t="s">
        <v>93</v>
      </c>
      <c r="M36" s="37">
        <v>4.0</v>
      </c>
      <c r="N36" s="190" t="s">
        <v>154</v>
      </c>
      <c r="O36" s="37" t="s">
        <v>61</v>
      </c>
      <c r="P36" s="37" t="s">
        <v>61</v>
      </c>
      <c r="Q36" s="37">
        <v>0.0</v>
      </c>
      <c r="R36" s="39"/>
      <c r="S36" s="37" t="s">
        <v>61</v>
      </c>
      <c r="T36" s="37" t="s">
        <v>61</v>
      </c>
      <c r="U36" s="37" t="s">
        <v>61</v>
      </c>
      <c r="V36" s="37" t="s">
        <v>61</v>
      </c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127" t="s">
        <v>136</v>
      </c>
      <c r="AL36" s="119" t="s">
        <v>152</v>
      </c>
      <c r="AM36" s="37">
        <v>0.5</v>
      </c>
      <c r="AN36" s="103">
        <v>46228.0</v>
      </c>
      <c r="AO36" s="104" t="s">
        <v>131</v>
      </c>
      <c r="AP36" s="39"/>
      <c r="AQ36" s="128" t="s">
        <v>139</v>
      </c>
      <c r="AR36" s="37">
        <v>0.5</v>
      </c>
      <c r="AS36" s="103">
        <v>46228.0</v>
      </c>
      <c r="AT36" s="104" t="s">
        <v>131</v>
      </c>
      <c r="AU36" s="39"/>
      <c r="AV36" s="92" t="s">
        <v>60</v>
      </c>
      <c r="AW36" s="102" t="s">
        <v>93</v>
      </c>
      <c r="AX36" s="103">
        <v>46228.0</v>
      </c>
      <c r="AY36" s="37">
        <v>0.3</v>
      </c>
      <c r="AZ36" s="104" t="s">
        <v>131</v>
      </c>
      <c r="BA36" s="102" t="s">
        <v>60</v>
      </c>
      <c r="BB36" s="102" t="s">
        <v>154</v>
      </c>
      <c r="BC36" s="39"/>
      <c r="BD36" s="89" t="s">
        <v>195</v>
      </c>
      <c r="BE36" s="198"/>
      <c r="BF36" s="111"/>
      <c r="BG36" s="111"/>
      <c r="BH36" s="111"/>
      <c r="BI36" s="111"/>
      <c r="BJ36" s="111"/>
    </row>
    <row r="37" ht="14.25" customHeight="1">
      <c r="A37" s="37">
        <v>36.0</v>
      </c>
      <c r="B37" s="38">
        <v>46228.48116224537</v>
      </c>
      <c r="C37" s="37" t="s">
        <v>85</v>
      </c>
      <c r="D37" s="39"/>
      <c r="E37" s="37" t="s">
        <v>86</v>
      </c>
      <c r="F37" s="37" t="s">
        <v>246</v>
      </c>
      <c r="G37" s="37" t="s">
        <v>232</v>
      </c>
      <c r="H37" s="37">
        <v>125.0</v>
      </c>
      <c r="I37" s="88" t="s">
        <v>247</v>
      </c>
      <c r="J37" s="89" t="s">
        <v>60</v>
      </c>
      <c r="K37" s="90" t="s">
        <v>89</v>
      </c>
      <c r="L37" s="92" t="s">
        <v>93</v>
      </c>
      <c r="M37" s="37">
        <v>3.0</v>
      </c>
      <c r="N37" s="190" t="s">
        <v>154</v>
      </c>
      <c r="O37" s="127" t="s">
        <v>136</v>
      </c>
      <c r="P37" s="102" t="s">
        <v>129</v>
      </c>
      <c r="Q37" s="37">
        <v>0.5</v>
      </c>
      <c r="R37" s="103">
        <v>46228.0</v>
      </c>
      <c r="S37" s="120" t="s">
        <v>155</v>
      </c>
      <c r="T37" s="37" t="s">
        <v>61</v>
      </c>
      <c r="U37" s="102" t="s">
        <v>129</v>
      </c>
      <c r="V37" s="37">
        <v>0.5</v>
      </c>
      <c r="W37" s="103">
        <v>46228.0</v>
      </c>
      <c r="X37" s="120" t="s">
        <v>155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127" t="s">
        <v>136</v>
      </c>
      <c r="AL37" s="102" t="s">
        <v>138</v>
      </c>
      <c r="AM37" s="37">
        <v>0.3</v>
      </c>
      <c r="AN37" s="103">
        <v>46228.0</v>
      </c>
      <c r="AO37" s="120" t="s">
        <v>155</v>
      </c>
      <c r="AP37" s="39"/>
      <c r="AQ37" s="128" t="s">
        <v>139</v>
      </c>
      <c r="AR37" s="37">
        <v>0.3</v>
      </c>
      <c r="AS37" s="103">
        <v>46228.0</v>
      </c>
      <c r="AT37" s="129" t="s">
        <v>171</v>
      </c>
      <c r="AU37" s="39"/>
      <c r="AV37" s="92" t="s">
        <v>60</v>
      </c>
      <c r="AW37" s="102" t="s">
        <v>93</v>
      </c>
      <c r="AX37" s="103">
        <v>46228.0</v>
      </c>
      <c r="AY37" s="37">
        <v>0.3</v>
      </c>
      <c r="AZ37" s="120" t="s">
        <v>155</v>
      </c>
      <c r="BA37" s="102" t="s">
        <v>60</v>
      </c>
      <c r="BB37" s="120" t="s">
        <v>155</v>
      </c>
      <c r="BC37" s="39"/>
      <c r="BD37" s="129" t="s">
        <v>142</v>
      </c>
      <c r="BE37" s="120" t="s">
        <v>155</v>
      </c>
      <c r="BF37" s="111"/>
      <c r="BG37" s="111"/>
      <c r="BH37" s="111"/>
      <c r="BI37" s="111"/>
      <c r="BJ37" s="111"/>
    </row>
    <row r="38" ht="14.25" customHeight="1">
      <c r="A38" s="112">
        <v>37.0</v>
      </c>
      <c r="B38" s="38">
        <v>46228.51011782407</v>
      </c>
      <c r="C38" s="37" t="s">
        <v>85</v>
      </c>
      <c r="D38" s="39"/>
      <c r="E38" s="37" t="s">
        <v>143</v>
      </c>
      <c r="F38" s="37" t="s">
        <v>248</v>
      </c>
      <c r="G38" s="37" t="s">
        <v>229</v>
      </c>
      <c r="H38" s="37">
        <v>140.0</v>
      </c>
      <c r="I38" s="88" t="s">
        <v>249</v>
      </c>
      <c r="J38" s="89" t="s">
        <v>60</v>
      </c>
      <c r="K38" s="90" t="s">
        <v>89</v>
      </c>
      <c r="L38" s="92" t="s">
        <v>93</v>
      </c>
      <c r="M38" s="37">
        <v>4.0</v>
      </c>
      <c r="N38" s="90" t="s">
        <v>131</v>
      </c>
      <c r="O38" s="37" t="s">
        <v>61</v>
      </c>
      <c r="P38" s="37" t="s">
        <v>61</v>
      </c>
      <c r="Q38" s="37">
        <v>0.0</v>
      </c>
      <c r="R38" s="39"/>
      <c r="S38" s="37" t="s">
        <v>61</v>
      </c>
      <c r="T38" s="37" t="s">
        <v>61</v>
      </c>
      <c r="U38" s="37" t="s">
        <v>61</v>
      </c>
      <c r="V38" s="37" t="s">
        <v>61</v>
      </c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148" t="s">
        <v>149</v>
      </c>
      <c r="AR38" s="37">
        <v>0.5</v>
      </c>
      <c r="AS38" s="103">
        <v>46228.0</v>
      </c>
      <c r="AT38" s="104" t="s">
        <v>131</v>
      </c>
      <c r="AU38" s="39"/>
      <c r="AV38" s="92" t="s">
        <v>60</v>
      </c>
      <c r="AW38" s="102" t="s">
        <v>93</v>
      </c>
      <c r="AX38" s="103">
        <v>46228.0</v>
      </c>
      <c r="AY38" s="37">
        <v>0.3</v>
      </c>
      <c r="AZ38" s="104" t="s">
        <v>131</v>
      </c>
      <c r="BA38" s="102" t="s">
        <v>60</v>
      </c>
      <c r="BB38" s="104" t="s">
        <v>131</v>
      </c>
      <c r="BC38" s="39"/>
      <c r="BD38" s="129" t="s">
        <v>142</v>
      </c>
      <c r="BE38" s="104" t="s">
        <v>131</v>
      </c>
      <c r="BF38" s="111"/>
      <c r="BG38" s="111"/>
      <c r="BH38" s="111"/>
      <c r="BI38" s="111"/>
      <c r="BJ38" s="111"/>
    </row>
    <row r="39" ht="14.25" customHeight="1">
      <c r="A39" s="37">
        <v>38.0</v>
      </c>
      <c r="B39" s="38">
        <v>46228.51171449074</v>
      </c>
      <c r="C39" s="37" t="s">
        <v>85</v>
      </c>
      <c r="D39" s="39"/>
      <c r="E39" s="37" t="s">
        <v>86</v>
      </c>
      <c r="F39" s="37" t="s">
        <v>250</v>
      </c>
      <c r="G39" s="37" t="s">
        <v>229</v>
      </c>
      <c r="H39" s="37">
        <v>40.0</v>
      </c>
      <c r="I39" s="88" t="s">
        <v>251</v>
      </c>
      <c r="J39" s="155" t="s">
        <v>62</v>
      </c>
      <c r="K39" s="90" t="s">
        <v>89</v>
      </c>
      <c r="L39" s="92" t="s">
        <v>93</v>
      </c>
      <c r="M39" s="37">
        <v>3.0</v>
      </c>
      <c r="N39" s="190" t="s">
        <v>154</v>
      </c>
      <c r="O39" s="127" t="s">
        <v>136</v>
      </c>
      <c r="P39" s="102" t="s">
        <v>129</v>
      </c>
      <c r="Q39" s="37">
        <v>0.0</v>
      </c>
      <c r="R39" s="103">
        <v>46228.0</v>
      </c>
      <c r="S39" s="120" t="s">
        <v>155</v>
      </c>
      <c r="T39" s="37" t="s">
        <v>61</v>
      </c>
      <c r="U39" s="37" t="s">
        <v>61</v>
      </c>
      <c r="V39" s="37" t="s">
        <v>61</v>
      </c>
      <c r="W39" s="39"/>
      <c r="X39" s="39"/>
      <c r="Y39" s="37" t="s">
        <v>134</v>
      </c>
      <c r="Z39" s="128" t="s">
        <v>139</v>
      </c>
      <c r="AA39" s="102" t="s">
        <v>129</v>
      </c>
      <c r="AB39" s="39"/>
      <c r="AC39" s="39"/>
      <c r="AD39" s="39"/>
      <c r="AE39" s="39"/>
      <c r="AF39" s="39"/>
      <c r="AG39" s="39"/>
      <c r="AH39" s="39"/>
      <c r="AI39" s="39"/>
      <c r="AJ39" s="39"/>
      <c r="AK39" s="127" t="s">
        <v>136</v>
      </c>
      <c r="AL39" s="119" t="s">
        <v>152</v>
      </c>
      <c r="AM39" s="37">
        <v>1.0</v>
      </c>
      <c r="AN39" s="103">
        <v>46228.0</v>
      </c>
      <c r="AO39" s="104" t="s">
        <v>131</v>
      </c>
      <c r="AP39" s="39"/>
      <c r="AQ39" s="128" t="s">
        <v>139</v>
      </c>
      <c r="AR39" s="37">
        <v>1.0</v>
      </c>
      <c r="AS39" s="103">
        <v>46228.0</v>
      </c>
      <c r="AT39" s="104" t="s">
        <v>131</v>
      </c>
      <c r="AU39" s="39"/>
      <c r="AV39" s="92" t="s">
        <v>60</v>
      </c>
      <c r="AW39" s="102" t="s">
        <v>93</v>
      </c>
      <c r="AX39" s="103">
        <v>46228.0</v>
      </c>
      <c r="AY39" s="37">
        <v>0.2</v>
      </c>
      <c r="AZ39" s="104" t="s">
        <v>131</v>
      </c>
      <c r="BA39" s="102" t="s">
        <v>60</v>
      </c>
      <c r="BB39" s="120" t="s">
        <v>155</v>
      </c>
      <c r="BC39" s="39"/>
      <c r="BD39" s="129" t="s">
        <v>142</v>
      </c>
      <c r="BE39" s="104" t="s">
        <v>131</v>
      </c>
      <c r="BF39" s="111"/>
      <c r="BG39" s="111"/>
      <c r="BH39" s="111"/>
      <c r="BI39" s="111"/>
      <c r="BJ39" s="111"/>
    </row>
    <row r="40" ht="14.25" customHeight="1">
      <c r="A40" s="112">
        <v>39.0</v>
      </c>
      <c r="B40" s="38">
        <v>46228.51539537037</v>
      </c>
      <c r="C40" s="37" t="s">
        <v>85</v>
      </c>
      <c r="D40" s="39"/>
      <c r="E40" s="37" t="s">
        <v>252</v>
      </c>
      <c r="F40" s="39"/>
      <c r="G40" s="37" t="s">
        <v>253</v>
      </c>
      <c r="H40" s="37">
        <v>50.0</v>
      </c>
      <c r="I40" s="88" t="s">
        <v>254</v>
      </c>
      <c r="J40" s="155" t="s">
        <v>62</v>
      </c>
      <c r="K40" s="90" t="s">
        <v>89</v>
      </c>
      <c r="L40" s="92" t="s">
        <v>93</v>
      </c>
      <c r="M40" s="37">
        <v>3.0</v>
      </c>
      <c r="N40" s="190" t="s">
        <v>154</v>
      </c>
      <c r="O40" s="119" t="s">
        <v>151</v>
      </c>
      <c r="P40" s="102" t="s">
        <v>129</v>
      </c>
      <c r="Q40" s="37">
        <v>0.4</v>
      </c>
      <c r="R40" s="103">
        <v>46228.0</v>
      </c>
      <c r="S40" s="120" t="s">
        <v>155</v>
      </c>
      <c r="T40" s="37" t="s">
        <v>61</v>
      </c>
      <c r="U40" s="102" t="s">
        <v>129</v>
      </c>
      <c r="V40" s="37">
        <v>0.5</v>
      </c>
      <c r="W40" s="103">
        <v>46228.0</v>
      </c>
      <c r="X40" s="129" t="s">
        <v>171</v>
      </c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119" t="s">
        <v>151</v>
      </c>
      <c r="AL40" s="102" t="s">
        <v>138</v>
      </c>
      <c r="AM40" s="37">
        <v>1.0</v>
      </c>
      <c r="AN40" s="103">
        <v>46228.0</v>
      </c>
      <c r="AO40" s="102" t="s">
        <v>154</v>
      </c>
      <c r="AP40" s="39"/>
      <c r="AQ40" s="148" t="s">
        <v>149</v>
      </c>
      <c r="AR40" s="39"/>
      <c r="AS40" s="103">
        <v>46228.0</v>
      </c>
      <c r="AT40" s="120" t="s">
        <v>155</v>
      </c>
      <c r="AU40" s="39"/>
      <c r="AV40" s="92" t="s">
        <v>60</v>
      </c>
      <c r="AW40" s="102" t="s">
        <v>93</v>
      </c>
      <c r="AX40" s="103">
        <v>46228.0</v>
      </c>
      <c r="AY40" s="37">
        <v>0.3</v>
      </c>
      <c r="AZ40" s="102" t="s">
        <v>154</v>
      </c>
      <c r="BA40" s="102" t="s">
        <v>60</v>
      </c>
      <c r="BB40" s="120" t="s">
        <v>155</v>
      </c>
      <c r="BC40" s="39"/>
      <c r="BD40" s="129" t="s">
        <v>142</v>
      </c>
      <c r="BE40" s="120" t="s">
        <v>155</v>
      </c>
      <c r="BF40" s="111"/>
      <c r="BG40" s="111"/>
      <c r="BH40" s="111"/>
      <c r="BI40" s="111"/>
      <c r="BJ40" s="111"/>
    </row>
    <row r="41" ht="14.25" customHeight="1">
      <c r="A41" s="37">
        <v>40.0</v>
      </c>
      <c r="B41" s="38">
        <v>46228.520138321765</v>
      </c>
      <c r="C41" s="37" t="s">
        <v>85</v>
      </c>
      <c r="D41" s="39"/>
      <c r="E41" s="37" t="s">
        <v>255</v>
      </c>
      <c r="F41" s="37" t="s">
        <v>256</v>
      </c>
      <c r="G41" s="37" t="s">
        <v>257</v>
      </c>
      <c r="H41" s="37">
        <v>70.0</v>
      </c>
      <c r="I41" s="88" t="s">
        <v>258</v>
      </c>
      <c r="J41" s="155" t="s">
        <v>62</v>
      </c>
      <c r="K41" s="90" t="s">
        <v>89</v>
      </c>
      <c r="L41" s="92" t="s">
        <v>93</v>
      </c>
      <c r="M41" s="37">
        <v>4.0</v>
      </c>
      <c r="N41" s="90" t="s">
        <v>131</v>
      </c>
      <c r="O41" s="119" t="s">
        <v>151</v>
      </c>
      <c r="P41" s="102" t="s">
        <v>129</v>
      </c>
      <c r="Q41" s="37">
        <v>0.5</v>
      </c>
      <c r="R41" s="103">
        <v>46228.0</v>
      </c>
      <c r="S41" s="120" t="s">
        <v>155</v>
      </c>
      <c r="T41" s="37" t="s">
        <v>61</v>
      </c>
      <c r="U41" s="102" t="s">
        <v>129</v>
      </c>
      <c r="V41" s="37">
        <v>0.5</v>
      </c>
      <c r="W41" s="103">
        <v>46228.0</v>
      </c>
      <c r="X41" s="104" t="s">
        <v>131</v>
      </c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119" t="s">
        <v>151</v>
      </c>
      <c r="AL41" s="102" t="s">
        <v>138</v>
      </c>
      <c r="AM41" s="37">
        <v>0.7</v>
      </c>
      <c r="AN41" s="103">
        <v>46228.0</v>
      </c>
      <c r="AO41" s="129" t="s">
        <v>171</v>
      </c>
      <c r="AP41" s="39"/>
      <c r="AQ41" s="148" t="s">
        <v>149</v>
      </c>
      <c r="AR41" s="37">
        <v>0.7</v>
      </c>
      <c r="AS41" s="103">
        <v>46228.0</v>
      </c>
      <c r="AT41" s="104" t="s">
        <v>131</v>
      </c>
      <c r="AU41" s="39"/>
      <c r="AV41" s="92" t="s">
        <v>60</v>
      </c>
      <c r="AW41" s="102" t="s">
        <v>93</v>
      </c>
      <c r="AX41" s="103">
        <v>46228.0</v>
      </c>
      <c r="AY41" s="37">
        <v>0.3</v>
      </c>
      <c r="AZ41" s="102" t="s">
        <v>154</v>
      </c>
      <c r="BA41" s="199" t="s">
        <v>62</v>
      </c>
      <c r="BB41" s="120" t="s">
        <v>155</v>
      </c>
      <c r="BC41" s="39"/>
      <c r="BD41" s="129" t="s">
        <v>142</v>
      </c>
      <c r="BE41" s="120" t="s">
        <v>155</v>
      </c>
      <c r="BF41" s="111"/>
      <c r="BG41" s="111"/>
      <c r="BH41" s="111"/>
      <c r="BI41" s="111"/>
      <c r="BJ41" s="111"/>
    </row>
    <row r="42" ht="22.5" customHeight="1">
      <c r="A42" s="37">
        <v>41.0</v>
      </c>
      <c r="B42" s="38">
        <v>46230.43941115741</v>
      </c>
      <c r="C42" s="37" t="s">
        <v>85</v>
      </c>
      <c r="D42" s="39"/>
      <c r="E42" s="37" t="s">
        <v>86</v>
      </c>
      <c r="F42" s="37" t="s">
        <v>259</v>
      </c>
      <c r="G42" s="37" t="s">
        <v>227</v>
      </c>
      <c r="H42" s="37">
        <v>380.0</v>
      </c>
      <c r="I42" s="88" t="s">
        <v>260</v>
      </c>
      <c r="J42" s="89" t="s">
        <v>60</v>
      </c>
      <c r="K42" s="90" t="s">
        <v>89</v>
      </c>
      <c r="L42" s="92" t="s">
        <v>93</v>
      </c>
      <c r="M42" s="37">
        <v>5.0</v>
      </c>
      <c r="N42" s="90" t="s">
        <v>131</v>
      </c>
      <c r="O42" s="119" t="s">
        <v>151</v>
      </c>
      <c r="P42" s="37" t="s">
        <v>153</v>
      </c>
      <c r="Q42" s="37">
        <v>1.0</v>
      </c>
      <c r="R42" s="103">
        <v>46230.0</v>
      </c>
      <c r="S42" s="37" t="s">
        <v>261</v>
      </c>
      <c r="T42" s="37" t="s">
        <v>61</v>
      </c>
      <c r="U42" s="37" t="s">
        <v>153</v>
      </c>
      <c r="V42" s="37">
        <v>1.0</v>
      </c>
      <c r="W42" s="103">
        <v>46230.0</v>
      </c>
      <c r="X42" s="37" t="s">
        <v>261</v>
      </c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7" t="s">
        <v>151</v>
      </c>
      <c r="AL42" s="37" t="s">
        <v>152</v>
      </c>
      <c r="AM42" s="37">
        <v>1.0</v>
      </c>
      <c r="AN42" s="103">
        <v>46230.0</v>
      </c>
      <c r="AO42" s="37" t="s">
        <v>261</v>
      </c>
      <c r="AP42" s="39"/>
      <c r="AQ42" s="37" t="s">
        <v>149</v>
      </c>
      <c r="AR42" s="37">
        <v>1.0</v>
      </c>
      <c r="AS42" s="103">
        <v>46230.0</v>
      </c>
      <c r="AT42" s="37" t="s">
        <v>261</v>
      </c>
      <c r="AU42" s="39"/>
      <c r="AV42" s="37" t="s">
        <v>165</v>
      </c>
      <c r="AW42" s="37" t="s">
        <v>93</v>
      </c>
      <c r="AX42" s="103">
        <v>46230.0</v>
      </c>
      <c r="AY42" s="37">
        <v>0.3</v>
      </c>
      <c r="AZ42" s="37" t="s">
        <v>171</v>
      </c>
      <c r="BA42" s="37" t="s">
        <v>60</v>
      </c>
      <c r="BB42" s="37" t="s">
        <v>167</v>
      </c>
      <c r="BC42" s="39"/>
      <c r="BD42" s="37" t="s">
        <v>142</v>
      </c>
      <c r="BE42" s="37" t="s">
        <v>167</v>
      </c>
    </row>
    <row r="43" ht="22.5" customHeight="1">
      <c r="A43" s="37">
        <v>42.0</v>
      </c>
      <c r="B43" s="38">
        <v>46230.44491439815</v>
      </c>
      <c r="C43" s="37" t="s">
        <v>85</v>
      </c>
      <c r="D43" s="39"/>
      <c r="E43" s="37" t="s">
        <v>86</v>
      </c>
      <c r="F43" s="39"/>
      <c r="G43" s="37" t="s">
        <v>262</v>
      </c>
      <c r="H43" s="37">
        <v>310.0</v>
      </c>
      <c r="I43" s="88" t="s">
        <v>263</v>
      </c>
      <c r="J43" s="155" t="s">
        <v>62</v>
      </c>
      <c r="K43" s="200" t="s">
        <v>65</v>
      </c>
      <c r="L43" s="92" t="s">
        <v>93</v>
      </c>
      <c r="M43" s="39"/>
      <c r="N43" s="90" t="s">
        <v>131</v>
      </c>
      <c r="O43" s="127" t="s">
        <v>136</v>
      </c>
      <c r="P43" s="37" t="s">
        <v>153</v>
      </c>
      <c r="Q43" s="37">
        <v>1.5</v>
      </c>
      <c r="R43" s="103">
        <v>46230.0</v>
      </c>
      <c r="S43" s="37" t="s">
        <v>167</v>
      </c>
      <c r="T43" s="37" t="s">
        <v>61</v>
      </c>
      <c r="U43" s="37" t="s">
        <v>153</v>
      </c>
      <c r="V43" s="37">
        <v>1.5</v>
      </c>
      <c r="W43" s="103">
        <v>46230.0</v>
      </c>
      <c r="X43" s="37" t="s">
        <v>167</v>
      </c>
      <c r="Y43" s="39"/>
      <c r="Z43" s="37" t="s">
        <v>139</v>
      </c>
      <c r="AA43" s="37" t="s">
        <v>153</v>
      </c>
      <c r="AB43" s="39"/>
      <c r="AC43" s="103">
        <v>46230.0</v>
      </c>
      <c r="AD43" s="37" t="s">
        <v>167</v>
      </c>
      <c r="AE43" s="39"/>
      <c r="AF43" s="39"/>
      <c r="AG43" s="39"/>
      <c r="AH43" s="39"/>
      <c r="AI43" s="39"/>
      <c r="AJ43" s="39"/>
      <c r="AK43" s="37" t="s">
        <v>136</v>
      </c>
      <c r="AL43" s="37" t="s">
        <v>152</v>
      </c>
      <c r="AM43" s="37">
        <v>1.5</v>
      </c>
      <c r="AN43" s="103">
        <v>46230.0</v>
      </c>
      <c r="AO43" s="37" t="s">
        <v>261</v>
      </c>
      <c r="AP43" s="39"/>
      <c r="AQ43" s="37" t="s">
        <v>139</v>
      </c>
      <c r="AR43" s="37">
        <v>1.5</v>
      </c>
      <c r="AS43" s="103">
        <v>46230.0</v>
      </c>
      <c r="AT43" s="37" t="s">
        <v>261</v>
      </c>
      <c r="AU43" s="39"/>
      <c r="AV43" s="37" t="s">
        <v>165</v>
      </c>
      <c r="AW43" s="37" t="s">
        <v>93</v>
      </c>
      <c r="AX43" s="103">
        <v>46230.0</v>
      </c>
      <c r="AY43" s="37">
        <v>0.3</v>
      </c>
      <c r="AZ43" s="37" t="s">
        <v>261</v>
      </c>
      <c r="BA43" s="37" t="s">
        <v>60</v>
      </c>
      <c r="BB43" s="37" t="s">
        <v>155</v>
      </c>
      <c r="BC43" s="39"/>
      <c r="BD43" s="37" t="s">
        <v>142</v>
      </c>
      <c r="BE43" s="37" t="s">
        <v>167</v>
      </c>
    </row>
    <row r="44" ht="22.5" customHeight="1">
      <c r="A44" s="37">
        <v>43.0</v>
      </c>
      <c r="B44" s="38">
        <v>46230.44878078703</v>
      </c>
      <c r="C44" s="37" t="s">
        <v>85</v>
      </c>
      <c r="D44" s="39"/>
      <c r="E44" s="37" t="s">
        <v>86</v>
      </c>
      <c r="F44" s="37" t="s">
        <v>236</v>
      </c>
      <c r="G44" s="37" t="s">
        <v>264</v>
      </c>
      <c r="H44" s="37">
        <v>90.0</v>
      </c>
      <c r="I44" s="88" t="s">
        <v>265</v>
      </c>
      <c r="J44" s="89" t="s">
        <v>60</v>
      </c>
      <c r="K44" s="90" t="s">
        <v>89</v>
      </c>
      <c r="L44" s="92" t="s">
        <v>93</v>
      </c>
      <c r="M44" s="37">
        <v>4.0</v>
      </c>
      <c r="N44" s="203" t="s">
        <v>171</v>
      </c>
      <c r="O44" s="119" t="s">
        <v>151</v>
      </c>
      <c r="P44" s="37" t="s">
        <v>153</v>
      </c>
      <c r="Q44" s="37">
        <v>1.0</v>
      </c>
      <c r="R44" s="103">
        <v>46230.0</v>
      </c>
      <c r="S44" s="37" t="s">
        <v>155</v>
      </c>
      <c r="T44" s="37" t="s">
        <v>61</v>
      </c>
      <c r="U44" s="37" t="s">
        <v>153</v>
      </c>
      <c r="V44" s="37">
        <v>1.0</v>
      </c>
      <c r="W44" s="103">
        <v>46230.0</v>
      </c>
      <c r="X44" s="37" t="s">
        <v>155</v>
      </c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7" t="s">
        <v>151</v>
      </c>
      <c r="AL44" s="37" t="s">
        <v>152</v>
      </c>
      <c r="AM44" s="37">
        <v>0.8</v>
      </c>
      <c r="AN44" s="103">
        <v>46230.0</v>
      </c>
      <c r="AO44" s="37" t="s">
        <v>154</v>
      </c>
      <c r="AP44" s="39"/>
      <c r="AQ44" s="37" t="s">
        <v>149</v>
      </c>
      <c r="AR44" s="37">
        <v>0.8</v>
      </c>
      <c r="AS44" s="103">
        <v>46230.0</v>
      </c>
      <c r="AT44" s="37" t="s">
        <v>154</v>
      </c>
      <c r="AU44" s="39"/>
      <c r="AV44" s="37" t="s">
        <v>165</v>
      </c>
      <c r="AW44" s="37" t="s">
        <v>93</v>
      </c>
      <c r="AX44" s="103">
        <v>46230.0</v>
      </c>
      <c r="AY44" s="37">
        <v>0.3</v>
      </c>
      <c r="AZ44" s="37" t="s">
        <v>261</v>
      </c>
      <c r="BA44" s="37" t="s">
        <v>60</v>
      </c>
      <c r="BB44" s="37" t="s">
        <v>167</v>
      </c>
      <c r="BC44" s="39"/>
      <c r="BD44" s="37" t="s">
        <v>142</v>
      </c>
      <c r="BE44" s="37" t="s">
        <v>167</v>
      </c>
    </row>
    <row r="45" ht="22.5" customHeight="1">
      <c r="A45" s="37">
        <v>44.0</v>
      </c>
      <c r="B45" s="38">
        <v>46230.45225284722</v>
      </c>
      <c r="C45" s="37" t="s">
        <v>85</v>
      </c>
      <c r="D45" s="39"/>
      <c r="E45" s="37" t="s">
        <v>86</v>
      </c>
      <c r="F45" s="37" t="s">
        <v>266</v>
      </c>
      <c r="G45" s="37" t="s">
        <v>264</v>
      </c>
      <c r="H45" s="37">
        <v>100.0</v>
      </c>
      <c r="I45" s="88" t="s">
        <v>267</v>
      </c>
      <c r="J45" s="155" t="s">
        <v>62</v>
      </c>
      <c r="K45" s="90" t="s">
        <v>89</v>
      </c>
      <c r="L45" s="92" t="s">
        <v>93</v>
      </c>
      <c r="M45" s="37">
        <v>3.0</v>
      </c>
      <c r="N45" s="90" t="s">
        <v>131</v>
      </c>
      <c r="O45" s="119" t="s">
        <v>151</v>
      </c>
      <c r="P45" s="37" t="s">
        <v>153</v>
      </c>
      <c r="Q45" s="172" t="s">
        <v>188</v>
      </c>
      <c r="R45" s="103">
        <v>46230.0</v>
      </c>
      <c r="S45" s="172" t="s">
        <v>188</v>
      </c>
      <c r="T45" s="37" t="s">
        <v>61</v>
      </c>
      <c r="U45" s="37" t="s">
        <v>153</v>
      </c>
      <c r="V45" s="172" t="s">
        <v>188</v>
      </c>
      <c r="W45" s="39"/>
      <c r="X45" s="172" t="s">
        <v>188</v>
      </c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7" t="s">
        <v>151</v>
      </c>
      <c r="AL45" s="37" t="s">
        <v>152</v>
      </c>
      <c r="AM45" s="37">
        <v>0.5</v>
      </c>
      <c r="AN45" s="103">
        <v>46230.0</v>
      </c>
      <c r="AO45" s="37" t="s">
        <v>171</v>
      </c>
      <c r="AP45" s="39"/>
      <c r="AQ45" s="37" t="s">
        <v>149</v>
      </c>
      <c r="AR45" s="37">
        <v>0.5</v>
      </c>
      <c r="AS45" s="103">
        <v>46230.0</v>
      </c>
      <c r="AT45" s="37" t="s">
        <v>171</v>
      </c>
      <c r="AU45" s="39"/>
      <c r="AV45" s="37" t="s">
        <v>165</v>
      </c>
      <c r="AW45" s="37" t="s">
        <v>93</v>
      </c>
      <c r="AX45" s="103">
        <v>46230.0</v>
      </c>
      <c r="AY45" s="37">
        <v>0.3</v>
      </c>
      <c r="AZ45" s="37" t="s">
        <v>261</v>
      </c>
      <c r="BA45" s="37" t="s">
        <v>60</v>
      </c>
      <c r="BB45" s="37" t="s">
        <v>167</v>
      </c>
      <c r="BC45" s="39"/>
      <c r="BD45" s="37" t="s">
        <v>142</v>
      </c>
      <c r="BE45" s="37" t="s">
        <v>261</v>
      </c>
    </row>
    <row r="46" ht="22.5" customHeight="1">
      <c r="A46" s="37">
        <v>45.0</v>
      </c>
      <c r="B46" s="38">
        <v>46230.45541896991</v>
      </c>
      <c r="C46" s="37" t="s">
        <v>85</v>
      </c>
      <c r="D46" s="39"/>
      <c r="E46" s="37" t="s">
        <v>86</v>
      </c>
      <c r="F46" s="37" t="s">
        <v>246</v>
      </c>
      <c r="G46" s="37" t="s">
        <v>268</v>
      </c>
      <c r="H46" s="37">
        <v>120.0</v>
      </c>
      <c r="I46" s="88" t="s">
        <v>269</v>
      </c>
      <c r="J46" s="89" t="s">
        <v>60</v>
      </c>
      <c r="K46" s="90" t="s">
        <v>89</v>
      </c>
      <c r="L46" s="92" t="s">
        <v>93</v>
      </c>
      <c r="M46" s="37">
        <v>4.0</v>
      </c>
      <c r="N46" s="190" t="s">
        <v>154</v>
      </c>
      <c r="O46" s="119" t="s">
        <v>151</v>
      </c>
      <c r="P46" s="37" t="s">
        <v>153</v>
      </c>
      <c r="Q46" s="37">
        <v>1.0</v>
      </c>
      <c r="R46" s="103">
        <v>46230.0</v>
      </c>
      <c r="S46" s="37" t="s">
        <v>155</v>
      </c>
      <c r="T46" s="37" t="s">
        <v>61</v>
      </c>
      <c r="U46" s="37" t="s">
        <v>153</v>
      </c>
      <c r="V46" s="37">
        <v>1.0</v>
      </c>
      <c r="W46" s="103">
        <v>46230.0</v>
      </c>
      <c r="X46" s="37" t="s">
        <v>155</v>
      </c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7" t="s">
        <v>151</v>
      </c>
      <c r="AL46" s="37" t="s">
        <v>152</v>
      </c>
      <c r="AM46" s="37">
        <v>1.0</v>
      </c>
      <c r="AN46" s="103">
        <v>46230.0</v>
      </c>
      <c r="AO46" s="37" t="s">
        <v>154</v>
      </c>
      <c r="AP46" s="39"/>
      <c r="AQ46" s="37" t="s">
        <v>149</v>
      </c>
      <c r="AR46" s="37">
        <v>1.0</v>
      </c>
      <c r="AS46" s="103">
        <v>46230.0</v>
      </c>
      <c r="AT46" s="37" t="s">
        <v>154</v>
      </c>
      <c r="AU46" s="39"/>
      <c r="AV46" s="37" t="s">
        <v>165</v>
      </c>
      <c r="AW46" s="37" t="s">
        <v>93</v>
      </c>
      <c r="AX46" s="103">
        <v>46230.0</v>
      </c>
      <c r="AY46" s="37">
        <v>0.3</v>
      </c>
      <c r="AZ46" s="37" t="s">
        <v>261</v>
      </c>
      <c r="BA46" s="37" t="s">
        <v>60</v>
      </c>
      <c r="BB46" s="37" t="s">
        <v>155</v>
      </c>
      <c r="BC46" s="39"/>
      <c r="BD46" s="37" t="s">
        <v>142</v>
      </c>
      <c r="BE46" s="37" t="s">
        <v>154</v>
      </c>
    </row>
    <row r="47" ht="22.5" customHeight="1">
      <c r="A47" s="37">
        <v>46.0</v>
      </c>
      <c r="B47" s="38">
        <v>46230.46092344908</v>
      </c>
      <c r="C47" s="37" t="s">
        <v>85</v>
      </c>
      <c r="D47" s="39"/>
      <c r="E47" s="37" t="s">
        <v>86</v>
      </c>
      <c r="F47" s="37" t="s">
        <v>270</v>
      </c>
      <c r="G47" s="37" t="s">
        <v>268</v>
      </c>
      <c r="H47" s="37">
        <v>115.0</v>
      </c>
      <c r="I47" s="88" t="s">
        <v>271</v>
      </c>
      <c r="J47" s="89" t="s">
        <v>60</v>
      </c>
      <c r="K47" s="90" t="s">
        <v>89</v>
      </c>
      <c r="L47" s="92" t="s">
        <v>93</v>
      </c>
      <c r="M47" s="37">
        <v>3.0</v>
      </c>
      <c r="N47" s="90" t="s">
        <v>131</v>
      </c>
      <c r="O47" s="119" t="s">
        <v>151</v>
      </c>
      <c r="P47" s="37" t="s">
        <v>153</v>
      </c>
      <c r="Q47" s="172" t="s">
        <v>188</v>
      </c>
      <c r="R47" s="103">
        <v>46230.0</v>
      </c>
      <c r="S47" s="37" t="s">
        <v>261</v>
      </c>
      <c r="T47" s="37" t="s">
        <v>61</v>
      </c>
      <c r="U47" s="37" t="s">
        <v>153</v>
      </c>
      <c r="V47" s="172" t="s">
        <v>188</v>
      </c>
      <c r="W47" s="103">
        <v>46230.0</v>
      </c>
      <c r="X47" s="37" t="s">
        <v>154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7" t="s">
        <v>151</v>
      </c>
      <c r="AL47" s="37" t="s">
        <v>152</v>
      </c>
      <c r="AM47" s="37">
        <v>0.7</v>
      </c>
      <c r="AN47" s="103">
        <v>46230.0</v>
      </c>
      <c r="AO47" s="37" t="s">
        <v>171</v>
      </c>
      <c r="AP47" s="39"/>
      <c r="AQ47" s="37" t="s">
        <v>149</v>
      </c>
      <c r="AR47" s="37">
        <v>0.7</v>
      </c>
      <c r="AS47" s="103">
        <v>46230.0</v>
      </c>
      <c r="AT47" s="37" t="s">
        <v>171</v>
      </c>
      <c r="AU47" s="39"/>
      <c r="AV47" s="37" t="s">
        <v>165</v>
      </c>
      <c r="AW47" s="37" t="s">
        <v>93</v>
      </c>
      <c r="AX47" s="103">
        <v>46230.0</v>
      </c>
      <c r="AY47" s="37">
        <v>0.3</v>
      </c>
      <c r="AZ47" s="37" t="s">
        <v>171</v>
      </c>
      <c r="BA47" s="37" t="s">
        <v>60</v>
      </c>
      <c r="BB47" s="37" t="s">
        <v>155</v>
      </c>
      <c r="BC47" s="39"/>
      <c r="BD47" s="37" t="s">
        <v>142</v>
      </c>
      <c r="BE47" s="37" t="s">
        <v>167</v>
      </c>
    </row>
    <row r="48" ht="22.5" customHeight="1">
      <c r="A48" s="37">
        <v>47.0</v>
      </c>
      <c r="B48" s="38">
        <v>46230.4642719213</v>
      </c>
      <c r="C48" s="37" t="s">
        <v>85</v>
      </c>
      <c r="D48" s="39"/>
      <c r="E48" s="37" t="s">
        <v>86</v>
      </c>
      <c r="F48" s="37" t="s">
        <v>272</v>
      </c>
      <c r="G48" s="37" t="s">
        <v>268</v>
      </c>
      <c r="H48" s="37">
        <v>160.0</v>
      </c>
      <c r="I48" s="88" t="s">
        <v>273</v>
      </c>
      <c r="J48" s="89" t="s">
        <v>60</v>
      </c>
      <c r="K48" s="90" t="s">
        <v>89</v>
      </c>
      <c r="L48" s="92" t="s">
        <v>93</v>
      </c>
      <c r="M48" s="37">
        <v>4.0</v>
      </c>
      <c r="N48" s="190" t="s">
        <v>154</v>
      </c>
      <c r="O48" s="119" t="s">
        <v>151</v>
      </c>
      <c r="P48" s="37" t="s">
        <v>153</v>
      </c>
      <c r="Q48" s="37">
        <v>1.0</v>
      </c>
      <c r="R48" s="103">
        <v>46230.0</v>
      </c>
      <c r="S48" s="37" t="s">
        <v>155</v>
      </c>
      <c r="T48" s="37" t="s">
        <v>61</v>
      </c>
      <c r="U48" s="37" t="s">
        <v>153</v>
      </c>
      <c r="V48" s="37">
        <v>1.0</v>
      </c>
      <c r="W48" s="103">
        <v>46230.0</v>
      </c>
      <c r="X48" s="37" t="s">
        <v>155</v>
      </c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7" t="s">
        <v>151</v>
      </c>
      <c r="AL48" s="37" t="s">
        <v>138</v>
      </c>
      <c r="AM48" s="37">
        <v>0.8</v>
      </c>
      <c r="AN48" s="103">
        <v>46230.0</v>
      </c>
      <c r="AO48" s="37" t="s">
        <v>154</v>
      </c>
      <c r="AP48" s="39"/>
      <c r="AQ48" s="37" t="s">
        <v>149</v>
      </c>
      <c r="AR48" s="37">
        <v>0.8</v>
      </c>
      <c r="AS48" s="103">
        <v>46230.0</v>
      </c>
      <c r="AT48" s="37" t="s">
        <v>154</v>
      </c>
      <c r="AU48" s="39"/>
      <c r="AV48" s="37" t="s">
        <v>165</v>
      </c>
      <c r="AW48" s="37" t="s">
        <v>93</v>
      </c>
      <c r="AX48" s="103">
        <v>46230.0</v>
      </c>
      <c r="AY48" s="37">
        <v>0.3</v>
      </c>
      <c r="AZ48" s="37" t="s">
        <v>261</v>
      </c>
      <c r="BA48" s="37" t="s">
        <v>60</v>
      </c>
      <c r="BB48" s="37" t="s">
        <v>167</v>
      </c>
      <c r="BC48" s="39"/>
      <c r="BD48" s="39"/>
      <c r="BE48" s="39"/>
    </row>
    <row r="49" ht="22.5" customHeight="1">
      <c r="A49" s="37">
        <v>48.0</v>
      </c>
      <c r="B49" s="38">
        <v>46230.467773275464</v>
      </c>
      <c r="C49" s="37" t="s">
        <v>85</v>
      </c>
      <c r="D49" s="39"/>
      <c r="E49" s="37" t="s">
        <v>86</v>
      </c>
      <c r="F49" s="37" t="s">
        <v>274</v>
      </c>
      <c r="G49" s="37" t="s">
        <v>268</v>
      </c>
      <c r="H49" s="37">
        <v>110.0</v>
      </c>
      <c r="I49" s="88" t="s">
        <v>275</v>
      </c>
      <c r="J49" s="89" t="s">
        <v>60</v>
      </c>
      <c r="K49" s="90" t="s">
        <v>89</v>
      </c>
      <c r="L49" s="92" t="s">
        <v>93</v>
      </c>
      <c r="M49" s="37">
        <v>4.5</v>
      </c>
      <c r="N49" s="90" t="s">
        <v>131</v>
      </c>
      <c r="O49" s="119" t="s">
        <v>151</v>
      </c>
      <c r="P49" s="37" t="s">
        <v>153</v>
      </c>
      <c r="Q49" s="37">
        <v>0.5</v>
      </c>
      <c r="R49" s="103">
        <v>46230.0</v>
      </c>
      <c r="S49" s="37" t="s">
        <v>155</v>
      </c>
      <c r="T49" s="37" t="s">
        <v>61</v>
      </c>
      <c r="U49" s="37" t="s">
        <v>153</v>
      </c>
      <c r="V49" s="37">
        <v>0.5</v>
      </c>
      <c r="W49" s="103">
        <v>46230.0</v>
      </c>
      <c r="X49" s="37" t="s">
        <v>261</v>
      </c>
      <c r="Y49" s="39"/>
      <c r="Z49" s="37" t="s">
        <v>149</v>
      </c>
      <c r="AA49" s="37" t="s">
        <v>153</v>
      </c>
      <c r="AB49" s="39"/>
      <c r="AC49" s="39"/>
      <c r="AD49" s="39"/>
      <c r="AE49" s="39"/>
      <c r="AF49" s="39"/>
      <c r="AG49" s="39"/>
      <c r="AH49" s="39"/>
      <c r="AI49" s="39"/>
      <c r="AJ49" s="39"/>
      <c r="AK49" s="37" t="s">
        <v>151</v>
      </c>
      <c r="AL49" s="37" t="s">
        <v>152</v>
      </c>
      <c r="AM49" s="37">
        <v>0.5</v>
      </c>
      <c r="AN49" s="103">
        <v>46230.0</v>
      </c>
      <c r="AO49" s="37" t="s">
        <v>171</v>
      </c>
      <c r="AP49" s="39"/>
      <c r="AQ49" s="37" t="s">
        <v>149</v>
      </c>
      <c r="AR49" s="37">
        <v>0.5</v>
      </c>
      <c r="AS49" s="103">
        <v>46230.0</v>
      </c>
      <c r="AT49" s="37" t="s">
        <v>171</v>
      </c>
      <c r="AU49" s="39"/>
      <c r="AV49" s="37" t="s">
        <v>165</v>
      </c>
      <c r="AW49" s="37" t="s">
        <v>93</v>
      </c>
      <c r="AX49" s="103">
        <v>46230.0</v>
      </c>
      <c r="AY49" s="37">
        <v>0.3</v>
      </c>
      <c r="AZ49" s="37" t="s">
        <v>261</v>
      </c>
      <c r="BA49" s="37" t="s">
        <v>60</v>
      </c>
      <c r="BB49" s="37" t="s">
        <v>171</v>
      </c>
      <c r="BC49" s="39"/>
      <c r="BD49" s="37" t="s">
        <v>142</v>
      </c>
      <c r="BE49" s="37" t="s">
        <v>167</v>
      </c>
    </row>
    <row r="50" ht="22.5" customHeight="1">
      <c r="A50" s="37">
        <v>49.0</v>
      </c>
      <c r="B50" s="38">
        <v>46230.47155295139</v>
      </c>
      <c r="C50" s="37" t="s">
        <v>85</v>
      </c>
      <c r="D50" s="39"/>
      <c r="E50" s="37" t="s">
        <v>86</v>
      </c>
      <c r="F50" s="37" t="s">
        <v>242</v>
      </c>
      <c r="G50" s="37" t="s">
        <v>268</v>
      </c>
      <c r="H50" s="37">
        <v>110.0</v>
      </c>
      <c r="I50" s="88" t="s">
        <v>276</v>
      </c>
      <c r="J50" s="89" t="s">
        <v>60</v>
      </c>
      <c r="K50" s="90" t="s">
        <v>89</v>
      </c>
      <c r="L50" s="92" t="s">
        <v>93</v>
      </c>
      <c r="M50" s="37">
        <v>4.0</v>
      </c>
      <c r="N50" s="90" t="s">
        <v>131</v>
      </c>
      <c r="O50" s="119" t="s">
        <v>151</v>
      </c>
      <c r="P50" s="37" t="s">
        <v>153</v>
      </c>
      <c r="Q50" s="37">
        <v>0.5</v>
      </c>
      <c r="R50" s="103">
        <v>46230.0</v>
      </c>
      <c r="S50" s="37" t="s">
        <v>155</v>
      </c>
      <c r="T50" s="37" t="s">
        <v>61</v>
      </c>
      <c r="U50" s="37" t="s">
        <v>153</v>
      </c>
      <c r="V50" s="37">
        <v>0.5</v>
      </c>
      <c r="W50" s="103">
        <v>46230.0</v>
      </c>
      <c r="X50" s="37" t="s">
        <v>155</v>
      </c>
      <c r="Y50" s="39"/>
      <c r="Z50" s="37" t="s">
        <v>149</v>
      </c>
      <c r="AA50" s="37" t="s">
        <v>153</v>
      </c>
      <c r="AB50" s="37">
        <v>0.7</v>
      </c>
      <c r="AC50" s="39"/>
      <c r="AD50" s="39"/>
      <c r="AE50" s="39"/>
      <c r="AF50" s="39"/>
      <c r="AG50" s="39"/>
      <c r="AH50" s="39"/>
      <c r="AI50" s="39"/>
      <c r="AJ50" s="39"/>
      <c r="AK50" s="37" t="s">
        <v>151</v>
      </c>
      <c r="AL50" s="37" t="s">
        <v>152</v>
      </c>
      <c r="AM50" s="37">
        <v>1.0</v>
      </c>
      <c r="AN50" s="103">
        <v>46230.0</v>
      </c>
      <c r="AO50" s="37" t="s">
        <v>154</v>
      </c>
      <c r="AP50" s="39"/>
      <c r="AQ50" s="37" t="s">
        <v>149</v>
      </c>
      <c r="AR50" s="37">
        <v>1.0</v>
      </c>
      <c r="AS50" s="103">
        <v>46230.0</v>
      </c>
      <c r="AT50" s="37" t="s">
        <v>155</v>
      </c>
      <c r="AU50" s="39"/>
      <c r="AV50" s="37" t="s">
        <v>165</v>
      </c>
      <c r="AW50" s="37" t="s">
        <v>93</v>
      </c>
      <c r="AX50" s="103">
        <v>46230.0</v>
      </c>
      <c r="AY50" s="37">
        <v>0.3</v>
      </c>
      <c r="AZ50" s="37" t="s">
        <v>155</v>
      </c>
      <c r="BA50" s="37" t="s">
        <v>60</v>
      </c>
      <c r="BB50" s="37" t="s">
        <v>155</v>
      </c>
      <c r="BC50" s="39"/>
      <c r="BD50" s="37" t="s">
        <v>142</v>
      </c>
      <c r="BE50" s="37" t="s">
        <v>167</v>
      </c>
    </row>
    <row r="51" ht="22.5" customHeight="1">
      <c r="A51" s="37">
        <v>50.0</v>
      </c>
      <c r="B51" s="38">
        <v>46230.47659196759</v>
      </c>
      <c r="C51" s="37" t="s">
        <v>85</v>
      </c>
      <c r="D51" s="39"/>
      <c r="E51" s="37" t="s">
        <v>86</v>
      </c>
      <c r="F51" s="37" t="s">
        <v>277</v>
      </c>
      <c r="G51" s="37" t="s">
        <v>268</v>
      </c>
      <c r="H51" s="37">
        <v>200.0</v>
      </c>
      <c r="I51" s="88" t="s">
        <v>278</v>
      </c>
      <c r="J51" s="89" t="s">
        <v>60</v>
      </c>
      <c r="K51" s="90" t="s">
        <v>89</v>
      </c>
      <c r="L51" s="92" t="s">
        <v>93</v>
      </c>
      <c r="M51" s="37">
        <v>3.0</v>
      </c>
      <c r="N51" s="90" t="s">
        <v>131</v>
      </c>
      <c r="O51" s="119" t="s">
        <v>151</v>
      </c>
      <c r="P51" s="37" t="s">
        <v>153</v>
      </c>
      <c r="Q51" s="37">
        <v>0.5</v>
      </c>
      <c r="R51" s="103">
        <v>46230.0</v>
      </c>
      <c r="S51" s="37" t="s">
        <v>155</v>
      </c>
      <c r="T51" s="37" t="s">
        <v>61</v>
      </c>
      <c r="U51" s="37" t="s">
        <v>153</v>
      </c>
      <c r="V51" s="172" t="s">
        <v>188</v>
      </c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7" t="s">
        <v>151</v>
      </c>
      <c r="AL51" s="37" t="s">
        <v>152</v>
      </c>
      <c r="AM51" s="37">
        <v>0.5</v>
      </c>
      <c r="AN51" s="103">
        <v>46230.0</v>
      </c>
      <c r="AO51" s="37" t="s">
        <v>171</v>
      </c>
      <c r="AP51" s="39"/>
      <c r="AQ51" s="37" t="s">
        <v>149</v>
      </c>
      <c r="AR51" s="37">
        <v>0.5</v>
      </c>
      <c r="AS51" s="103">
        <v>46230.0</v>
      </c>
      <c r="AT51" s="37" t="s">
        <v>171</v>
      </c>
      <c r="AU51" s="39"/>
      <c r="AV51" s="37" t="s">
        <v>165</v>
      </c>
      <c r="AW51" s="37" t="s">
        <v>93</v>
      </c>
      <c r="AX51" s="103">
        <v>46230.0</v>
      </c>
      <c r="AY51" s="37">
        <v>0.3</v>
      </c>
      <c r="AZ51" s="37" t="s">
        <v>171</v>
      </c>
      <c r="BA51" s="37" t="s">
        <v>60</v>
      </c>
      <c r="BB51" s="37" t="s">
        <v>167</v>
      </c>
      <c r="BC51" s="39"/>
      <c r="BD51" s="37" t="s">
        <v>142</v>
      </c>
      <c r="BE51" s="37" t="s">
        <v>167</v>
      </c>
    </row>
    <row r="52" ht="22.5" customHeight="1">
      <c r="A52" s="37">
        <v>51.0</v>
      </c>
      <c r="B52" s="38">
        <v>46230.48006872685</v>
      </c>
      <c r="C52" s="37" t="s">
        <v>85</v>
      </c>
      <c r="D52" s="39"/>
      <c r="E52" s="37" t="s">
        <v>86</v>
      </c>
      <c r="F52" s="37" t="s">
        <v>279</v>
      </c>
      <c r="G52" s="37" t="s">
        <v>268</v>
      </c>
      <c r="H52" s="37">
        <v>100.0</v>
      </c>
      <c r="I52" s="88" t="s">
        <v>280</v>
      </c>
      <c r="J52" s="89" t="s">
        <v>60</v>
      </c>
      <c r="K52" s="90" t="s">
        <v>89</v>
      </c>
      <c r="L52" s="92" t="s">
        <v>93</v>
      </c>
      <c r="M52" s="37">
        <v>3.5</v>
      </c>
      <c r="N52" s="190" t="s">
        <v>154</v>
      </c>
      <c r="O52" s="119" t="s">
        <v>151</v>
      </c>
      <c r="P52" s="37" t="s">
        <v>153</v>
      </c>
      <c r="Q52" s="37">
        <v>1.5</v>
      </c>
      <c r="R52" s="103">
        <v>46230.0</v>
      </c>
      <c r="S52" s="37" t="s">
        <v>154</v>
      </c>
      <c r="T52" s="37" t="s">
        <v>61</v>
      </c>
      <c r="U52" s="37" t="s">
        <v>153</v>
      </c>
      <c r="V52" s="37">
        <v>0.5</v>
      </c>
      <c r="W52" s="103">
        <v>46230.0</v>
      </c>
      <c r="X52" s="37" t="s">
        <v>261</v>
      </c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7" t="s">
        <v>151</v>
      </c>
      <c r="AL52" s="37" t="s">
        <v>152</v>
      </c>
      <c r="AM52" s="37">
        <v>1.0</v>
      </c>
      <c r="AN52" s="103">
        <v>46230.0</v>
      </c>
      <c r="AO52" s="37" t="s">
        <v>154</v>
      </c>
      <c r="AP52" s="39"/>
      <c r="AQ52" s="37" t="s">
        <v>149</v>
      </c>
      <c r="AR52" s="37">
        <v>1.0</v>
      </c>
      <c r="AS52" s="103">
        <v>46230.0</v>
      </c>
      <c r="AT52" s="37" t="s">
        <v>154</v>
      </c>
      <c r="AU52" s="39"/>
      <c r="AV52" s="37" t="s">
        <v>165</v>
      </c>
      <c r="AW52" s="37" t="s">
        <v>93</v>
      </c>
      <c r="AX52" s="103">
        <v>46230.0</v>
      </c>
      <c r="AY52" s="37">
        <v>0.3</v>
      </c>
      <c r="AZ52" s="37" t="s">
        <v>261</v>
      </c>
      <c r="BA52" s="37" t="s">
        <v>60</v>
      </c>
      <c r="BB52" s="37" t="s">
        <v>261</v>
      </c>
      <c r="BC52" s="39"/>
      <c r="BD52" s="37" t="s">
        <v>142</v>
      </c>
      <c r="BE52" s="37" t="s">
        <v>154</v>
      </c>
    </row>
    <row r="53" ht="22.5" customHeight="1">
      <c r="A53" s="37">
        <v>52.0</v>
      </c>
      <c r="B53" s="38">
        <v>46230.48408289352</v>
      </c>
      <c r="C53" s="37" t="s">
        <v>85</v>
      </c>
      <c r="D53" s="39"/>
      <c r="E53" s="37" t="s">
        <v>281</v>
      </c>
      <c r="F53" s="37" t="s">
        <v>282</v>
      </c>
      <c r="G53" s="37" t="s">
        <v>268</v>
      </c>
      <c r="H53" s="37">
        <v>220.0</v>
      </c>
      <c r="I53" s="88" t="s">
        <v>283</v>
      </c>
      <c r="J53" s="89" t="s">
        <v>60</v>
      </c>
      <c r="K53" s="90" t="s">
        <v>89</v>
      </c>
      <c r="L53" s="92" t="s">
        <v>93</v>
      </c>
      <c r="M53" s="37">
        <v>3.0</v>
      </c>
      <c r="N53" s="90" t="s">
        <v>131</v>
      </c>
      <c r="O53" s="119" t="s">
        <v>151</v>
      </c>
      <c r="P53" s="37" t="s">
        <v>153</v>
      </c>
      <c r="Q53" s="172" t="s">
        <v>188</v>
      </c>
      <c r="R53" s="103">
        <v>46230.0</v>
      </c>
      <c r="S53" s="37" t="s">
        <v>155</v>
      </c>
      <c r="T53" s="37" t="s">
        <v>61</v>
      </c>
      <c r="U53" s="37" t="s">
        <v>153</v>
      </c>
      <c r="V53" s="172" t="s">
        <v>188</v>
      </c>
      <c r="W53" s="103">
        <v>46230.0</v>
      </c>
      <c r="X53" s="37" t="s">
        <v>155</v>
      </c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7" t="s">
        <v>151</v>
      </c>
      <c r="AL53" s="37" t="s">
        <v>284</v>
      </c>
      <c r="AM53" s="39"/>
      <c r="AN53" s="39"/>
      <c r="AO53" s="39"/>
      <c r="AP53" s="39"/>
      <c r="AQ53" s="37" t="s">
        <v>149</v>
      </c>
      <c r="AR53" s="39"/>
      <c r="AS53" s="103">
        <v>46230.0</v>
      </c>
      <c r="AT53" s="37" t="s">
        <v>171</v>
      </c>
      <c r="AU53" s="39"/>
      <c r="AV53" s="37" t="s">
        <v>165</v>
      </c>
      <c r="AW53" s="37" t="s">
        <v>93</v>
      </c>
      <c r="AX53" s="103">
        <v>46230.0</v>
      </c>
      <c r="AY53" s="37">
        <v>0.3</v>
      </c>
      <c r="AZ53" s="37" t="s">
        <v>261</v>
      </c>
      <c r="BA53" s="37" t="s">
        <v>60</v>
      </c>
      <c r="BB53" s="37" t="s">
        <v>261</v>
      </c>
      <c r="BC53" s="39"/>
      <c r="BD53" s="37" t="s">
        <v>142</v>
      </c>
      <c r="BE53" s="37" t="s">
        <v>261</v>
      </c>
    </row>
    <row r="54" ht="22.5" customHeight="1">
      <c r="A54" s="37">
        <v>53.0</v>
      </c>
      <c r="B54" s="38">
        <v>46230.48845651621</v>
      </c>
      <c r="C54" s="37" t="s">
        <v>85</v>
      </c>
      <c r="D54" s="39"/>
      <c r="E54" s="37" t="s">
        <v>86</v>
      </c>
      <c r="F54" s="37" t="s">
        <v>174</v>
      </c>
      <c r="G54" s="37" t="s">
        <v>268</v>
      </c>
      <c r="H54" s="37">
        <v>230.0</v>
      </c>
      <c r="I54" s="88" t="s">
        <v>285</v>
      </c>
      <c r="J54" s="89" t="s">
        <v>60</v>
      </c>
      <c r="K54" s="90" t="s">
        <v>89</v>
      </c>
      <c r="L54" s="92" t="s">
        <v>93</v>
      </c>
      <c r="M54" s="37">
        <v>4.0</v>
      </c>
      <c r="N54" s="190" t="s">
        <v>154</v>
      </c>
      <c r="O54" s="119" t="s">
        <v>151</v>
      </c>
      <c r="P54" s="37" t="s">
        <v>153</v>
      </c>
      <c r="Q54" s="37">
        <v>2.0</v>
      </c>
      <c r="R54" s="103">
        <v>46230.0</v>
      </c>
      <c r="S54" s="37" t="s">
        <v>261</v>
      </c>
      <c r="T54" s="37" t="s">
        <v>61</v>
      </c>
      <c r="U54" s="37" t="s">
        <v>153</v>
      </c>
      <c r="V54" s="37">
        <v>1.0</v>
      </c>
      <c r="W54" s="103">
        <v>46230.0</v>
      </c>
      <c r="X54" s="37" t="s">
        <v>261</v>
      </c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7" t="s">
        <v>151</v>
      </c>
      <c r="AL54" s="37" t="s">
        <v>152</v>
      </c>
      <c r="AM54" s="37">
        <v>1.0</v>
      </c>
      <c r="AN54" s="103">
        <v>46230.0</v>
      </c>
      <c r="AO54" s="37" t="s">
        <v>261</v>
      </c>
      <c r="AP54" s="39"/>
      <c r="AQ54" s="37" t="s">
        <v>149</v>
      </c>
      <c r="AR54" s="37">
        <v>1.0</v>
      </c>
      <c r="AS54" s="103">
        <v>46230.0</v>
      </c>
      <c r="AT54" s="37" t="s">
        <v>261</v>
      </c>
      <c r="AU54" s="39"/>
      <c r="AV54" s="37" t="s">
        <v>165</v>
      </c>
      <c r="AW54" s="37" t="s">
        <v>93</v>
      </c>
      <c r="AX54" s="103">
        <v>46230.0</v>
      </c>
      <c r="AY54" s="37">
        <v>0.3</v>
      </c>
      <c r="AZ54" s="37" t="s">
        <v>261</v>
      </c>
      <c r="BA54" s="37" t="s">
        <v>60</v>
      </c>
      <c r="BB54" s="37" t="s">
        <v>261</v>
      </c>
      <c r="BC54" s="39"/>
      <c r="BD54" s="37" t="s">
        <v>142</v>
      </c>
      <c r="BE54" s="37" t="s">
        <v>167</v>
      </c>
    </row>
    <row r="55" ht="22.5" customHeight="1">
      <c r="A55" s="37">
        <v>54.0</v>
      </c>
      <c r="B55" s="38">
        <v>46230.49119032407</v>
      </c>
      <c r="C55" s="37" t="s">
        <v>85</v>
      </c>
      <c r="D55" s="39"/>
      <c r="E55" s="37" t="s">
        <v>86</v>
      </c>
      <c r="F55" s="37" t="s">
        <v>286</v>
      </c>
      <c r="G55" s="37" t="s">
        <v>268</v>
      </c>
      <c r="H55" s="37">
        <v>230.0</v>
      </c>
      <c r="I55" s="88" t="s">
        <v>287</v>
      </c>
      <c r="J55" s="89" t="s">
        <v>60</v>
      </c>
      <c r="K55" s="90" t="s">
        <v>89</v>
      </c>
      <c r="L55" s="92" t="s">
        <v>93</v>
      </c>
      <c r="M55" s="37">
        <v>3.0</v>
      </c>
      <c r="N55" s="90" t="s">
        <v>131</v>
      </c>
      <c r="O55" s="119" t="s">
        <v>151</v>
      </c>
      <c r="P55" s="37" t="s">
        <v>153</v>
      </c>
      <c r="Q55" s="172" t="s">
        <v>188</v>
      </c>
      <c r="R55" s="103">
        <v>46230.0</v>
      </c>
      <c r="S55" s="37" t="s">
        <v>155</v>
      </c>
      <c r="T55" s="37" t="s">
        <v>61</v>
      </c>
      <c r="U55" s="37" t="s">
        <v>153</v>
      </c>
      <c r="V55" s="37">
        <v>0.5</v>
      </c>
      <c r="W55" s="103">
        <v>46230.0</v>
      </c>
      <c r="X55" s="37" t="s">
        <v>171</v>
      </c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7" t="s">
        <v>151</v>
      </c>
      <c r="AL55" s="37" t="s">
        <v>284</v>
      </c>
      <c r="AM55" s="39"/>
      <c r="AN55" s="39"/>
      <c r="AO55" s="39"/>
      <c r="AP55" s="39"/>
      <c r="AQ55" s="37" t="s">
        <v>149</v>
      </c>
      <c r="AR55" s="39"/>
      <c r="AS55" s="103">
        <v>46230.0</v>
      </c>
      <c r="AT55" s="37" t="s">
        <v>155</v>
      </c>
      <c r="AU55" s="39"/>
      <c r="AV55" s="37" t="s">
        <v>165</v>
      </c>
      <c r="AW55" s="37" t="s">
        <v>93</v>
      </c>
      <c r="AX55" s="103">
        <v>46230.0</v>
      </c>
      <c r="AY55" s="37">
        <v>0.3</v>
      </c>
      <c r="AZ55" s="37" t="s">
        <v>171</v>
      </c>
      <c r="BA55" s="37" t="s">
        <v>62</v>
      </c>
      <c r="BB55" s="37" t="s">
        <v>155</v>
      </c>
      <c r="BC55" s="39"/>
      <c r="BD55" s="37" t="s">
        <v>142</v>
      </c>
      <c r="BE55" s="37" t="s">
        <v>167</v>
      </c>
    </row>
    <row r="56" ht="22.5" customHeight="1">
      <c r="A56" s="37">
        <v>55.0</v>
      </c>
      <c r="B56" s="38">
        <v>46230.496877233796</v>
      </c>
      <c r="C56" s="37" t="s">
        <v>85</v>
      </c>
      <c r="D56" s="39"/>
      <c r="E56" s="37" t="s">
        <v>86</v>
      </c>
      <c r="F56" s="39"/>
      <c r="G56" s="37" t="s">
        <v>268</v>
      </c>
      <c r="H56" s="37">
        <v>350.0</v>
      </c>
      <c r="I56" s="88" t="s">
        <v>288</v>
      </c>
      <c r="J56" s="89" t="s">
        <v>60</v>
      </c>
      <c r="K56" s="204" t="s">
        <v>66</v>
      </c>
      <c r="L56" s="92" t="s">
        <v>93</v>
      </c>
      <c r="M56" s="37">
        <v>6.0</v>
      </c>
      <c r="N56" s="190" t="s">
        <v>154</v>
      </c>
      <c r="O56" s="119" t="s">
        <v>151</v>
      </c>
      <c r="P56" s="37" t="s">
        <v>153</v>
      </c>
      <c r="Q56" s="37">
        <v>2.0</v>
      </c>
      <c r="R56" s="103">
        <v>46230.0</v>
      </c>
      <c r="S56" s="37" t="s">
        <v>154</v>
      </c>
      <c r="T56" s="37" t="s">
        <v>61</v>
      </c>
      <c r="U56" s="37" t="s">
        <v>153</v>
      </c>
      <c r="V56" s="37">
        <v>2.0</v>
      </c>
      <c r="W56" s="103">
        <v>46230.0</v>
      </c>
      <c r="X56" s="37" t="s">
        <v>154</v>
      </c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7" t="s">
        <v>151</v>
      </c>
      <c r="AL56" s="37" t="s">
        <v>138</v>
      </c>
      <c r="AM56" s="37">
        <v>1.5</v>
      </c>
      <c r="AN56" s="103">
        <v>46230.0</v>
      </c>
      <c r="AO56" s="37" t="s">
        <v>154</v>
      </c>
      <c r="AP56" s="39"/>
      <c r="AQ56" s="37" t="s">
        <v>139</v>
      </c>
      <c r="AR56" s="37">
        <v>1.5</v>
      </c>
      <c r="AS56" s="103">
        <v>46230.0</v>
      </c>
      <c r="AT56" s="37" t="s">
        <v>154</v>
      </c>
      <c r="AU56" s="39"/>
      <c r="AV56" s="37" t="s">
        <v>165</v>
      </c>
      <c r="AW56" s="37" t="s">
        <v>93</v>
      </c>
      <c r="AX56" s="103">
        <v>46230.0</v>
      </c>
      <c r="AY56" s="37">
        <v>0.4</v>
      </c>
      <c r="AZ56" s="37" t="s">
        <v>154</v>
      </c>
      <c r="BA56" s="37" t="s">
        <v>60</v>
      </c>
      <c r="BB56" s="37" t="s">
        <v>261</v>
      </c>
      <c r="BC56" s="39"/>
      <c r="BD56" s="37" t="s">
        <v>142</v>
      </c>
      <c r="BE56" s="37" t="s">
        <v>154</v>
      </c>
    </row>
    <row r="57" ht="22.5" customHeight="1">
      <c r="A57" s="37">
        <v>56.0</v>
      </c>
      <c r="B57" s="38">
        <v>46230.50153835648</v>
      </c>
      <c r="C57" s="37" t="s">
        <v>85</v>
      </c>
      <c r="D57" s="39"/>
      <c r="E57" s="37" t="s">
        <v>289</v>
      </c>
      <c r="F57" s="37" t="s">
        <v>174</v>
      </c>
      <c r="G57" s="37" t="s">
        <v>268</v>
      </c>
      <c r="H57" s="37">
        <v>270.0</v>
      </c>
      <c r="I57" s="88" t="s">
        <v>290</v>
      </c>
      <c r="J57" s="155" t="s">
        <v>62</v>
      </c>
      <c r="K57" s="90" t="s">
        <v>89</v>
      </c>
      <c r="L57" s="92" t="s">
        <v>93</v>
      </c>
      <c r="M57" s="37">
        <v>4.0</v>
      </c>
      <c r="N57" s="90" t="s">
        <v>131</v>
      </c>
      <c r="O57" s="119" t="s">
        <v>151</v>
      </c>
      <c r="P57" s="37" t="s">
        <v>153</v>
      </c>
      <c r="Q57" s="37">
        <v>2.0</v>
      </c>
      <c r="R57" s="103">
        <v>46230.0</v>
      </c>
      <c r="S57" s="37" t="s">
        <v>171</v>
      </c>
      <c r="T57" s="37" t="s">
        <v>61</v>
      </c>
      <c r="U57" s="37" t="s">
        <v>153</v>
      </c>
      <c r="V57" s="37">
        <v>1.0</v>
      </c>
      <c r="W57" s="103">
        <v>46230.0</v>
      </c>
      <c r="X57" s="37" t="s">
        <v>155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7" t="s">
        <v>151</v>
      </c>
      <c r="AL57" s="37" t="s">
        <v>152</v>
      </c>
      <c r="AM57" s="37">
        <v>1.0</v>
      </c>
      <c r="AN57" s="103">
        <v>46230.0</v>
      </c>
      <c r="AO57" s="37" t="s">
        <v>154</v>
      </c>
      <c r="AP57" s="39"/>
      <c r="AQ57" s="37" t="s">
        <v>149</v>
      </c>
      <c r="AR57" s="37">
        <v>1.0</v>
      </c>
      <c r="AS57" s="103">
        <v>46230.0</v>
      </c>
      <c r="AT57" s="37" t="s">
        <v>261</v>
      </c>
      <c r="AU57" s="39"/>
      <c r="AV57" s="37" t="s">
        <v>165</v>
      </c>
      <c r="AW57" s="37" t="s">
        <v>93</v>
      </c>
      <c r="AX57" s="103">
        <v>46230.0</v>
      </c>
      <c r="AY57" s="37">
        <v>0.3</v>
      </c>
      <c r="AZ57" s="37" t="s">
        <v>154</v>
      </c>
      <c r="BA57" s="37" t="s">
        <v>60</v>
      </c>
      <c r="BB57" s="37" t="s">
        <v>261</v>
      </c>
      <c r="BC57" s="39"/>
      <c r="BD57" s="37" t="s">
        <v>142</v>
      </c>
      <c r="BE57" s="37" t="s">
        <v>261</v>
      </c>
    </row>
    <row r="58" ht="14.25" customHeight="1">
      <c r="A58" s="112"/>
      <c r="B58" s="205"/>
      <c r="C58" s="112"/>
      <c r="D58" s="206"/>
      <c r="E58" s="112"/>
      <c r="F58" s="112"/>
      <c r="G58" s="112"/>
      <c r="H58" s="112"/>
      <c r="I58" s="112"/>
      <c r="J58" s="207"/>
      <c r="K58" s="208"/>
      <c r="L58" s="209"/>
      <c r="M58" s="112"/>
      <c r="N58" s="210"/>
      <c r="O58" s="211"/>
      <c r="P58" s="112"/>
      <c r="Q58" s="112"/>
      <c r="R58" s="212"/>
      <c r="S58" s="112"/>
      <c r="T58" s="206"/>
      <c r="U58" s="112"/>
      <c r="V58" s="112"/>
      <c r="W58" s="212"/>
      <c r="X58" s="112"/>
      <c r="Y58" s="213"/>
      <c r="Z58" s="214"/>
      <c r="AA58" s="206"/>
      <c r="AB58" s="206"/>
      <c r="AC58" s="206"/>
      <c r="AD58" s="206"/>
      <c r="AE58" s="206"/>
      <c r="AF58" s="206"/>
      <c r="AG58" s="206"/>
      <c r="AH58" s="206"/>
      <c r="AI58" s="206"/>
      <c r="AJ58" s="213"/>
      <c r="AK58" s="211"/>
      <c r="AL58" s="112"/>
      <c r="AM58" s="112"/>
      <c r="AN58" s="212"/>
      <c r="AO58" s="112"/>
      <c r="AP58" s="213"/>
      <c r="AQ58" s="211"/>
      <c r="AR58" s="112"/>
      <c r="AS58" s="212"/>
      <c r="AT58" s="112"/>
      <c r="AU58" s="213"/>
      <c r="AV58" s="211"/>
      <c r="AW58" s="112"/>
      <c r="AX58" s="212"/>
      <c r="AY58" s="112"/>
      <c r="AZ58" s="210"/>
      <c r="BA58" s="211"/>
      <c r="BB58" s="112"/>
      <c r="BC58" s="213"/>
      <c r="BD58" s="211"/>
      <c r="BE58" s="112"/>
      <c r="BF58" s="111"/>
      <c r="BG58" s="111"/>
      <c r="BH58" s="111"/>
      <c r="BI58" s="111"/>
      <c r="BJ58" s="111"/>
    </row>
    <row r="59" ht="14.2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215"/>
      <c r="O59" s="216"/>
      <c r="P59" s="111"/>
      <c r="Q59" s="111"/>
      <c r="R59" s="111"/>
      <c r="S59" s="111"/>
      <c r="T59" s="111"/>
      <c r="U59" s="111"/>
      <c r="V59" s="111"/>
      <c r="W59" s="111"/>
      <c r="X59" s="111"/>
      <c r="Y59" s="215"/>
      <c r="Z59" s="217"/>
      <c r="AA59" s="111"/>
      <c r="AB59" s="111"/>
      <c r="AC59" s="111"/>
      <c r="AD59" s="111"/>
      <c r="AE59" s="111"/>
      <c r="AF59" s="111"/>
      <c r="AG59" s="111"/>
      <c r="AH59" s="111"/>
      <c r="AI59" s="111"/>
      <c r="AJ59" s="215"/>
      <c r="AK59" s="216"/>
      <c r="AL59" s="111"/>
      <c r="AM59" s="111"/>
      <c r="AN59" s="111"/>
      <c r="AO59" s="111"/>
      <c r="AP59" s="215"/>
      <c r="AQ59" s="217"/>
      <c r="AR59" s="111"/>
      <c r="AS59" s="111"/>
      <c r="AT59" s="111"/>
      <c r="AU59" s="215"/>
      <c r="AV59" s="216"/>
      <c r="AW59" s="111"/>
      <c r="AX59" s="111"/>
      <c r="AY59" s="111"/>
      <c r="AZ59" s="215"/>
      <c r="BA59" s="216"/>
      <c r="BB59" s="111"/>
      <c r="BC59" s="215"/>
      <c r="BD59" s="216"/>
      <c r="BE59" s="111"/>
      <c r="BF59" s="111"/>
      <c r="BG59" s="111"/>
      <c r="BH59" s="111"/>
      <c r="BI59" s="111"/>
      <c r="BJ59" s="111"/>
    </row>
    <row r="60" ht="14.2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215"/>
      <c r="O60" s="216"/>
      <c r="P60" s="111"/>
      <c r="Q60" s="111"/>
      <c r="R60" s="111"/>
      <c r="S60" s="111"/>
      <c r="T60" s="111"/>
      <c r="U60" s="111"/>
      <c r="V60" s="111"/>
      <c r="W60" s="111"/>
      <c r="X60" s="111"/>
      <c r="Y60" s="215"/>
      <c r="Z60" s="217"/>
      <c r="AA60" s="111"/>
      <c r="AB60" s="111"/>
      <c r="AC60" s="111"/>
      <c r="AD60" s="111"/>
      <c r="AE60" s="111"/>
      <c r="AF60" s="111"/>
      <c r="AG60" s="111"/>
      <c r="AH60" s="111"/>
      <c r="AI60" s="111"/>
      <c r="AJ60" s="215"/>
      <c r="AK60" s="216"/>
      <c r="AL60" s="111"/>
      <c r="AM60" s="111"/>
      <c r="AN60" s="111"/>
      <c r="AO60" s="111"/>
      <c r="AP60" s="215"/>
      <c r="AQ60" s="217"/>
      <c r="AR60" s="111"/>
      <c r="AS60" s="111"/>
      <c r="AT60" s="111"/>
      <c r="AU60" s="215"/>
      <c r="AV60" s="216"/>
      <c r="AW60" s="111"/>
      <c r="AX60" s="111"/>
      <c r="AY60" s="111"/>
      <c r="AZ60" s="215"/>
      <c r="BA60" s="216"/>
      <c r="BB60" s="111"/>
      <c r="BC60" s="215"/>
      <c r="BD60" s="216"/>
      <c r="BE60" s="111"/>
      <c r="BF60" s="111"/>
      <c r="BG60" s="111"/>
      <c r="BH60" s="111"/>
      <c r="BI60" s="111"/>
      <c r="BJ60" s="111"/>
    </row>
    <row r="61" ht="14.2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215"/>
      <c r="O61" s="216"/>
      <c r="P61" s="111"/>
      <c r="Q61" s="111"/>
      <c r="R61" s="111"/>
      <c r="S61" s="111"/>
      <c r="T61" s="111"/>
      <c r="U61" s="111"/>
      <c r="V61" s="111"/>
      <c r="W61" s="111"/>
      <c r="X61" s="111"/>
      <c r="Y61" s="215"/>
      <c r="Z61" s="217"/>
      <c r="AA61" s="111"/>
      <c r="AB61" s="111"/>
      <c r="AC61" s="111"/>
      <c r="AD61" s="111"/>
      <c r="AE61" s="111"/>
      <c r="AF61" s="111"/>
      <c r="AG61" s="111"/>
      <c r="AH61" s="111"/>
      <c r="AI61" s="111"/>
      <c r="AJ61" s="215"/>
      <c r="AK61" s="216"/>
      <c r="AL61" s="111"/>
      <c r="AM61" s="111"/>
      <c r="AN61" s="111"/>
      <c r="AO61" s="111"/>
      <c r="AP61" s="215"/>
      <c r="AQ61" s="217"/>
      <c r="AR61" s="111"/>
      <c r="AS61" s="111"/>
      <c r="AT61" s="111"/>
      <c r="AU61" s="215"/>
      <c r="AV61" s="216"/>
      <c r="AW61" s="111"/>
      <c r="AX61" s="111"/>
      <c r="AY61" s="111"/>
      <c r="AZ61" s="215"/>
      <c r="BA61" s="216"/>
      <c r="BB61" s="111"/>
      <c r="BC61" s="215"/>
      <c r="BD61" s="216"/>
      <c r="BE61" s="111"/>
      <c r="BF61" s="111"/>
      <c r="BG61" s="111"/>
      <c r="BH61" s="111"/>
      <c r="BI61" s="111"/>
      <c r="BJ61" s="111"/>
    </row>
    <row r="62" ht="14.2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215"/>
      <c r="O62" s="216"/>
      <c r="P62" s="111"/>
      <c r="Q62" s="111"/>
      <c r="R62" s="111"/>
      <c r="S62" s="111"/>
      <c r="T62" s="111"/>
      <c r="U62" s="111"/>
      <c r="V62" s="111"/>
      <c r="W62" s="111"/>
      <c r="X62" s="111"/>
      <c r="Y62" s="215"/>
      <c r="Z62" s="217"/>
      <c r="AA62" s="111"/>
      <c r="AB62" s="111"/>
      <c r="AC62" s="111"/>
      <c r="AD62" s="111"/>
      <c r="AE62" s="111"/>
      <c r="AF62" s="111"/>
      <c r="AG62" s="111"/>
      <c r="AH62" s="111"/>
      <c r="AI62" s="111"/>
      <c r="AJ62" s="215"/>
      <c r="AK62" s="216"/>
      <c r="AL62" s="111"/>
      <c r="AM62" s="111"/>
      <c r="AN62" s="111"/>
      <c r="AO62" s="111"/>
      <c r="AP62" s="215"/>
      <c r="AQ62" s="217"/>
      <c r="AR62" s="111"/>
      <c r="AS62" s="111"/>
      <c r="AT62" s="111"/>
      <c r="AU62" s="215"/>
      <c r="AV62" s="216"/>
      <c r="AW62" s="111"/>
      <c r="AX62" s="111"/>
      <c r="AY62" s="111"/>
      <c r="AZ62" s="215"/>
      <c r="BA62" s="216"/>
      <c r="BB62" s="111"/>
      <c r="BC62" s="215"/>
      <c r="BD62" s="216"/>
      <c r="BE62" s="111"/>
      <c r="BF62" s="111"/>
      <c r="BG62" s="111"/>
      <c r="BH62" s="111"/>
      <c r="BI62" s="111"/>
      <c r="BJ62" s="111"/>
    </row>
    <row r="63" ht="14.2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215"/>
      <c r="O63" s="216"/>
      <c r="P63" s="111"/>
      <c r="Q63" s="111"/>
      <c r="R63" s="111"/>
      <c r="S63" s="111"/>
      <c r="T63" s="111"/>
      <c r="U63" s="111"/>
      <c r="V63" s="111"/>
      <c r="W63" s="111"/>
      <c r="X63" s="111"/>
      <c r="Y63" s="215"/>
      <c r="Z63" s="217"/>
      <c r="AA63" s="111"/>
      <c r="AB63" s="111"/>
      <c r="AC63" s="111"/>
      <c r="AD63" s="111"/>
      <c r="AE63" s="111"/>
      <c r="AF63" s="111"/>
      <c r="AG63" s="111"/>
      <c r="AH63" s="111"/>
      <c r="AI63" s="111"/>
      <c r="AJ63" s="215"/>
      <c r="AK63" s="216"/>
      <c r="AL63" s="111"/>
      <c r="AM63" s="111"/>
      <c r="AN63" s="111"/>
      <c r="AO63" s="111"/>
      <c r="AP63" s="215"/>
      <c r="AQ63" s="217"/>
      <c r="AR63" s="111"/>
      <c r="AS63" s="111"/>
      <c r="AT63" s="111"/>
      <c r="AU63" s="215"/>
      <c r="AV63" s="216"/>
      <c r="AW63" s="111"/>
      <c r="AX63" s="111"/>
      <c r="AY63" s="111"/>
      <c r="AZ63" s="215"/>
      <c r="BA63" s="216"/>
      <c r="BB63" s="111"/>
      <c r="BC63" s="215"/>
      <c r="BD63" s="216"/>
      <c r="BE63" s="111"/>
      <c r="BF63" s="111"/>
      <c r="BG63" s="111"/>
      <c r="BH63" s="111"/>
      <c r="BI63" s="111"/>
      <c r="BJ63" s="111"/>
    </row>
    <row r="64" ht="14.2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215"/>
      <c r="O64" s="216"/>
      <c r="P64" s="111"/>
      <c r="Q64" s="111"/>
      <c r="R64" s="111"/>
      <c r="S64" s="111"/>
      <c r="T64" s="111"/>
      <c r="U64" s="111"/>
      <c r="V64" s="111"/>
      <c r="W64" s="111"/>
      <c r="X64" s="111"/>
      <c r="Y64" s="215"/>
      <c r="Z64" s="217"/>
      <c r="AA64" s="111"/>
      <c r="AB64" s="111"/>
      <c r="AC64" s="111"/>
      <c r="AD64" s="111"/>
      <c r="AE64" s="111"/>
      <c r="AF64" s="111"/>
      <c r="AG64" s="111"/>
      <c r="AH64" s="111"/>
      <c r="AI64" s="111"/>
      <c r="AJ64" s="215"/>
      <c r="AK64" s="216"/>
      <c r="AL64" s="111"/>
      <c r="AM64" s="111"/>
      <c r="AN64" s="111"/>
      <c r="AO64" s="111"/>
      <c r="AP64" s="215"/>
      <c r="AQ64" s="217"/>
      <c r="AR64" s="111"/>
      <c r="AS64" s="111"/>
      <c r="AT64" s="111"/>
      <c r="AU64" s="215"/>
      <c r="AV64" s="216"/>
      <c r="AW64" s="111"/>
      <c r="AX64" s="111"/>
      <c r="AY64" s="111"/>
      <c r="AZ64" s="215"/>
      <c r="BA64" s="216"/>
      <c r="BB64" s="111"/>
      <c r="BC64" s="215"/>
      <c r="BD64" s="216"/>
      <c r="BE64" s="111"/>
      <c r="BF64" s="111"/>
      <c r="BG64" s="111"/>
      <c r="BH64" s="111"/>
      <c r="BI64" s="111"/>
      <c r="BJ64" s="111"/>
    </row>
    <row r="65" ht="14.2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215"/>
      <c r="O65" s="216"/>
      <c r="P65" s="111"/>
      <c r="Q65" s="111"/>
      <c r="R65" s="111"/>
      <c r="S65" s="111"/>
      <c r="T65" s="111"/>
      <c r="U65" s="111"/>
      <c r="V65" s="111"/>
      <c r="W65" s="111"/>
      <c r="X65" s="111"/>
      <c r="Y65" s="215"/>
      <c r="Z65" s="217"/>
      <c r="AA65" s="111"/>
      <c r="AB65" s="111"/>
      <c r="AC65" s="111"/>
      <c r="AD65" s="111"/>
      <c r="AE65" s="111"/>
      <c r="AF65" s="111"/>
      <c r="AG65" s="111"/>
      <c r="AH65" s="111"/>
      <c r="AI65" s="111"/>
      <c r="AJ65" s="215"/>
      <c r="AK65" s="216"/>
      <c r="AL65" s="111"/>
      <c r="AM65" s="111"/>
      <c r="AN65" s="111"/>
      <c r="AO65" s="111"/>
      <c r="AP65" s="215"/>
      <c r="AQ65" s="217"/>
      <c r="AR65" s="111"/>
      <c r="AS65" s="111"/>
      <c r="AT65" s="111"/>
      <c r="AU65" s="215"/>
      <c r="AV65" s="216"/>
      <c r="AW65" s="111"/>
      <c r="AX65" s="111"/>
      <c r="AY65" s="111"/>
      <c r="AZ65" s="215"/>
      <c r="BA65" s="216"/>
      <c r="BB65" s="111"/>
      <c r="BC65" s="215"/>
      <c r="BD65" s="216"/>
      <c r="BE65" s="111"/>
      <c r="BF65" s="111"/>
      <c r="BG65" s="111"/>
      <c r="BH65" s="111"/>
      <c r="BI65" s="111"/>
      <c r="BJ65" s="111"/>
    </row>
    <row r="66" ht="14.2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215"/>
      <c r="O66" s="216"/>
      <c r="P66" s="111"/>
      <c r="Q66" s="111"/>
      <c r="R66" s="111"/>
      <c r="S66" s="111"/>
      <c r="T66" s="111"/>
      <c r="U66" s="111"/>
      <c r="V66" s="111"/>
      <c r="W66" s="111"/>
      <c r="X66" s="111"/>
      <c r="Y66" s="215"/>
      <c r="Z66" s="217"/>
      <c r="AA66" s="111"/>
      <c r="AB66" s="111"/>
      <c r="AC66" s="111"/>
      <c r="AD66" s="111"/>
      <c r="AE66" s="111"/>
      <c r="AF66" s="111"/>
      <c r="AG66" s="111"/>
      <c r="AH66" s="111"/>
      <c r="AI66" s="111"/>
      <c r="AJ66" s="215"/>
      <c r="AK66" s="216"/>
      <c r="AL66" s="111"/>
      <c r="AM66" s="111"/>
      <c r="AN66" s="111"/>
      <c r="AO66" s="111"/>
      <c r="AP66" s="215"/>
      <c r="AQ66" s="217"/>
      <c r="AR66" s="111"/>
      <c r="AS66" s="111"/>
      <c r="AT66" s="111"/>
      <c r="AU66" s="215"/>
      <c r="AV66" s="216"/>
      <c r="AW66" s="111"/>
      <c r="AX66" s="111"/>
      <c r="AY66" s="111"/>
      <c r="AZ66" s="215"/>
      <c r="BA66" s="216"/>
      <c r="BB66" s="111"/>
      <c r="BC66" s="215"/>
      <c r="BD66" s="216"/>
      <c r="BE66" s="111"/>
      <c r="BF66" s="111"/>
      <c r="BG66" s="111"/>
      <c r="BH66" s="111"/>
      <c r="BI66" s="111"/>
      <c r="BJ66" s="111"/>
    </row>
    <row r="67" ht="14.2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215"/>
      <c r="O67" s="216"/>
      <c r="P67" s="111"/>
      <c r="Q67" s="111"/>
      <c r="R67" s="111"/>
      <c r="S67" s="111"/>
      <c r="T67" s="111"/>
      <c r="U67" s="111"/>
      <c r="V67" s="111"/>
      <c r="W67" s="111"/>
      <c r="X67" s="111"/>
      <c r="Y67" s="215"/>
      <c r="Z67" s="217"/>
      <c r="AA67" s="111"/>
      <c r="AB67" s="111"/>
      <c r="AC67" s="111"/>
      <c r="AD67" s="111"/>
      <c r="AE67" s="111"/>
      <c r="AF67" s="111"/>
      <c r="AG67" s="111"/>
      <c r="AH67" s="111"/>
      <c r="AI67" s="111"/>
      <c r="AJ67" s="215"/>
      <c r="AK67" s="216"/>
      <c r="AL67" s="111"/>
      <c r="AM67" s="111"/>
      <c r="AN67" s="111"/>
      <c r="AO67" s="111"/>
      <c r="AP67" s="215"/>
      <c r="AQ67" s="217"/>
      <c r="AR67" s="111"/>
      <c r="AS67" s="111"/>
      <c r="AT67" s="111"/>
      <c r="AU67" s="215"/>
      <c r="AV67" s="216"/>
      <c r="AW67" s="111"/>
      <c r="AX67" s="111"/>
      <c r="AY67" s="111"/>
      <c r="AZ67" s="215"/>
      <c r="BA67" s="216"/>
      <c r="BB67" s="111"/>
      <c r="BC67" s="215"/>
      <c r="BD67" s="216"/>
      <c r="BE67" s="111"/>
      <c r="BF67" s="111"/>
      <c r="BG67" s="111"/>
      <c r="BH67" s="111"/>
      <c r="BI67" s="111"/>
      <c r="BJ67" s="111"/>
    </row>
    <row r="68" ht="14.2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215"/>
      <c r="O68" s="216"/>
      <c r="P68" s="111"/>
      <c r="Q68" s="111"/>
      <c r="R68" s="111"/>
      <c r="S68" s="111"/>
      <c r="T68" s="111"/>
      <c r="U68" s="111"/>
      <c r="V68" s="111"/>
      <c r="W68" s="111"/>
      <c r="X68" s="111"/>
      <c r="Y68" s="215"/>
      <c r="Z68" s="217"/>
      <c r="AA68" s="111"/>
      <c r="AB68" s="111"/>
      <c r="AC68" s="111"/>
      <c r="AD68" s="111"/>
      <c r="AE68" s="111"/>
      <c r="AF68" s="111"/>
      <c r="AG68" s="111"/>
      <c r="AH68" s="111"/>
      <c r="AI68" s="111"/>
      <c r="AJ68" s="215"/>
      <c r="AK68" s="216"/>
      <c r="AL68" s="111"/>
      <c r="AM68" s="111"/>
      <c r="AN68" s="111"/>
      <c r="AO68" s="111"/>
      <c r="AP68" s="215"/>
      <c r="AQ68" s="217"/>
      <c r="AR68" s="111"/>
      <c r="AS68" s="111"/>
      <c r="AT68" s="111"/>
      <c r="AU68" s="215"/>
      <c r="AV68" s="216"/>
      <c r="AW68" s="111"/>
      <c r="AX68" s="111"/>
      <c r="AY68" s="111"/>
      <c r="AZ68" s="215"/>
      <c r="BA68" s="216"/>
      <c r="BB68" s="111"/>
      <c r="BC68" s="215"/>
      <c r="BD68" s="216"/>
      <c r="BE68" s="111"/>
      <c r="BF68" s="111"/>
      <c r="BG68" s="111"/>
      <c r="BH68" s="111"/>
      <c r="BI68" s="111"/>
      <c r="BJ68" s="111"/>
    </row>
    <row r="69" ht="14.2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215"/>
      <c r="O69" s="216"/>
      <c r="P69" s="111"/>
      <c r="Q69" s="111"/>
      <c r="R69" s="111"/>
      <c r="S69" s="111"/>
      <c r="T69" s="111"/>
      <c r="U69" s="111"/>
      <c r="V69" s="111"/>
      <c r="W69" s="111"/>
      <c r="X69" s="111"/>
      <c r="Y69" s="215"/>
      <c r="Z69" s="217"/>
      <c r="AA69" s="111"/>
      <c r="AB69" s="111"/>
      <c r="AC69" s="111"/>
      <c r="AD69" s="111"/>
      <c r="AE69" s="111"/>
      <c r="AF69" s="111"/>
      <c r="AG69" s="111"/>
      <c r="AH69" s="111"/>
      <c r="AI69" s="111"/>
      <c r="AJ69" s="215"/>
      <c r="AK69" s="216"/>
      <c r="AL69" s="111"/>
      <c r="AM69" s="111"/>
      <c r="AN69" s="111"/>
      <c r="AO69" s="111"/>
      <c r="AP69" s="215"/>
      <c r="AQ69" s="217"/>
      <c r="AR69" s="111"/>
      <c r="AS69" s="111"/>
      <c r="AT69" s="111"/>
      <c r="AU69" s="215"/>
      <c r="AV69" s="216"/>
      <c r="AW69" s="111"/>
      <c r="AX69" s="111"/>
      <c r="AY69" s="111"/>
      <c r="AZ69" s="215"/>
      <c r="BA69" s="216"/>
      <c r="BB69" s="111"/>
      <c r="BC69" s="215"/>
      <c r="BD69" s="216"/>
      <c r="BE69" s="111"/>
      <c r="BF69" s="111"/>
      <c r="BG69" s="111"/>
      <c r="BH69" s="111"/>
      <c r="BI69" s="111"/>
      <c r="BJ69" s="111"/>
    </row>
    <row r="70" ht="14.2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215"/>
      <c r="O70" s="216"/>
      <c r="P70" s="111"/>
      <c r="Q70" s="111"/>
      <c r="R70" s="111"/>
      <c r="S70" s="111"/>
      <c r="T70" s="111"/>
      <c r="U70" s="111"/>
      <c r="V70" s="111"/>
      <c r="W70" s="111"/>
      <c r="X70" s="111"/>
      <c r="Y70" s="215"/>
      <c r="Z70" s="217"/>
      <c r="AA70" s="111"/>
      <c r="AB70" s="111"/>
      <c r="AC70" s="111"/>
      <c r="AD70" s="111"/>
      <c r="AE70" s="111"/>
      <c r="AF70" s="111"/>
      <c r="AG70" s="111"/>
      <c r="AH70" s="111"/>
      <c r="AI70" s="111"/>
      <c r="AJ70" s="215"/>
      <c r="AK70" s="216"/>
      <c r="AL70" s="111"/>
      <c r="AM70" s="111"/>
      <c r="AN70" s="111"/>
      <c r="AO70" s="111"/>
      <c r="AP70" s="215"/>
      <c r="AQ70" s="217"/>
      <c r="AR70" s="111"/>
      <c r="AS70" s="111"/>
      <c r="AT70" s="111"/>
      <c r="AU70" s="215"/>
      <c r="AV70" s="216"/>
      <c r="AW70" s="111"/>
      <c r="AX70" s="111"/>
      <c r="AY70" s="111"/>
      <c r="AZ70" s="215"/>
      <c r="BA70" s="216"/>
      <c r="BB70" s="111"/>
      <c r="BC70" s="215"/>
      <c r="BD70" s="216"/>
      <c r="BE70" s="111"/>
      <c r="BF70" s="111"/>
      <c r="BG70" s="111"/>
      <c r="BH70" s="111"/>
      <c r="BI70" s="111"/>
      <c r="BJ70" s="111"/>
    </row>
    <row r="71" ht="14.2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215"/>
      <c r="O71" s="216"/>
      <c r="P71" s="111"/>
      <c r="Q71" s="111"/>
      <c r="R71" s="111"/>
      <c r="S71" s="111"/>
      <c r="T71" s="111"/>
      <c r="U71" s="111"/>
      <c r="V71" s="111"/>
      <c r="W71" s="111"/>
      <c r="X71" s="111"/>
      <c r="Y71" s="215"/>
      <c r="Z71" s="217"/>
      <c r="AA71" s="111"/>
      <c r="AB71" s="111"/>
      <c r="AC71" s="111"/>
      <c r="AD71" s="111"/>
      <c r="AE71" s="111"/>
      <c r="AF71" s="111"/>
      <c r="AG71" s="111"/>
      <c r="AH71" s="111"/>
      <c r="AI71" s="111"/>
      <c r="AJ71" s="215"/>
      <c r="AK71" s="216"/>
      <c r="AL71" s="111"/>
      <c r="AM71" s="111"/>
      <c r="AN71" s="111"/>
      <c r="AO71" s="111"/>
      <c r="AP71" s="215"/>
      <c r="AQ71" s="217"/>
      <c r="AR71" s="111"/>
      <c r="AS71" s="111"/>
      <c r="AT71" s="111"/>
      <c r="AU71" s="215"/>
      <c r="AV71" s="216"/>
      <c r="AW71" s="111"/>
      <c r="AX71" s="111"/>
      <c r="AY71" s="111"/>
      <c r="AZ71" s="215"/>
      <c r="BA71" s="216"/>
      <c r="BB71" s="111"/>
      <c r="BC71" s="215"/>
      <c r="BD71" s="216"/>
      <c r="BE71" s="111"/>
      <c r="BF71" s="111"/>
      <c r="BG71" s="111"/>
      <c r="BH71" s="111"/>
      <c r="BI71" s="111"/>
      <c r="BJ71" s="111"/>
    </row>
    <row r="72" ht="14.2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215"/>
      <c r="O72" s="216"/>
      <c r="P72" s="111"/>
      <c r="Q72" s="111"/>
      <c r="R72" s="111"/>
      <c r="S72" s="111"/>
      <c r="T72" s="111"/>
      <c r="U72" s="111"/>
      <c r="V72" s="111"/>
      <c r="W72" s="111"/>
      <c r="X72" s="111"/>
      <c r="Y72" s="215"/>
      <c r="Z72" s="217"/>
      <c r="AA72" s="111"/>
      <c r="AB72" s="111"/>
      <c r="AC72" s="111"/>
      <c r="AD72" s="111"/>
      <c r="AE72" s="111"/>
      <c r="AF72" s="111"/>
      <c r="AG72" s="111"/>
      <c r="AH72" s="111"/>
      <c r="AI72" s="111"/>
      <c r="AJ72" s="215"/>
      <c r="AK72" s="216"/>
      <c r="AL72" s="111"/>
      <c r="AM72" s="111"/>
      <c r="AN72" s="111"/>
      <c r="AO72" s="111"/>
      <c r="AP72" s="215"/>
      <c r="AQ72" s="217"/>
      <c r="AR72" s="111"/>
      <c r="AS72" s="111"/>
      <c r="AT72" s="111"/>
      <c r="AU72" s="215"/>
      <c r="AV72" s="216"/>
      <c r="AW72" s="111"/>
      <c r="AX72" s="111"/>
      <c r="AY72" s="111"/>
      <c r="AZ72" s="215"/>
      <c r="BA72" s="216"/>
      <c r="BB72" s="111"/>
      <c r="BC72" s="215"/>
      <c r="BD72" s="216"/>
      <c r="BE72" s="111"/>
      <c r="BF72" s="111"/>
      <c r="BG72" s="111"/>
      <c r="BH72" s="111"/>
      <c r="BI72" s="111"/>
      <c r="BJ72" s="111"/>
    </row>
    <row r="73" ht="14.2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215"/>
      <c r="O73" s="216"/>
      <c r="P73" s="111"/>
      <c r="Q73" s="111"/>
      <c r="R73" s="111"/>
      <c r="S73" s="111"/>
      <c r="T73" s="111"/>
      <c r="U73" s="111"/>
      <c r="V73" s="111"/>
      <c r="W73" s="111"/>
      <c r="X73" s="111"/>
      <c r="Y73" s="215"/>
      <c r="Z73" s="217"/>
      <c r="AA73" s="111"/>
      <c r="AB73" s="111"/>
      <c r="AC73" s="111"/>
      <c r="AD73" s="111"/>
      <c r="AE73" s="111"/>
      <c r="AF73" s="111"/>
      <c r="AG73" s="111"/>
      <c r="AH73" s="111"/>
      <c r="AI73" s="111"/>
      <c r="AJ73" s="215"/>
      <c r="AK73" s="216"/>
      <c r="AL73" s="111"/>
      <c r="AM73" s="111"/>
      <c r="AN73" s="111"/>
      <c r="AO73" s="111"/>
      <c r="AP73" s="215"/>
      <c r="AQ73" s="217"/>
      <c r="AR73" s="111"/>
      <c r="AS73" s="111"/>
      <c r="AT73" s="111"/>
      <c r="AU73" s="215"/>
      <c r="AV73" s="216"/>
      <c r="AW73" s="111"/>
      <c r="AX73" s="111"/>
      <c r="AY73" s="111"/>
      <c r="AZ73" s="215"/>
      <c r="BA73" s="216"/>
      <c r="BB73" s="111"/>
      <c r="BC73" s="215"/>
      <c r="BD73" s="216"/>
      <c r="BE73" s="111"/>
      <c r="BF73" s="111"/>
      <c r="BG73" s="111"/>
      <c r="BH73" s="111"/>
      <c r="BI73" s="111"/>
      <c r="BJ73" s="111"/>
    </row>
    <row r="74" ht="14.2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215"/>
      <c r="O74" s="216"/>
      <c r="P74" s="111"/>
      <c r="Q74" s="111"/>
      <c r="R74" s="111"/>
      <c r="S74" s="111"/>
      <c r="T74" s="111"/>
      <c r="U74" s="111"/>
      <c r="V74" s="111"/>
      <c r="W74" s="111"/>
      <c r="X74" s="111"/>
      <c r="Y74" s="215"/>
      <c r="Z74" s="217"/>
      <c r="AA74" s="111"/>
      <c r="AB74" s="111"/>
      <c r="AC74" s="111"/>
      <c r="AD74" s="111"/>
      <c r="AE74" s="111"/>
      <c r="AF74" s="111"/>
      <c r="AG74" s="111"/>
      <c r="AH74" s="111"/>
      <c r="AI74" s="111"/>
      <c r="AJ74" s="215"/>
      <c r="AK74" s="216"/>
      <c r="AL74" s="111"/>
      <c r="AM74" s="111"/>
      <c r="AN74" s="111"/>
      <c r="AO74" s="111"/>
      <c r="AP74" s="215"/>
      <c r="AQ74" s="217"/>
      <c r="AR74" s="111"/>
      <c r="AS74" s="111"/>
      <c r="AT74" s="111"/>
      <c r="AU74" s="215"/>
      <c r="AV74" s="216"/>
      <c r="AW74" s="111"/>
      <c r="AX74" s="111"/>
      <c r="AY74" s="111"/>
      <c r="AZ74" s="215"/>
      <c r="BA74" s="216"/>
      <c r="BB74" s="111"/>
      <c r="BC74" s="215"/>
      <c r="BD74" s="216"/>
      <c r="BE74" s="111"/>
      <c r="BF74" s="111"/>
      <c r="BG74" s="111"/>
      <c r="BH74" s="111"/>
      <c r="BI74" s="111"/>
      <c r="BJ74" s="111"/>
    </row>
    <row r="75" ht="14.2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215"/>
      <c r="O75" s="216"/>
      <c r="P75" s="111"/>
      <c r="Q75" s="111"/>
      <c r="R75" s="111"/>
      <c r="S75" s="111"/>
      <c r="T75" s="111"/>
      <c r="U75" s="111"/>
      <c r="V75" s="111"/>
      <c r="W75" s="111"/>
      <c r="X75" s="111"/>
      <c r="Y75" s="215"/>
      <c r="Z75" s="217"/>
      <c r="AA75" s="111"/>
      <c r="AB75" s="111"/>
      <c r="AC75" s="111"/>
      <c r="AD75" s="111"/>
      <c r="AE75" s="111"/>
      <c r="AF75" s="111"/>
      <c r="AG75" s="111"/>
      <c r="AH75" s="111"/>
      <c r="AI75" s="111"/>
      <c r="AJ75" s="215"/>
      <c r="AK75" s="216"/>
      <c r="AL75" s="111"/>
      <c r="AM75" s="111"/>
      <c r="AN75" s="111"/>
      <c r="AO75" s="111"/>
      <c r="AP75" s="215"/>
      <c r="AQ75" s="217"/>
      <c r="AR75" s="111"/>
      <c r="AS75" s="111"/>
      <c r="AT75" s="111"/>
      <c r="AU75" s="215"/>
      <c r="AV75" s="216"/>
      <c r="AW75" s="111"/>
      <c r="AX75" s="111"/>
      <c r="AY75" s="111"/>
      <c r="AZ75" s="215"/>
      <c r="BA75" s="216"/>
      <c r="BB75" s="111"/>
      <c r="BC75" s="215"/>
      <c r="BD75" s="216"/>
      <c r="BE75" s="111"/>
      <c r="BF75" s="111"/>
      <c r="BG75" s="111"/>
      <c r="BH75" s="111"/>
      <c r="BI75" s="111"/>
      <c r="BJ75" s="111"/>
    </row>
    <row r="76" ht="14.2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215"/>
      <c r="O76" s="216"/>
      <c r="P76" s="111"/>
      <c r="Q76" s="111"/>
      <c r="R76" s="111"/>
      <c r="S76" s="111"/>
      <c r="T76" s="111"/>
      <c r="U76" s="111"/>
      <c r="V76" s="111"/>
      <c r="W76" s="111"/>
      <c r="X76" s="111"/>
      <c r="Y76" s="215"/>
      <c r="Z76" s="217"/>
      <c r="AA76" s="111"/>
      <c r="AB76" s="111"/>
      <c r="AC76" s="111"/>
      <c r="AD76" s="111"/>
      <c r="AE76" s="111"/>
      <c r="AF76" s="111"/>
      <c r="AG76" s="111"/>
      <c r="AH76" s="111"/>
      <c r="AI76" s="111"/>
      <c r="AJ76" s="215"/>
      <c r="AK76" s="216"/>
      <c r="AL76" s="111"/>
      <c r="AM76" s="111"/>
      <c r="AN76" s="111"/>
      <c r="AO76" s="111"/>
      <c r="AP76" s="215"/>
      <c r="AQ76" s="217"/>
      <c r="AR76" s="111"/>
      <c r="AS76" s="111"/>
      <c r="AT76" s="111"/>
      <c r="AU76" s="215"/>
      <c r="AV76" s="216"/>
      <c r="AW76" s="111"/>
      <c r="AX76" s="111"/>
      <c r="AY76" s="111"/>
      <c r="AZ76" s="215"/>
      <c r="BA76" s="216"/>
      <c r="BB76" s="111"/>
      <c r="BC76" s="215"/>
      <c r="BD76" s="216"/>
      <c r="BE76" s="111"/>
      <c r="BF76" s="111"/>
      <c r="BG76" s="111"/>
      <c r="BH76" s="111"/>
      <c r="BI76" s="111"/>
      <c r="BJ76" s="111"/>
    </row>
    <row r="77" ht="14.2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215"/>
      <c r="O77" s="216"/>
      <c r="P77" s="111"/>
      <c r="Q77" s="111"/>
      <c r="R77" s="111"/>
      <c r="S77" s="111"/>
      <c r="T77" s="111"/>
      <c r="U77" s="111"/>
      <c r="V77" s="111"/>
      <c r="W77" s="111"/>
      <c r="X77" s="111"/>
      <c r="Y77" s="215"/>
      <c r="Z77" s="217"/>
      <c r="AA77" s="111"/>
      <c r="AB77" s="111"/>
      <c r="AC77" s="111"/>
      <c r="AD77" s="111"/>
      <c r="AE77" s="111"/>
      <c r="AF77" s="111"/>
      <c r="AG77" s="111"/>
      <c r="AH77" s="111"/>
      <c r="AI77" s="111"/>
      <c r="AJ77" s="215"/>
      <c r="AK77" s="216"/>
      <c r="AL77" s="111"/>
      <c r="AM77" s="111"/>
      <c r="AN77" s="111"/>
      <c r="AO77" s="111"/>
      <c r="AP77" s="215"/>
      <c r="AQ77" s="217"/>
      <c r="AR77" s="111"/>
      <c r="AS77" s="111"/>
      <c r="AT77" s="111"/>
      <c r="AU77" s="215"/>
      <c r="AV77" s="216"/>
      <c r="AW77" s="111"/>
      <c r="AX77" s="111"/>
      <c r="AY77" s="111"/>
      <c r="AZ77" s="215"/>
      <c r="BA77" s="216"/>
      <c r="BB77" s="111"/>
      <c r="BC77" s="215"/>
      <c r="BD77" s="216"/>
      <c r="BE77" s="111"/>
      <c r="BF77" s="111"/>
      <c r="BG77" s="111"/>
      <c r="BH77" s="111"/>
      <c r="BI77" s="111"/>
      <c r="BJ77" s="111"/>
    </row>
    <row r="78" ht="14.2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215"/>
      <c r="O78" s="216"/>
      <c r="P78" s="111"/>
      <c r="Q78" s="111"/>
      <c r="R78" s="111"/>
      <c r="S78" s="111"/>
      <c r="T78" s="111"/>
      <c r="U78" s="111"/>
      <c r="V78" s="111"/>
      <c r="W78" s="111"/>
      <c r="X78" s="111"/>
      <c r="Y78" s="215"/>
      <c r="Z78" s="217"/>
      <c r="AA78" s="111"/>
      <c r="AB78" s="111"/>
      <c r="AC78" s="111"/>
      <c r="AD78" s="111"/>
      <c r="AE78" s="111"/>
      <c r="AF78" s="111"/>
      <c r="AG78" s="111"/>
      <c r="AH78" s="111"/>
      <c r="AI78" s="111"/>
      <c r="AJ78" s="215"/>
      <c r="AK78" s="216"/>
      <c r="AL78" s="111"/>
      <c r="AM78" s="111"/>
      <c r="AN78" s="111"/>
      <c r="AO78" s="111"/>
      <c r="AP78" s="215"/>
      <c r="AQ78" s="217"/>
      <c r="AR78" s="111"/>
      <c r="AS78" s="111"/>
      <c r="AT78" s="111"/>
      <c r="AU78" s="215"/>
      <c r="AV78" s="216"/>
      <c r="AW78" s="111"/>
      <c r="AX78" s="111"/>
      <c r="AY78" s="111"/>
      <c r="AZ78" s="215"/>
      <c r="BA78" s="216"/>
      <c r="BB78" s="111"/>
      <c r="BC78" s="215"/>
      <c r="BD78" s="216"/>
      <c r="BE78" s="111"/>
      <c r="BF78" s="111"/>
      <c r="BG78" s="111"/>
      <c r="BH78" s="111"/>
      <c r="BI78" s="111"/>
      <c r="BJ78" s="111"/>
    </row>
    <row r="79" ht="14.2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215"/>
      <c r="O79" s="216"/>
      <c r="P79" s="111"/>
      <c r="Q79" s="111"/>
      <c r="R79" s="111"/>
      <c r="S79" s="111"/>
      <c r="T79" s="111"/>
      <c r="U79" s="111"/>
      <c r="V79" s="111"/>
      <c r="W79" s="111"/>
      <c r="X79" s="111"/>
      <c r="Y79" s="215"/>
      <c r="Z79" s="217"/>
      <c r="AA79" s="111"/>
      <c r="AB79" s="111"/>
      <c r="AC79" s="111"/>
      <c r="AD79" s="111"/>
      <c r="AE79" s="111"/>
      <c r="AF79" s="111"/>
      <c r="AG79" s="111"/>
      <c r="AH79" s="111"/>
      <c r="AI79" s="111"/>
      <c r="AJ79" s="215"/>
      <c r="AK79" s="216"/>
      <c r="AL79" s="111"/>
      <c r="AM79" s="111"/>
      <c r="AN79" s="111"/>
      <c r="AO79" s="111"/>
      <c r="AP79" s="215"/>
      <c r="AQ79" s="217"/>
      <c r="AR79" s="111"/>
      <c r="AS79" s="111"/>
      <c r="AT79" s="111"/>
      <c r="AU79" s="215"/>
      <c r="AV79" s="216"/>
      <c r="AW79" s="111"/>
      <c r="AX79" s="111"/>
      <c r="AY79" s="111"/>
      <c r="AZ79" s="215"/>
      <c r="BA79" s="216"/>
      <c r="BB79" s="111"/>
      <c r="BC79" s="215"/>
      <c r="BD79" s="216"/>
      <c r="BE79" s="111"/>
      <c r="BF79" s="111"/>
      <c r="BG79" s="111"/>
      <c r="BH79" s="111"/>
      <c r="BI79" s="111"/>
      <c r="BJ79" s="111"/>
    </row>
    <row r="80" ht="14.2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215"/>
      <c r="O80" s="216"/>
      <c r="P80" s="111"/>
      <c r="Q80" s="111"/>
      <c r="R80" s="111"/>
      <c r="S80" s="111"/>
      <c r="T80" s="111"/>
      <c r="U80" s="111"/>
      <c r="V80" s="111"/>
      <c r="W80" s="111"/>
      <c r="X80" s="111"/>
      <c r="Y80" s="215"/>
      <c r="Z80" s="217"/>
      <c r="AA80" s="111"/>
      <c r="AB80" s="111"/>
      <c r="AC80" s="111"/>
      <c r="AD80" s="111"/>
      <c r="AE80" s="111"/>
      <c r="AF80" s="111"/>
      <c r="AG80" s="111"/>
      <c r="AH80" s="111"/>
      <c r="AI80" s="111"/>
      <c r="AJ80" s="215"/>
      <c r="AK80" s="216"/>
      <c r="AL80" s="111"/>
      <c r="AM80" s="111"/>
      <c r="AN80" s="111"/>
      <c r="AO80" s="111"/>
      <c r="AP80" s="215"/>
      <c r="AQ80" s="217"/>
      <c r="AR80" s="111"/>
      <c r="AS80" s="111"/>
      <c r="AT80" s="111"/>
      <c r="AU80" s="215"/>
      <c r="AV80" s="216"/>
      <c r="AW80" s="111"/>
      <c r="AX80" s="111"/>
      <c r="AY80" s="111"/>
      <c r="AZ80" s="215"/>
      <c r="BA80" s="216"/>
      <c r="BB80" s="111"/>
      <c r="BC80" s="215"/>
      <c r="BD80" s="216"/>
      <c r="BE80" s="111"/>
      <c r="BF80" s="111"/>
      <c r="BG80" s="111"/>
      <c r="BH80" s="111"/>
      <c r="BI80" s="111"/>
      <c r="BJ80" s="111"/>
    </row>
    <row r="81" ht="14.2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215"/>
      <c r="O81" s="216"/>
      <c r="P81" s="111"/>
      <c r="Q81" s="111"/>
      <c r="R81" s="111"/>
      <c r="S81" s="111"/>
      <c r="T81" s="111"/>
      <c r="U81" s="111"/>
      <c r="V81" s="111"/>
      <c r="W81" s="111"/>
      <c r="X81" s="111"/>
      <c r="Y81" s="215"/>
      <c r="Z81" s="217"/>
      <c r="AA81" s="111"/>
      <c r="AB81" s="111"/>
      <c r="AC81" s="111"/>
      <c r="AD81" s="111"/>
      <c r="AE81" s="111"/>
      <c r="AF81" s="111"/>
      <c r="AG81" s="111"/>
      <c r="AH81" s="111"/>
      <c r="AI81" s="111"/>
      <c r="AJ81" s="215"/>
      <c r="AK81" s="216"/>
      <c r="AL81" s="111"/>
      <c r="AM81" s="111"/>
      <c r="AN81" s="111"/>
      <c r="AO81" s="111"/>
      <c r="AP81" s="215"/>
      <c r="AQ81" s="217"/>
      <c r="AR81" s="111"/>
      <c r="AS81" s="111"/>
      <c r="AT81" s="111"/>
      <c r="AU81" s="215"/>
      <c r="AV81" s="216"/>
      <c r="AW81" s="111"/>
      <c r="AX81" s="111"/>
      <c r="AY81" s="111"/>
      <c r="AZ81" s="215"/>
      <c r="BA81" s="216"/>
      <c r="BB81" s="111"/>
      <c r="BC81" s="215"/>
      <c r="BD81" s="216"/>
      <c r="BE81" s="111"/>
      <c r="BF81" s="111"/>
      <c r="BG81" s="111"/>
      <c r="BH81" s="111"/>
      <c r="BI81" s="111"/>
      <c r="BJ81" s="111"/>
    </row>
    <row r="82" ht="14.2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215"/>
      <c r="O82" s="216"/>
      <c r="P82" s="111"/>
      <c r="Q82" s="111"/>
      <c r="R82" s="111"/>
      <c r="S82" s="111"/>
      <c r="T82" s="111"/>
      <c r="U82" s="111"/>
      <c r="V82" s="111"/>
      <c r="W82" s="111"/>
      <c r="X82" s="111"/>
      <c r="Y82" s="215"/>
      <c r="Z82" s="217"/>
      <c r="AA82" s="111"/>
      <c r="AB82" s="111"/>
      <c r="AC82" s="111"/>
      <c r="AD82" s="111"/>
      <c r="AE82" s="111"/>
      <c r="AF82" s="111"/>
      <c r="AG82" s="111"/>
      <c r="AH82" s="111"/>
      <c r="AI82" s="111"/>
      <c r="AJ82" s="215"/>
      <c r="AK82" s="216"/>
      <c r="AL82" s="111"/>
      <c r="AM82" s="111"/>
      <c r="AN82" s="111"/>
      <c r="AO82" s="111"/>
      <c r="AP82" s="215"/>
      <c r="AQ82" s="217"/>
      <c r="AR82" s="111"/>
      <c r="AS82" s="111"/>
      <c r="AT82" s="111"/>
      <c r="AU82" s="215"/>
      <c r="AV82" s="216"/>
      <c r="AW82" s="111"/>
      <c r="AX82" s="111"/>
      <c r="AY82" s="111"/>
      <c r="AZ82" s="215"/>
      <c r="BA82" s="216"/>
      <c r="BB82" s="111"/>
      <c r="BC82" s="215"/>
      <c r="BD82" s="216"/>
      <c r="BE82" s="111"/>
      <c r="BF82" s="111"/>
      <c r="BG82" s="111"/>
      <c r="BH82" s="111"/>
      <c r="BI82" s="111"/>
      <c r="BJ82" s="111"/>
    </row>
    <row r="83" ht="14.2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215"/>
      <c r="O83" s="216"/>
      <c r="P83" s="111"/>
      <c r="Q83" s="111"/>
      <c r="R83" s="111"/>
      <c r="S83" s="111"/>
      <c r="T83" s="111"/>
      <c r="U83" s="111"/>
      <c r="V83" s="111"/>
      <c r="W83" s="111"/>
      <c r="X83" s="111"/>
      <c r="Y83" s="215"/>
      <c r="Z83" s="217"/>
      <c r="AA83" s="111"/>
      <c r="AB83" s="111"/>
      <c r="AC83" s="111"/>
      <c r="AD83" s="111"/>
      <c r="AE83" s="111"/>
      <c r="AF83" s="111"/>
      <c r="AG83" s="111"/>
      <c r="AH83" s="111"/>
      <c r="AI83" s="111"/>
      <c r="AJ83" s="215"/>
      <c r="AK83" s="216"/>
      <c r="AL83" s="111"/>
      <c r="AM83" s="111"/>
      <c r="AN83" s="111"/>
      <c r="AO83" s="111"/>
      <c r="AP83" s="215"/>
      <c r="AQ83" s="217"/>
      <c r="AR83" s="111"/>
      <c r="AS83" s="111"/>
      <c r="AT83" s="111"/>
      <c r="AU83" s="215"/>
      <c r="AV83" s="216"/>
      <c r="AW83" s="111"/>
      <c r="AX83" s="111"/>
      <c r="AY83" s="111"/>
      <c r="AZ83" s="215"/>
      <c r="BA83" s="216"/>
      <c r="BB83" s="111"/>
      <c r="BC83" s="215"/>
      <c r="BD83" s="216"/>
      <c r="BE83" s="111"/>
      <c r="BF83" s="111"/>
      <c r="BG83" s="111"/>
      <c r="BH83" s="111"/>
      <c r="BI83" s="111"/>
      <c r="BJ83" s="111"/>
    </row>
    <row r="84" ht="14.2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215"/>
      <c r="O84" s="216"/>
      <c r="P84" s="111"/>
      <c r="Q84" s="111"/>
      <c r="R84" s="111"/>
      <c r="S84" s="111"/>
      <c r="T84" s="111"/>
      <c r="U84" s="111"/>
      <c r="V84" s="111"/>
      <c r="W84" s="111"/>
      <c r="X84" s="111"/>
      <c r="Y84" s="215"/>
      <c r="Z84" s="217"/>
      <c r="AA84" s="111"/>
      <c r="AB84" s="111"/>
      <c r="AC84" s="111"/>
      <c r="AD84" s="111"/>
      <c r="AE84" s="111"/>
      <c r="AF84" s="111"/>
      <c r="AG84" s="111"/>
      <c r="AH84" s="111"/>
      <c r="AI84" s="111"/>
      <c r="AJ84" s="215"/>
      <c r="AK84" s="216"/>
      <c r="AL84" s="111"/>
      <c r="AM84" s="111"/>
      <c r="AN84" s="111"/>
      <c r="AO84" s="111"/>
      <c r="AP84" s="215"/>
      <c r="AQ84" s="217"/>
      <c r="AR84" s="111"/>
      <c r="AS84" s="111"/>
      <c r="AT84" s="111"/>
      <c r="AU84" s="215"/>
      <c r="AV84" s="216"/>
      <c r="AW84" s="111"/>
      <c r="AX84" s="111"/>
      <c r="AY84" s="111"/>
      <c r="AZ84" s="215"/>
      <c r="BA84" s="216"/>
      <c r="BB84" s="111"/>
      <c r="BC84" s="215"/>
      <c r="BD84" s="216"/>
      <c r="BE84" s="111"/>
      <c r="BF84" s="111"/>
      <c r="BG84" s="111"/>
      <c r="BH84" s="111"/>
      <c r="BI84" s="111"/>
      <c r="BJ84" s="111"/>
    </row>
    <row r="85" ht="14.2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215"/>
      <c r="O85" s="216"/>
      <c r="P85" s="111"/>
      <c r="Q85" s="111"/>
      <c r="R85" s="111"/>
      <c r="S85" s="111"/>
      <c r="T85" s="111"/>
      <c r="U85" s="111"/>
      <c r="V85" s="111"/>
      <c r="W85" s="111"/>
      <c r="X85" s="111"/>
      <c r="Y85" s="215"/>
      <c r="Z85" s="217"/>
      <c r="AA85" s="111"/>
      <c r="AB85" s="111"/>
      <c r="AC85" s="111"/>
      <c r="AD85" s="111"/>
      <c r="AE85" s="111"/>
      <c r="AF85" s="111"/>
      <c r="AG85" s="111"/>
      <c r="AH85" s="111"/>
      <c r="AI85" s="111"/>
      <c r="AJ85" s="215"/>
      <c r="AK85" s="216"/>
      <c r="AL85" s="111"/>
      <c r="AM85" s="111"/>
      <c r="AN85" s="111"/>
      <c r="AO85" s="111"/>
      <c r="AP85" s="215"/>
      <c r="AQ85" s="217"/>
      <c r="AR85" s="111"/>
      <c r="AS85" s="111"/>
      <c r="AT85" s="111"/>
      <c r="AU85" s="215"/>
      <c r="AV85" s="216"/>
      <c r="AW85" s="111"/>
      <c r="AX85" s="111"/>
      <c r="AY85" s="111"/>
      <c r="AZ85" s="215"/>
      <c r="BA85" s="216"/>
      <c r="BB85" s="111"/>
      <c r="BC85" s="215"/>
      <c r="BD85" s="216"/>
      <c r="BE85" s="111"/>
      <c r="BF85" s="111"/>
      <c r="BG85" s="111"/>
      <c r="BH85" s="111"/>
      <c r="BI85" s="111"/>
      <c r="BJ85" s="111"/>
    </row>
    <row r="86" ht="14.2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215"/>
      <c r="O86" s="216"/>
      <c r="P86" s="111"/>
      <c r="Q86" s="111"/>
      <c r="R86" s="111"/>
      <c r="S86" s="111"/>
      <c r="T86" s="111"/>
      <c r="U86" s="111"/>
      <c r="V86" s="111"/>
      <c r="W86" s="111"/>
      <c r="X86" s="111"/>
      <c r="Y86" s="215"/>
      <c r="Z86" s="217"/>
      <c r="AA86" s="111"/>
      <c r="AB86" s="111"/>
      <c r="AC86" s="111"/>
      <c r="AD86" s="111"/>
      <c r="AE86" s="111"/>
      <c r="AF86" s="111"/>
      <c r="AG86" s="111"/>
      <c r="AH86" s="111"/>
      <c r="AI86" s="111"/>
      <c r="AJ86" s="215"/>
      <c r="AK86" s="216"/>
      <c r="AL86" s="111"/>
      <c r="AM86" s="111"/>
      <c r="AN86" s="111"/>
      <c r="AO86" s="111"/>
      <c r="AP86" s="215"/>
      <c r="AQ86" s="217"/>
      <c r="AR86" s="111"/>
      <c r="AS86" s="111"/>
      <c r="AT86" s="111"/>
      <c r="AU86" s="215"/>
      <c r="AV86" s="216"/>
      <c r="AW86" s="111"/>
      <c r="AX86" s="111"/>
      <c r="AY86" s="111"/>
      <c r="AZ86" s="215"/>
      <c r="BA86" s="216"/>
      <c r="BB86" s="111"/>
      <c r="BC86" s="215"/>
      <c r="BD86" s="216"/>
      <c r="BE86" s="111"/>
      <c r="BF86" s="111"/>
      <c r="BG86" s="111"/>
      <c r="BH86" s="111"/>
      <c r="BI86" s="111"/>
      <c r="BJ86" s="111"/>
    </row>
    <row r="87" ht="14.2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215"/>
      <c r="O87" s="216"/>
      <c r="P87" s="111"/>
      <c r="Q87" s="111"/>
      <c r="R87" s="111"/>
      <c r="S87" s="111"/>
      <c r="T87" s="111"/>
      <c r="U87" s="111"/>
      <c r="V87" s="111"/>
      <c r="W87" s="111"/>
      <c r="X87" s="111"/>
      <c r="Y87" s="215"/>
      <c r="Z87" s="217"/>
      <c r="AA87" s="111"/>
      <c r="AB87" s="111"/>
      <c r="AC87" s="111"/>
      <c r="AD87" s="111"/>
      <c r="AE87" s="111"/>
      <c r="AF87" s="111"/>
      <c r="AG87" s="111"/>
      <c r="AH87" s="111"/>
      <c r="AI87" s="111"/>
      <c r="AJ87" s="215"/>
      <c r="AK87" s="216"/>
      <c r="AL87" s="111"/>
      <c r="AM87" s="111"/>
      <c r="AN87" s="111"/>
      <c r="AO87" s="111"/>
      <c r="AP87" s="215"/>
      <c r="AQ87" s="217"/>
      <c r="AR87" s="111"/>
      <c r="AS87" s="111"/>
      <c r="AT87" s="111"/>
      <c r="AU87" s="215"/>
      <c r="AV87" s="216"/>
      <c r="AW87" s="111"/>
      <c r="AX87" s="111"/>
      <c r="AY87" s="111"/>
      <c r="AZ87" s="215"/>
      <c r="BA87" s="216"/>
      <c r="BB87" s="111"/>
      <c r="BC87" s="215"/>
      <c r="BD87" s="216"/>
      <c r="BE87" s="111"/>
      <c r="BF87" s="111"/>
      <c r="BG87" s="111"/>
      <c r="BH87" s="111"/>
      <c r="BI87" s="111"/>
      <c r="BJ87" s="111"/>
    </row>
    <row r="88" ht="14.2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215"/>
      <c r="O88" s="216"/>
      <c r="P88" s="111"/>
      <c r="Q88" s="111"/>
      <c r="R88" s="111"/>
      <c r="S88" s="111"/>
      <c r="T88" s="111"/>
      <c r="U88" s="111"/>
      <c r="V88" s="111"/>
      <c r="W88" s="111"/>
      <c r="X88" s="111"/>
      <c r="Y88" s="215"/>
      <c r="Z88" s="217"/>
      <c r="AA88" s="111"/>
      <c r="AB88" s="111"/>
      <c r="AC88" s="111"/>
      <c r="AD88" s="111"/>
      <c r="AE88" s="111"/>
      <c r="AF88" s="111"/>
      <c r="AG88" s="111"/>
      <c r="AH88" s="111"/>
      <c r="AI88" s="111"/>
      <c r="AJ88" s="215"/>
      <c r="AK88" s="216"/>
      <c r="AL88" s="111"/>
      <c r="AM88" s="111"/>
      <c r="AN88" s="111"/>
      <c r="AO88" s="111"/>
      <c r="AP88" s="215"/>
      <c r="AQ88" s="217"/>
      <c r="AR88" s="111"/>
      <c r="AS88" s="111"/>
      <c r="AT88" s="111"/>
      <c r="AU88" s="215"/>
      <c r="AV88" s="216"/>
      <c r="AW88" s="111"/>
      <c r="AX88" s="111"/>
      <c r="AY88" s="111"/>
      <c r="AZ88" s="215"/>
      <c r="BA88" s="216"/>
      <c r="BB88" s="111"/>
      <c r="BC88" s="215"/>
      <c r="BD88" s="216"/>
      <c r="BE88" s="111"/>
      <c r="BF88" s="111"/>
      <c r="BG88" s="111"/>
      <c r="BH88" s="111"/>
      <c r="BI88" s="111"/>
      <c r="BJ88" s="111"/>
    </row>
    <row r="89" ht="14.2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215"/>
      <c r="O89" s="216"/>
      <c r="P89" s="111"/>
      <c r="Q89" s="111"/>
      <c r="R89" s="111"/>
      <c r="S89" s="111"/>
      <c r="T89" s="111"/>
      <c r="U89" s="111"/>
      <c r="V89" s="111"/>
      <c r="W89" s="111"/>
      <c r="X89" s="111"/>
      <c r="Y89" s="215"/>
      <c r="Z89" s="217"/>
      <c r="AA89" s="111"/>
      <c r="AB89" s="111"/>
      <c r="AC89" s="111"/>
      <c r="AD89" s="111"/>
      <c r="AE89" s="111"/>
      <c r="AF89" s="111"/>
      <c r="AG89" s="111"/>
      <c r="AH89" s="111"/>
      <c r="AI89" s="111"/>
      <c r="AJ89" s="215"/>
      <c r="AK89" s="216"/>
      <c r="AL89" s="111"/>
      <c r="AM89" s="111"/>
      <c r="AN89" s="111"/>
      <c r="AO89" s="111"/>
      <c r="AP89" s="215"/>
      <c r="AQ89" s="217"/>
      <c r="AR89" s="111"/>
      <c r="AS89" s="111"/>
      <c r="AT89" s="111"/>
      <c r="AU89" s="215"/>
      <c r="AV89" s="216"/>
      <c r="AW89" s="111"/>
      <c r="AX89" s="111"/>
      <c r="AY89" s="111"/>
      <c r="AZ89" s="215"/>
      <c r="BA89" s="216"/>
      <c r="BB89" s="111"/>
      <c r="BC89" s="215"/>
      <c r="BD89" s="216"/>
      <c r="BE89" s="111"/>
      <c r="BF89" s="111"/>
      <c r="BG89" s="111"/>
      <c r="BH89" s="111"/>
      <c r="BI89" s="111"/>
      <c r="BJ89" s="111"/>
    </row>
    <row r="90" ht="14.2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215"/>
      <c r="O90" s="216"/>
      <c r="P90" s="111"/>
      <c r="Q90" s="111"/>
      <c r="R90" s="111"/>
      <c r="S90" s="111"/>
      <c r="T90" s="111"/>
      <c r="U90" s="111"/>
      <c r="V90" s="111"/>
      <c r="W90" s="111"/>
      <c r="X90" s="111"/>
      <c r="Y90" s="215"/>
      <c r="Z90" s="217"/>
      <c r="AA90" s="111"/>
      <c r="AB90" s="111"/>
      <c r="AC90" s="111"/>
      <c r="AD90" s="111"/>
      <c r="AE90" s="111"/>
      <c r="AF90" s="111"/>
      <c r="AG90" s="111"/>
      <c r="AH90" s="111"/>
      <c r="AI90" s="111"/>
      <c r="AJ90" s="215"/>
      <c r="AK90" s="216"/>
      <c r="AL90" s="111"/>
      <c r="AM90" s="111"/>
      <c r="AN90" s="111"/>
      <c r="AO90" s="111"/>
      <c r="AP90" s="215"/>
      <c r="AQ90" s="217"/>
      <c r="AR90" s="111"/>
      <c r="AS90" s="111"/>
      <c r="AT90" s="111"/>
      <c r="AU90" s="215"/>
      <c r="AV90" s="216"/>
      <c r="AW90" s="111"/>
      <c r="AX90" s="111"/>
      <c r="AY90" s="111"/>
      <c r="AZ90" s="215"/>
      <c r="BA90" s="216"/>
      <c r="BB90" s="111"/>
      <c r="BC90" s="215"/>
      <c r="BD90" s="216"/>
      <c r="BE90" s="111"/>
      <c r="BF90" s="111"/>
      <c r="BG90" s="111"/>
      <c r="BH90" s="111"/>
      <c r="BI90" s="111"/>
      <c r="BJ90" s="111"/>
    </row>
    <row r="91" ht="14.2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215"/>
      <c r="O91" s="216"/>
      <c r="P91" s="111"/>
      <c r="Q91" s="111"/>
      <c r="R91" s="111"/>
      <c r="S91" s="111"/>
      <c r="T91" s="111"/>
      <c r="U91" s="111"/>
      <c r="V91" s="111"/>
      <c r="W91" s="111"/>
      <c r="X91" s="111"/>
      <c r="Y91" s="215"/>
      <c r="Z91" s="217"/>
      <c r="AA91" s="111"/>
      <c r="AB91" s="111"/>
      <c r="AC91" s="111"/>
      <c r="AD91" s="111"/>
      <c r="AE91" s="111"/>
      <c r="AF91" s="111"/>
      <c r="AG91" s="111"/>
      <c r="AH91" s="111"/>
      <c r="AI91" s="111"/>
      <c r="AJ91" s="215"/>
      <c r="AK91" s="216"/>
      <c r="AL91" s="111"/>
      <c r="AM91" s="111"/>
      <c r="AN91" s="111"/>
      <c r="AO91" s="111"/>
      <c r="AP91" s="215"/>
      <c r="AQ91" s="217"/>
      <c r="AR91" s="111"/>
      <c r="AS91" s="111"/>
      <c r="AT91" s="111"/>
      <c r="AU91" s="215"/>
      <c r="AV91" s="216"/>
      <c r="AW91" s="111"/>
      <c r="AX91" s="111"/>
      <c r="AY91" s="111"/>
      <c r="AZ91" s="215"/>
      <c r="BA91" s="216"/>
      <c r="BB91" s="111"/>
      <c r="BC91" s="215"/>
      <c r="BD91" s="216"/>
      <c r="BE91" s="111"/>
      <c r="BF91" s="111"/>
      <c r="BG91" s="111"/>
      <c r="BH91" s="111"/>
      <c r="BI91" s="111"/>
      <c r="BJ91" s="111"/>
    </row>
    <row r="92" ht="14.2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215"/>
      <c r="O92" s="216"/>
      <c r="P92" s="111"/>
      <c r="Q92" s="111"/>
      <c r="R92" s="111"/>
      <c r="S92" s="111"/>
      <c r="T92" s="111"/>
      <c r="U92" s="111"/>
      <c r="V92" s="111"/>
      <c r="W92" s="111"/>
      <c r="X92" s="111"/>
      <c r="Y92" s="215"/>
      <c r="Z92" s="217"/>
      <c r="AA92" s="111"/>
      <c r="AB92" s="111"/>
      <c r="AC92" s="111"/>
      <c r="AD92" s="111"/>
      <c r="AE92" s="111"/>
      <c r="AF92" s="111"/>
      <c r="AG92" s="111"/>
      <c r="AH92" s="111"/>
      <c r="AI92" s="111"/>
      <c r="AJ92" s="215"/>
      <c r="AK92" s="216"/>
      <c r="AL92" s="111"/>
      <c r="AM92" s="111"/>
      <c r="AN92" s="111"/>
      <c r="AO92" s="111"/>
      <c r="AP92" s="215"/>
      <c r="AQ92" s="217"/>
      <c r="AR92" s="111"/>
      <c r="AS92" s="111"/>
      <c r="AT92" s="111"/>
      <c r="AU92" s="215"/>
      <c r="AV92" s="216"/>
      <c r="AW92" s="111"/>
      <c r="AX92" s="111"/>
      <c r="AY92" s="111"/>
      <c r="AZ92" s="215"/>
      <c r="BA92" s="216"/>
      <c r="BB92" s="111"/>
      <c r="BC92" s="215"/>
      <c r="BD92" s="216"/>
      <c r="BE92" s="111"/>
      <c r="BF92" s="111"/>
      <c r="BG92" s="111"/>
      <c r="BH92" s="111"/>
      <c r="BI92" s="111"/>
      <c r="BJ92" s="111"/>
    </row>
    <row r="93" ht="14.2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215"/>
      <c r="O93" s="216"/>
      <c r="P93" s="111"/>
      <c r="Q93" s="111"/>
      <c r="R93" s="111"/>
      <c r="S93" s="111"/>
      <c r="T93" s="111"/>
      <c r="U93" s="111"/>
      <c r="V93" s="111"/>
      <c r="W93" s="111"/>
      <c r="X93" s="111"/>
      <c r="Y93" s="215"/>
      <c r="Z93" s="217"/>
      <c r="AA93" s="111"/>
      <c r="AB93" s="111"/>
      <c r="AC93" s="111"/>
      <c r="AD93" s="111"/>
      <c r="AE93" s="111"/>
      <c r="AF93" s="111"/>
      <c r="AG93" s="111"/>
      <c r="AH93" s="111"/>
      <c r="AI93" s="111"/>
      <c r="AJ93" s="215"/>
      <c r="AK93" s="216"/>
      <c r="AL93" s="111"/>
      <c r="AM93" s="111"/>
      <c r="AN93" s="111"/>
      <c r="AO93" s="111"/>
      <c r="AP93" s="215"/>
      <c r="AQ93" s="217"/>
      <c r="AR93" s="111"/>
      <c r="AS93" s="111"/>
      <c r="AT93" s="111"/>
      <c r="AU93" s="215"/>
      <c r="AV93" s="216"/>
      <c r="AW93" s="111"/>
      <c r="AX93" s="111"/>
      <c r="AY93" s="111"/>
      <c r="AZ93" s="215"/>
      <c r="BA93" s="216"/>
      <c r="BB93" s="111"/>
      <c r="BC93" s="215"/>
      <c r="BD93" s="216"/>
      <c r="BE93" s="111"/>
      <c r="BF93" s="111"/>
      <c r="BG93" s="111"/>
      <c r="BH93" s="111"/>
      <c r="BI93" s="111"/>
      <c r="BJ93" s="111"/>
    </row>
    <row r="94" ht="14.2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215"/>
      <c r="O94" s="216"/>
      <c r="P94" s="111"/>
      <c r="Q94" s="111"/>
      <c r="R94" s="111"/>
      <c r="S94" s="111"/>
      <c r="T94" s="111"/>
      <c r="U94" s="111"/>
      <c r="V94" s="111"/>
      <c r="W94" s="111"/>
      <c r="X94" s="111"/>
      <c r="Y94" s="215"/>
      <c r="Z94" s="217"/>
      <c r="AA94" s="111"/>
      <c r="AB94" s="111"/>
      <c r="AC94" s="111"/>
      <c r="AD94" s="111"/>
      <c r="AE94" s="111"/>
      <c r="AF94" s="111"/>
      <c r="AG94" s="111"/>
      <c r="AH94" s="111"/>
      <c r="AI94" s="111"/>
      <c r="AJ94" s="215"/>
      <c r="AK94" s="216"/>
      <c r="AL94" s="111"/>
      <c r="AM94" s="111"/>
      <c r="AN94" s="111"/>
      <c r="AO94" s="111"/>
      <c r="AP94" s="215"/>
      <c r="AQ94" s="217"/>
      <c r="AR94" s="111"/>
      <c r="AS94" s="111"/>
      <c r="AT94" s="111"/>
      <c r="AU94" s="215"/>
      <c r="AV94" s="216"/>
      <c r="AW94" s="111"/>
      <c r="AX94" s="111"/>
      <c r="AY94" s="111"/>
      <c r="AZ94" s="215"/>
      <c r="BA94" s="216"/>
      <c r="BB94" s="111"/>
      <c r="BC94" s="215"/>
      <c r="BD94" s="216"/>
      <c r="BE94" s="111"/>
      <c r="BF94" s="111"/>
      <c r="BG94" s="111"/>
      <c r="BH94" s="111"/>
      <c r="BI94" s="111"/>
      <c r="BJ94" s="111"/>
    </row>
    <row r="95" ht="14.2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215"/>
      <c r="O95" s="216"/>
      <c r="P95" s="111"/>
      <c r="Q95" s="111"/>
      <c r="R95" s="111"/>
      <c r="S95" s="111"/>
      <c r="T95" s="111"/>
      <c r="U95" s="111"/>
      <c r="V95" s="111"/>
      <c r="W95" s="111"/>
      <c r="X95" s="111"/>
      <c r="Y95" s="215"/>
      <c r="Z95" s="217"/>
      <c r="AA95" s="111"/>
      <c r="AB95" s="111"/>
      <c r="AC95" s="111"/>
      <c r="AD95" s="111"/>
      <c r="AE95" s="111"/>
      <c r="AF95" s="111"/>
      <c r="AG95" s="111"/>
      <c r="AH95" s="111"/>
      <c r="AI95" s="111"/>
      <c r="AJ95" s="215"/>
      <c r="AK95" s="216"/>
      <c r="AL95" s="111"/>
      <c r="AM95" s="111"/>
      <c r="AN95" s="111"/>
      <c r="AO95" s="111"/>
      <c r="AP95" s="215"/>
      <c r="AQ95" s="217"/>
      <c r="AR95" s="111"/>
      <c r="AS95" s="111"/>
      <c r="AT95" s="111"/>
      <c r="AU95" s="215"/>
      <c r="AV95" s="216"/>
      <c r="AW95" s="111"/>
      <c r="AX95" s="111"/>
      <c r="AY95" s="111"/>
      <c r="AZ95" s="215"/>
      <c r="BA95" s="216"/>
      <c r="BB95" s="111"/>
      <c r="BC95" s="215"/>
      <c r="BD95" s="216"/>
      <c r="BE95" s="111"/>
      <c r="BF95" s="111"/>
      <c r="BG95" s="111"/>
      <c r="BH95" s="111"/>
      <c r="BI95" s="111"/>
      <c r="BJ95" s="111"/>
    </row>
    <row r="96" ht="14.2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215"/>
      <c r="O96" s="216"/>
      <c r="P96" s="111"/>
      <c r="Q96" s="111"/>
      <c r="R96" s="111"/>
      <c r="S96" s="111"/>
      <c r="T96" s="111"/>
      <c r="U96" s="111"/>
      <c r="V96" s="111"/>
      <c r="W96" s="111"/>
      <c r="X96" s="111"/>
      <c r="Y96" s="215"/>
      <c r="Z96" s="217"/>
      <c r="AA96" s="111"/>
      <c r="AB96" s="111"/>
      <c r="AC96" s="111"/>
      <c r="AD96" s="111"/>
      <c r="AE96" s="111"/>
      <c r="AF96" s="111"/>
      <c r="AG96" s="111"/>
      <c r="AH96" s="111"/>
      <c r="AI96" s="111"/>
      <c r="AJ96" s="215"/>
      <c r="AK96" s="216"/>
      <c r="AL96" s="111"/>
      <c r="AM96" s="111"/>
      <c r="AN96" s="111"/>
      <c r="AO96" s="111"/>
      <c r="AP96" s="215"/>
      <c r="AQ96" s="217"/>
      <c r="AR96" s="111"/>
      <c r="AS96" s="111"/>
      <c r="AT96" s="111"/>
      <c r="AU96" s="215"/>
      <c r="AV96" s="216"/>
      <c r="AW96" s="111"/>
      <c r="AX96" s="111"/>
      <c r="AY96" s="111"/>
      <c r="AZ96" s="215"/>
      <c r="BA96" s="216"/>
      <c r="BB96" s="111"/>
      <c r="BC96" s="215"/>
      <c r="BD96" s="216"/>
      <c r="BE96" s="111"/>
      <c r="BF96" s="111"/>
      <c r="BG96" s="111"/>
      <c r="BH96" s="111"/>
      <c r="BI96" s="111"/>
      <c r="BJ96" s="111"/>
    </row>
    <row r="97" ht="14.2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215"/>
      <c r="O97" s="216"/>
      <c r="P97" s="111"/>
      <c r="Q97" s="111"/>
      <c r="R97" s="111"/>
      <c r="S97" s="111"/>
      <c r="T97" s="111"/>
      <c r="U97" s="111"/>
      <c r="V97" s="111"/>
      <c r="W97" s="111"/>
      <c r="X97" s="111"/>
      <c r="Y97" s="215"/>
      <c r="Z97" s="217"/>
      <c r="AA97" s="111"/>
      <c r="AB97" s="111"/>
      <c r="AC97" s="111"/>
      <c r="AD97" s="111"/>
      <c r="AE97" s="111"/>
      <c r="AF97" s="111"/>
      <c r="AG97" s="111"/>
      <c r="AH97" s="111"/>
      <c r="AI97" s="111"/>
      <c r="AJ97" s="215"/>
      <c r="AK97" s="216"/>
      <c r="AL97" s="111"/>
      <c r="AM97" s="111"/>
      <c r="AN97" s="111"/>
      <c r="AO97" s="111"/>
      <c r="AP97" s="215"/>
      <c r="AQ97" s="217"/>
      <c r="AR97" s="111"/>
      <c r="AS97" s="111"/>
      <c r="AT97" s="111"/>
      <c r="AU97" s="215"/>
      <c r="AV97" s="216"/>
      <c r="AW97" s="111"/>
      <c r="AX97" s="111"/>
      <c r="AY97" s="111"/>
      <c r="AZ97" s="215"/>
      <c r="BA97" s="216"/>
      <c r="BB97" s="111"/>
      <c r="BC97" s="215"/>
      <c r="BD97" s="216"/>
      <c r="BE97" s="111"/>
      <c r="BF97" s="111"/>
      <c r="BG97" s="111"/>
      <c r="BH97" s="111"/>
      <c r="BI97" s="111"/>
      <c r="BJ97" s="111"/>
    </row>
    <row r="98" ht="14.2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215"/>
      <c r="O98" s="216"/>
      <c r="P98" s="111"/>
      <c r="Q98" s="111"/>
      <c r="R98" s="111"/>
      <c r="S98" s="111"/>
      <c r="T98" s="111"/>
      <c r="U98" s="111"/>
      <c r="V98" s="111"/>
      <c r="W98" s="111"/>
      <c r="X98" s="111"/>
      <c r="Y98" s="215"/>
      <c r="Z98" s="217"/>
      <c r="AA98" s="111"/>
      <c r="AB98" s="111"/>
      <c r="AC98" s="111"/>
      <c r="AD98" s="111"/>
      <c r="AE98" s="111"/>
      <c r="AF98" s="111"/>
      <c r="AG98" s="111"/>
      <c r="AH98" s="111"/>
      <c r="AI98" s="111"/>
      <c r="AJ98" s="215"/>
      <c r="AK98" s="216"/>
      <c r="AL98" s="111"/>
      <c r="AM98" s="111"/>
      <c r="AN98" s="111"/>
      <c r="AO98" s="111"/>
      <c r="AP98" s="215"/>
      <c r="AQ98" s="217"/>
      <c r="AR98" s="111"/>
      <c r="AS98" s="111"/>
      <c r="AT98" s="111"/>
      <c r="AU98" s="215"/>
      <c r="AV98" s="216"/>
      <c r="AW98" s="111"/>
      <c r="AX98" s="111"/>
      <c r="AY98" s="111"/>
      <c r="AZ98" s="215"/>
      <c r="BA98" s="216"/>
      <c r="BB98" s="111"/>
      <c r="BC98" s="215"/>
      <c r="BD98" s="216"/>
      <c r="BE98" s="111"/>
      <c r="BF98" s="111"/>
      <c r="BG98" s="111"/>
      <c r="BH98" s="111"/>
      <c r="BI98" s="111"/>
      <c r="BJ98" s="111"/>
    </row>
    <row r="99" ht="14.2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215"/>
      <c r="O99" s="216"/>
      <c r="P99" s="111"/>
      <c r="Q99" s="111"/>
      <c r="R99" s="111"/>
      <c r="S99" s="111"/>
      <c r="T99" s="111"/>
      <c r="U99" s="111"/>
      <c r="V99" s="111"/>
      <c r="W99" s="111"/>
      <c r="X99" s="111"/>
      <c r="Y99" s="215"/>
      <c r="Z99" s="217"/>
      <c r="AA99" s="111"/>
      <c r="AB99" s="111"/>
      <c r="AC99" s="111"/>
      <c r="AD99" s="111"/>
      <c r="AE99" s="111"/>
      <c r="AF99" s="111"/>
      <c r="AG99" s="111"/>
      <c r="AH99" s="111"/>
      <c r="AI99" s="111"/>
      <c r="AJ99" s="215"/>
      <c r="AK99" s="216"/>
      <c r="AL99" s="111"/>
      <c r="AM99" s="111"/>
      <c r="AN99" s="111"/>
      <c r="AO99" s="111"/>
      <c r="AP99" s="215"/>
      <c r="AQ99" s="217"/>
      <c r="AR99" s="111"/>
      <c r="AS99" s="111"/>
      <c r="AT99" s="111"/>
      <c r="AU99" s="215"/>
      <c r="AV99" s="216"/>
      <c r="AW99" s="111"/>
      <c r="AX99" s="111"/>
      <c r="AY99" s="111"/>
      <c r="AZ99" s="215"/>
      <c r="BA99" s="216"/>
      <c r="BB99" s="111"/>
      <c r="BC99" s="215"/>
      <c r="BD99" s="216"/>
      <c r="BE99" s="111"/>
      <c r="BF99" s="111"/>
      <c r="BG99" s="111"/>
      <c r="BH99" s="111"/>
      <c r="BI99" s="111"/>
      <c r="BJ99" s="111"/>
    </row>
    <row r="100" ht="14.2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215"/>
      <c r="O100" s="216"/>
      <c r="P100" s="111"/>
      <c r="Q100" s="111"/>
      <c r="R100" s="111"/>
      <c r="S100" s="111"/>
      <c r="T100" s="111"/>
      <c r="U100" s="111"/>
      <c r="V100" s="111"/>
      <c r="W100" s="111"/>
      <c r="X100" s="111"/>
      <c r="Y100" s="215"/>
      <c r="Z100" s="217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215"/>
      <c r="AK100" s="216"/>
      <c r="AL100" s="111"/>
      <c r="AM100" s="111"/>
      <c r="AN100" s="111"/>
      <c r="AO100" s="111"/>
      <c r="AP100" s="215"/>
      <c r="AQ100" s="217"/>
      <c r="AR100" s="111"/>
      <c r="AS100" s="111"/>
      <c r="AT100" s="111"/>
      <c r="AU100" s="215"/>
      <c r="AV100" s="216"/>
      <c r="AW100" s="111"/>
      <c r="AX100" s="111"/>
      <c r="AY100" s="111"/>
      <c r="AZ100" s="215"/>
      <c r="BA100" s="216"/>
      <c r="BB100" s="111"/>
      <c r="BC100" s="215"/>
      <c r="BD100" s="216"/>
      <c r="BE100" s="111"/>
      <c r="BF100" s="111"/>
      <c r="BG100" s="111"/>
      <c r="BH100" s="111"/>
      <c r="BI100" s="111"/>
      <c r="BJ100" s="111"/>
    </row>
    <row r="101" ht="14.2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215"/>
      <c r="O101" s="216"/>
      <c r="P101" s="111"/>
      <c r="Q101" s="111"/>
      <c r="R101" s="111"/>
      <c r="S101" s="111"/>
      <c r="T101" s="111"/>
      <c r="U101" s="111"/>
      <c r="V101" s="111"/>
      <c r="W101" s="111"/>
      <c r="X101" s="111"/>
      <c r="Y101" s="215"/>
      <c r="Z101" s="217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215"/>
      <c r="AK101" s="216"/>
      <c r="AL101" s="111"/>
      <c r="AM101" s="111"/>
      <c r="AN101" s="111"/>
      <c r="AO101" s="111"/>
      <c r="AP101" s="215"/>
      <c r="AQ101" s="217"/>
      <c r="AR101" s="111"/>
      <c r="AS101" s="111"/>
      <c r="AT101" s="111"/>
      <c r="AU101" s="215"/>
      <c r="AV101" s="216"/>
      <c r="AW101" s="111"/>
      <c r="AX101" s="111"/>
      <c r="AY101" s="111"/>
      <c r="AZ101" s="215"/>
      <c r="BA101" s="216"/>
      <c r="BB101" s="111"/>
      <c r="BC101" s="215"/>
      <c r="BD101" s="216"/>
      <c r="BE101" s="111"/>
      <c r="BF101" s="111"/>
      <c r="BG101" s="111"/>
      <c r="BH101" s="111"/>
      <c r="BI101" s="111"/>
      <c r="BJ101" s="111"/>
    </row>
    <row r="102" ht="14.2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215"/>
      <c r="O102" s="216"/>
      <c r="P102" s="111"/>
      <c r="Q102" s="111"/>
      <c r="R102" s="111"/>
      <c r="S102" s="111"/>
      <c r="T102" s="111"/>
      <c r="U102" s="111"/>
      <c r="V102" s="111"/>
      <c r="W102" s="111"/>
      <c r="X102" s="111"/>
      <c r="Y102" s="215"/>
      <c r="Z102" s="217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215"/>
      <c r="AK102" s="216"/>
      <c r="AL102" s="111"/>
      <c r="AM102" s="111"/>
      <c r="AN102" s="111"/>
      <c r="AO102" s="111"/>
      <c r="AP102" s="215"/>
      <c r="AQ102" s="217"/>
      <c r="AR102" s="111"/>
      <c r="AS102" s="111"/>
      <c r="AT102" s="111"/>
      <c r="AU102" s="215"/>
      <c r="AV102" s="216"/>
      <c r="AW102" s="111"/>
      <c r="AX102" s="111"/>
      <c r="AY102" s="111"/>
      <c r="AZ102" s="215"/>
      <c r="BA102" s="216"/>
      <c r="BB102" s="111"/>
      <c r="BC102" s="215"/>
      <c r="BD102" s="216"/>
      <c r="BE102" s="111"/>
      <c r="BF102" s="111"/>
      <c r="BG102" s="111"/>
      <c r="BH102" s="111"/>
      <c r="BI102" s="111"/>
      <c r="BJ102" s="111"/>
    </row>
    <row r="103" ht="14.2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215"/>
      <c r="O103" s="216"/>
      <c r="P103" s="111"/>
      <c r="Q103" s="111"/>
      <c r="R103" s="111"/>
      <c r="S103" s="111"/>
      <c r="T103" s="111"/>
      <c r="U103" s="111"/>
      <c r="V103" s="111"/>
      <c r="W103" s="111"/>
      <c r="X103" s="111"/>
      <c r="Y103" s="215"/>
      <c r="Z103" s="217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215"/>
      <c r="AK103" s="216"/>
      <c r="AL103" s="111"/>
      <c r="AM103" s="111"/>
      <c r="AN103" s="111"/>
      <c r="AO103" s="111"/>
      <c r="AP103" s="215"/>
      <c r="AQ103" s="217"/>
      <c r="AR103" s="111"/>
      <c r="AS103" s="111"/>
      <c r="AT103" s="111"/>
      <c r="AU103" s="215"/>
      <c r="AV103" s="216"/>
      <c r="AW103" s="111"/>
      <c r="AX103" s="111"/>
      <c r="AY103" s="111"/>
      <c r="AZ103" s="215"/>
      <c r="BA103" s="216"/>
      <c r="BB103" s="111"/>
      <c r="BC103" s="215"/>
      <c r="BD103" s="216"/>
      <c r="BE103" s="111"/>
      <c r="BF103" s="111"/>
      <c r="BG103" s="111"/>
      <c r="BH103" s="111"/>
      <c r="BI103" s="111"/>
      <c r="BJ103" s="111"/>
    </row>
    <row r="104" ht="14.2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215"/>
      <c r="O104" s="216"/>
      <c r="P104" s="111"/>
      <c r="Q104" s="111"/>
      <c r="R104" s="111"/>
      <c r="S104" s="111"/>
      <c r="T104" s="111"/>
      <c r="U104" s="111"/>
      <c r="V104" s="111"/>
      <c r="W104" s="111"/>
      <c r="X104" s="111"/>
      <c r="Y104" s="215"/>
      <c r="Z104" s="217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215"/>
      <c r="AK104" s="216"/>
      <c r="AL104" s="111"/>
      <c r="AM104" s="111"/>
      <c r="AN104" s="111"/>
      <c r="AO104" s="111"/>
      <c r="AP104" s="215"/>
      <c r="AQ104" s="217"/>
      <c r="AR104" s="111"/>
      <c r="AS104" s="111"/>
      <c r="AT104" s="111"/>
      <c r="AU104" s="215"/>
      <c r="AV104" s="216"/>
      <c r="AW104" s="111"/>
      <c r="AX104" s="111"/>
      <c r="AY104" s="111"/>
      <c r="AZ104" s="215"/>
      <c r="BA104" s="216"/>
      <c r="BB104" s="111"/>
      <c r="BC104" s="215"/>
      <c r="BD104" s="216"/>
      <c r="BE104" s="111"/>
      <c r="BF104" s="111"/>
      <c r="BG104" s="111"/>
      <c r="BH104" s="111"/>
      <c r="BI104" s="111"/>
      <c r="BJ104" s="111"/>
    </row>
    <row r="105" ht="14.2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215"/>
      <c r="O105" s="216"/>
      <c r="P105" s="111"/>
      <c r="Q105" s="111"/>
      <c r="R105" s="111"/>
      <c r="S105" s="111"/>
      <c r="T105" s="111"/>
      <c r="U105" s="111"/>
      <c r="V105" s="111"/>
      <c r="W105" s="111"/>
      <c r="X105" s="111"/>
      <c r="Y105" s="215"/>
      <c r="Z105" s="217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215"/>
      <c r="AK105" s="216"/>
      <c r="AL105" s="111"/>
      <c r="AM105" s="111"/>
      <c r="AN105" s="111"/>
      <c r="AO105" s="111"/>
      <c r="AP105" s="215"/>
      <c r="AQ105" s="217"/>
      <c r="AR105" s="111"/>
      <c r="AS105" s="111"/>
      <c r="AT105" s="111"/>
      <c r="AU105" s="215"/>
      <c r="AV105" s="216"/>
      <c r="AW105" s="111"/>
      <c r="AX105" s="111"/>
      <c r="AY105" s="111"/>
      <c r="AZ105" s="215"/>
      <c r="BA105" s="216"/>
      <c r="BB105" s="111"/>
      <c r="BC105" s="215"/>
      <c r="BD105" s="216"/>
      <c r="BE105" s="111"/>
      <c r="BF105" s="111"/>
      <c r="BG105" s="111"/>
      <c r="BH105" s="111"/>
      <c r="BI105" s="111"/>
      <c r="BJ105" s="111"/>
    </row>
    <row r="106" ht="14.2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215"/>
      <c r="O106" s="216"/>
      <c r="P106" s="111"/>
      <c r="Q106" s="111"/>
      <c r="R106" s="111"/>
      <c r="S106" s="111"/>
      <c r="T106" s="111"/>
      <c r="U106" s="111"/>
      <c r="V106" s="111"/>
      <c r="W106" s="111"/>
      <c r="X106" s="111"/>
      <c r="Y106" s="215"/>
      <c r="Z106" s="217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215"/>
      <c r="AK106" s="216"/>
      <c r="AL106" s="111"/>
      <c r="AM106" s="111"/>
      <c r="AN106" s="111"/>
      <c r="AO106" s="111"/>
      <c r="AP106" s="215"/>
      <c r="AQ106" s="217"/>
      <c r="AR106" s="111"/>
      <c r="AS106" s="111"/>
      <c r="AT106" s="111"/>
      <c r="AU106" s="215"/>
      <c r="AV106" s="216"/>
      <c r="AW106" s="111"/>
      <c r="AX106" s="111"/>
      <c r="AY106" s="111"/>
      <c r="AZ106" s="215"/>
      <c r="BA106" s="216"/>
      <c r="BB106" s="111"/>
      <c r="BC106" s="215"/>
      <c r="BD106" s="216"/>
      <c r="BE106" s="111"/>
      <c r="BF106" s="111"/>
      <c r="BG106" s="111"/>
      <c r="BH106" s="111"/>
      <c r="BI106" s="111"/>
      <c r="BJ106" s="111"/>
    </row>
    <row r="107" ht="14.2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215"/>
      <c r="O107" s="216"/>
      <c r="P107" s="111"/>
      <c r="Q107" s="111"/>
      <c r="R107" s="111"/>
      <c r="S107" s="111"/>
      <c r="T107" s="111"/>
      <c r="U107" s="111"/>
      <c r="V107" s="111"/>
      <c r="W107" s="111"/>
      <c r="X107" s="111"/>
      <c r="Y107" s="215"/>
      <c r="Z107" s="217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215"/>
      <c r="AK107" s="216"/>
      <c r="AL107" s="111"/>
      <c r="AM107" s="111"/>
      <c r="AN107" s="111"/>
      <c r="AO107" s="111"/>
      <c r="AP107" s="215"/>
      <c r="AQ107" s="217"/>
      <c r="AR107" s="111"/>
      <c r="AS107" s="111"/>
      <c r="AT107" s="111"/>
      <c r="AU107" s="215"/>
      <c r="AV107" s="216"/>
      <c r="AW107" s="111"/>
      <c r="AX107" s="111"/>
      <c r="AY107" s="111"/>
      <c r="AZ107" s="215"/>
      <c r="BA107" s="216"/>
      <c r="BB107" s="111"/>
      <c r="BC107" s="215"/>
      <c r="BD107" s="216"/>
      <c r="BE107" s="111"/>
      <c r="BF107" s="111"/>
      <c r="BG107" s="111"/>
      <c r="BH107" s="111"/>
      <c r="BI107" s="111"/>
      <c r="BJ107" s="111"/>
    </row>
    <row r="108" ht="14.2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215"/>
      <c r="O108" s="216"/>
      <c r="P108" s="111"/>
      <c r="Q108" s="111"/>
      <c r="R108" s="111"/>
      <c r="S108" s="111"/>
      <c r="T108" s="111"/>
      <c r="U108" s="111"/>
      <c r="V108" s="111"/>
      <c r="W108" s="111"/>
      <c r="X108" s="111"/>
      <c r="Y108" s="215"/>
      <c r="Z108" s="217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215"/>
      <c r="AK108" s="216"/>
      <c r="AL108" s="111"/>
      <c r="AM108" s="111"/>
      <c r="AN108" s="111"/>
      <c r="AO108" s="111"/>
      <c r="AP108" s="215"/>
      <c r="AQ108" s="217"/>
      <c r="AR108" s="111"/>
      <c r="AS108" s="111"/>
      <c r="AT108" s="111"/>
      <c r="AU108" s="215"/>
      <c r="AV108" s="216"/>
      <c r="AW108" s="111"/>
      <c r="AX108" s="111"/>
      <c r="AY108" s="111"/>
      <c r="AZ108" s="215"/>
      <c r="BA108" s="216"/>
      <c r="BB108" s="111"/>
      <c r="BC108" s="215"/>
      <c r="BD108" s="216"/>
      <c r="BE108" s="111"/>
      <c r="BF108" s="111"/>
      <c r="BG108" s="111"/>
      <c r="BH108" s="111"/>
      <c r="BI108" s="111"/>
      <c r="BJ108" s="111"/>
    </row>
    <row r="109" ht="14.2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215"/>
      <c r="O109" s="216"/>
      <c r="P109" s="111"/>
      <c r="Q109" s="111"/>
      <c r="R109" s="111"/>
      <c r="S109" s="111"/>
      <c r="T109" s="111"/>
      <c r="U109" s="111"/>
      <c r="V109" s="111"/>
      <c r="W109" s="111"/>
      <c r="X109" s="111"/>
      <c r="Y109" s="215"/>
      <c r="Z109" s="217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215"/>
      <c r="AK109" s="216"/>
      <c r="AL109" s="111"/>
      <c r="AM109" s="111"/>
      <c r="AN109" s="111"/>
      <c r="AO109" s="111"/>
      <c r="AP109" s="215"/>
      <c r="AQ109" s="217"/>
      <c r="AR109" s="111"/>
      <c r="AS109" s="111"/>
      <c r="AT109" s="111"/>
      <c r="AU109" s="215"/>
      <c r="AV109" s="216"/>
      <c r="AW109" s="111"/>
      <c r="AX109" s="111"/>
      <c r="AY109" s="111"/>
      <c r="AZ109" s="215"/>
      <c r="BA109" s="216"/>
      <c r="BB109" s="111"/>
      <c r="BC109" s="215"/>
      <c r="BD109" s="216"/>
      <c r="BE109" s="111"/>
      <c r="BF109" s="111"/>
      <c r="BG109" s="111"/>
      <c r="BH109" s="111"/>
      <c r="BI109" s="111"/>
      <c r="BJ109" s="111"/>
    </row>
    <row r="110" ht="14.2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215"/>
      <c r="O110" s="216"/>
      <c r="P110" s="111"/>
      <c r="Q110" s="111"/>
      <c r="R110" s="111"/>
      <c r="S110" s="111"/>
      <c r="T110" s="111"/>
      <c r="U110" s="111"/>
      <c r="V110" s="111"/>
      <c r="W110" s="111"/>
      <c r="X110" s="111"/>
      <c r="Y110" s="215"/>
      <c r="Z110" s="217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215"/>
      <c r="AK110" s="216"/>
      <c r="AL110" s="111"/>
      <c r="AM110" s="111"/>
      <c r="AN110" s="111"/>
      <c r="AO110" s="111"/>
      <c r="AP110" s="215"/>
      <c r="AQ110" s="217"/>
      <c r="AR110" s="111"/>
      <c r="AS110" s="111"/>
      <c r="AT110" s="111"/>
      <c r="AU110" s="215"/>
      <c r="AV110" s="216"/>
      <c r="AW110" s="111"/>
      <c r="AX110" s="111"/>
      <c r="AY110" s="111"/>
      <c r="AZ110" s="215"/>
      <c r="BA110" s="216"/>
      <c r="BB110" s="111"/>
      <c r="BC110" s="215"/>
      <c r="BD110" s="216"/>
      <c r="BE110" s="111"/>
      <c r="BF110" s="111"/>
      <c r="BG110" s="111"/>
      <c r="BH110" s="111"/>
      <c r="BI110" s="111"/>
      <c r="BJ110" s="111"/>
    </row>
    <row r="111" ht="14.2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215"/>
      <c r="O111" s="216"/>
      <c r="P111" s="111"/>
      <c r="Q111" s="111"/>
      <c r="R111" s="111"/>
      <c r="S111" s="111"/>
      <c r="T111" s="111"/>
      <c r="U111" s="111"/>
      <c r="V111" s="111"/>
      <c r="W111" s="111"/>
      <c r="X111" s="111"/>
      <c r="Y111" s="215"/>
      <c r="Z111" s="217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215"/>
      <c r="AK111" s="216"/>
      <c r="AL111" s="111"/>
      <c r="AM111" s="111"/>
      <c r="AN111" s="111"/>
      <c r="AO111" s="111"/>
      <c r="AP111" s="215"/>
      <c r="AQ111" s="217"/>
      <c r="AR111" s="111"/>
      <c r="AS111" s="111"/>
      <c r="AT111" s="111"/>
      <c r="AU111" s="215"/>
      <c r="AV111" s="216"/>
      <c r="AW111" s="111"/>
      <c r="AX111" s="111"/>
      <c r="AY111" s="111"/>
      <c r="AZ111" s="215"/>
      <c r="BA111" s="216"/>
      <c r="BB111" s="111"/>
      <c r="BC111" s="215"/>
      <c r="BD111" s="216"/>
      <c r="BE111" s="111"/>
      <c r="BF111" s="111"/>
      <c r="BG111" s="111"/>
      <c r="BH111" s="111"/>
      <c r="BI111" s="111"/>
      <c r="BJ111" s="111"/>
    </row>
    <row r="112" ht="14.2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215"/>
      <c r="O112" s="216"/>
      <c r="P112" s="111"/>
      <c r="Q112" s="111"/>
      <c r="R112" s="111"/>
      <c r="S112" s="111"/>
      <c r="T112" s="111"/>
      <c r="U112" s="111"/>
      <c r="V112" s="111"/>
      <c r="W112" s="111"/>
      <c r="X112" s="111"/>
      <c r="Y112" s="215"/>
      <c r="Z112" s="217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215"/>
      <c r="AK112" s="216"/>
      <c r="AL112" s="111"/>
      <c r="AM112" s="111"/>
      <c r="AN112" s="111"/>
      <c r="AO112" s="111"/>
      <c r="AP112" s="215"/>
      <c r="AQ112" s="217"/>
      <c r="AR112" s="111"/>
      <c r="AS112" s="111"/>
      <c r="AT112" s="111"/>
      <c r="AU112" s="215"/>
      <c r="AV112" s="216"/>
      <c r="AW112" s="111"/>
      <c r="AX112" s="111"/>
      <c r="AY112" s="111"/>
      <c r="AZ112" s="215"/>
      <c r="BA112" s="216"/>
      <c r="BB112" s="111"/>
      <c r="BC112" s="215"/>
      <c r="BD112" s="216"/>
      <c r="BE112" s="111"/>
      <c r="BF112" s="111"/>
      <c r="BG112" s="111"/>
      <c r="BH112" s="111"/>
      <c r="BI112" s="111"/>
      <c r="BJ112" s="111"/>
    </row>
    <row r="113" ht="14.2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215"/>
      <c r="O113" s="216"/>
      <c r="P113" s="111"/>
      <c r="Q113" s="111"/>
      <c r="R113" s="111"/>
      <c r="S113" s="111"/>
      <c r="T113" s="111"/>
      <c r="U113" s="111"/>
      <c r="V113" s="111"/>
      <c r="W113" s="111"/>
      <c r="X113" s="111"/>
      <c r="Y113" s="215"/>
      <c r="Z113" s="217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215"/>
      <c r="AK113" s="216"/>
      <c r="AL113" s="111"/>
      <c r="AM113" s="111"/>
      <c r="AN113" s="111"/>
      <c r="AO113" s="111"/>
      <c r="AP113" s="215"/>
      <c r="AQ113" s="217"/>
      <c r="AR113" s="111"/>
      <c r="AS113" s="111"/>
      <c r="AT113" s="111"/>
      <c r="AU113" s="215"/>
      <c r="AV113" s="216"/>
      <c r="AW113" s="111"/>
      <c r="AX113" s="111"/>
      <c r="AY113" s="111"/>
      <c r="AZ113" s="215"/>
      <c r="BA113" s="216"/>
      <c r="BB113" s="111"/>
      <c r="BC113" s="215"/>
      <c r="BD113" s="216"/>
      <c r="BE113" s="111"/>
      <c r="BF113" s="111"/>
      <c r="BG113" s="111"/>
      <c r="BH113" s="111"/>
      <c r="BI113" s="111"/>
      <c r="BJ113" s="111"/>
    </row>
    <row r="114" ht="14.2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215"/>
      <c r="O114" s="216"/>
      <c r="P114" s="111"/>
      <c r="Q114" s="111"/>
      <c r="R114" s="111"/>
      <c r="S114" s="111"/>
      <c r="T114" s="111"/>
      <c r="U114" s="111"/>
      <c r="V114" s="111"/>
      <c r="W114" s="111"/>
      <c r="X114" s="111"/>
      <c r="Y114" s="215"/>
      <c r="Z114" s="217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215"/>
      <c r="AK114" s="216"/>
      <c r="AL114" s="111"/>
      <c r="AM114" s="111"/>
      <c r="AN114" s="111"/>
      <c r="AO114" s="111"/>
      <c r="AP114" s="215"/>
      <c r="AQ114" s="217"/>
      <c r="AR114" s="111"/>
      <c r="AS114" s="111"/>
      <c r="AT114" s="111"/>
      <c r="AU114" s="215"/>
      <c r="AV114" s="216"/>
      <c r="AW114" s="111"/>
      <c r="AX114" s="111"/>
      <c r="AY114" s="111"/>
      <c r="AZ114" s="215"/>
      <c r="BA114" s="216"/>
      <c r="BB114" s="111"/>
      <c r="BC114" s="215"/>
      <c r="BD114" s="216"/>
      <c r="BE114" s="111"/>
      <c r="BF114" s="111"/>
      <c r="BG114" s="111"/>
      <c r="BH114" s="111"/>
      <c r="BI114" s="111"/>
      <c r="BJ114" s="111"/>
    </row>
    <row r="115" ht="14.2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215"/>
      <c r="O115" s="216"/>
      <c r="P115" s="111"/>
      <c r="Q115" s="111"/>
      <c r="R115" s="111"/>
      <c r="S115" s="111"/>
      <c r="T115" s="111"/>
      <c r="U115" s="111"/>
      <c r="V115" s="111"/>
      <c r="W115" s="111"/>
      <c r="X115" s="111"/>
      <c r="Y115" s="215"/>
      <c r="Z115" s="217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215"/>
      <c r="AK115" s="216"/>
      <c r="AL115" s="111"/>
      <c r="AM115" s="111"/>
      <c r="AN115" s="111"/>
      <c r="AO115" s="111"/>
      <c r="AP115" s="215"/>
      <c r="AQ115" s="217"/>
      <c r="AR115" s="111"/>
      <c r="AS115" s="111"/>
      <c r="AT115" s="111"/>
      <c r="AU115" s="215"/>
      <c r="AV115" s="216"/>
      <c r="AW115" s="111"/>
      <c r="AX115" s="111"/>
      <c r="AY115" s="111"/>
      <c r="AZ115" s="215"/>
      <c r="BA115" s="216"/>
      <c r="BB115" s="111"/>
      <c r="BC115" s="215"/>
      <c r="BD115" s="216"/>
      <c r="BE115" s="111"/>
      <c r="BF115" s="111"/>
      <c r="BG115" s="111"/>
      <c r="BH115" s="111"/>
      <c r="BI115" s="111"/>
      <c r="BJ115" s="111"/>
    </row>
    <row r="116" ht="14.2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215"/>
      <c r="O116" s="216"/>
      <c r="P116" s="111"/>
      <c r="Q116" s="111"/>
      <c r="R116" s="111"/>
      <c r="S116" s="111"/>
      <c r="T116" s="111"/>
      <c r="U116" s="111"/>
      <c r="V116" s="111"/>
      <c r="W116" s="111"/>
      <c r="X116" s="111"/>
      <c r="Y116" s="215"/>
      <c r="Z116" s="217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215"/>
      <c r="AK116" s="216"/>
      <c r="AL116" s="111"/>
      <c r="AM116" s="111"/>
      <c r="AN116" s="111"/>
      <c r="AO116" s="111"/>
      <c r="AP116" s="215"/>
      <c r="AQ116" s="217"/>
      <c r="AR116" s="111"/>
      <c r="AS116" s="111"/>
      <c r="AT116" s="111"/>
      <c r="AU116" s="215"/>
      <c r="AV116" s="216"/>
      <c r="AW116" s="111"/>
      <c r="AX116" s="111"/>
      <c r="AY116" s="111"/>
      <c r="AZ116" s="215"/>
      <c r="BA116" s="216"/>
      <c r="BB116" s="111"/>
      <c r="BC116" s="215"/>
      <c r="BD116" s="216"/>
      <c r="BE116" s="111"/>
      <c r="BF116" s="111"/>
      <c r="BG116" s="111"/>
      <c r="BH116" s="111"/>
      <c r="BI116" s="111"/>
      <c r="BJ116" s="111"/>
    </row>
    <row r="117" ht="14.2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215"/>
      <c r="O117" s="216"/>
      <c r="P117" s="111"/>
      <c r="Q117" s="111"/>
      <c r="R117" s="111"/>
      <c r="S117" s="111"/>
      <c r="T117" s="111"/>
      <c r="U117" s="111"/>
      <c r="V117" s="111"/>
      <c r="W117" s="111"/>
      <c r="X117" s="111"/>
      <c r="Y117" s="215"/>
      <c r="Z117" s="217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215"/>
      <c r="AK117" s="216"/>
      <c r="AL117" s="111"/>
      <c r="AM117" s="111"/>
      <c r="AN117" s="111"/>
      <c r="AO117" s="111"/>
      <c r="AP117" s="215"/>
      <c r="AQ117" s="217"/>
      <c r="AR117" s="111"/>
      <c r="AS117" s="111"/>
      <c r="AT117" s="111"/>
      <c r="AU117" s="215"/>
      <c r="AV117" s="216"/>
      <c r="AW117" s="111"/>
      <c r="AX117" s="111"/>
      <c r="AY117" s="111"/>
      <c r="AZ117" s="215"/>
      <c r="BA117" s="216"/>
      <c r="BB117" s="111"/>
      <c r="BC117" s="215"/>
      <c r="BD117" s="216"/>
      <c r="BE117" s="111"/>
      <c r="BF117" s="111"/>
      <c r="BG117" s="111"/>
      <c r="BH117" s="111"/>
      <c r="BI117" s="111"/>
      <c r="BJ117" s="111"/>
    </row>
    <row r="118" ht="14.2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215"/>
      <c r="O118" s="216"/>
      <c r="P118" s="111"/>
      <c r="Q118" s="111"/>
      <c r="R118" s="111"/>
      <c r="S118" s="111"/>
      <c r="T118" s="111"/>
      <c r="U118" s="111"/>
      <c r="V118" s="111"/>
      <c r="W118" s="111"/>
      <c r="X118" s="111"/>
      <c r="Y118" s="215"/>
      <c r="Z118" s="217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215"/>
      <c r="AK118" s="216"/>
      <c r="AL118" s="111"/>
      <c r="AM118" s="111"/>
      <c r="AN118" s="111"/>
      <c r="AO118" s="111"/>
      <c r="AP118" s="215"/>
      <c r="AQ118" s="217"/>
      <c r="AR118" s="111"/>
      <c r="AS118" s="111"/>
      <c r="AT118" s="111"/>
      <c r="AU118" s="215"/>
      <c r="AV118" s="216"/>
      <c r="AW118" s="111"/>
      <c r="AX118" s="111"/>
      <c r="AY118" s="111"/>
      <c r="AZ118" s="215"/>
      <c r="BA118" s="216"/>
      <c r="BB118" s="111"/>
      <c r="BC118" s="215"/>
      <c r="BD118" s="216"/>
      <c r="BE118" s="111"/>
      <c r="BF118" s="111"/>
      <c r="BG118" s="111"/>
      <c r="BH118" s="111"/>
      <c r="BI118" s="111"/>
      <c r="BJ118" s="111"/>
    </row>
    <row r="119" ht="14.2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215"/>
      <c r="O119" s="216"/>
      <c r="P119" s="111"/>
      <c r="Q119" s="111"/>
      <c r="R119" s="111"/>
      <c r="S119" s="111"/>
      <c r="T119" s="111"/>
      <c r="U119" s="111"/>
      <c r="V119" s="111"/>
      <c r="W119" s="111"/>
      <c r="X119" s="111"/>
      <c r="Y119" s="215"/>
      <c r="Z119" s="217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215"/>
      <c r="AK119" s="216"/>
      <c r="AL119" s="111"/>
      <c r="AM119" s="111"/>
      <c r="AN119" s="111"/>
      <c r="AO119" s="111"/>
      <c r="AP119" s="215"/>
      <c r="AQ119" s="217"/>
      <c r="AR119" s="111"/>
      <c r="AS119" s="111"/>
      <c r="AT119" s="111"/>
      <c r="AU119" s="215"/>
      <c r="AV119" s="216"/>
      <c r="AW119" s="111"/>
      <c r="AX119" s="111"/>
      <c r="AY119" s="111"/>
      <c r="AZ119" s="215"/>
      <c r="BA119" s="216"/>
      <c r="BB119" s="111"/>
      <c r="BC119" s="215"/>
      <c r="BD119" s="216"/>
      <c r="BE119" s="111"/>
      <c r="BF119" s="111"/>
      <c r="BG119" s="111"/>
      <c r="BH119" s="111"/>
      <c r="BI119" s="111"/>
      <c r="BJ119" s="111"/>
    </row>
    <row r="120" ht="14.2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215"/>
      <c r="O120" s="216"/>
      <c r="P120" s="111"/>
      <c r="Q120" s="111"/>
      <c r="R120" s="111"/>
      <c r="S120" s="111"/>
      <c r="T120" s="111"/>
      <c r="U120" s="111"/>
      <c r="V120" s="111"/>
      <c r="W120" s="111"/>
      <c r="X120" s="111"/>
      <c r="Y120" s="215"/>
      <c r="Z120" s="217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215"/>
      <c r="AK120" s="216"/>
      <c r="AL120" s="111"/>
      <c r="AM120" s="111"/>
      <c r="AN120" s="111"/>
      <c r="AO120" s="111"/>
      <c r="AP120" s="215"/>
      <c r="AQ120" s="217"/>
      <c r="AR120" s="111"/>
      <c r="AS120" s="111"/>
      <c r="AT120" s="111"/>
      <c r="AU120" s="215"/>
      <c r="AV120" s="216"/>
      <c r="AW120" s="111"/>
      <c r="AX120" s="111"/>
      <c r="AY120" s="111"/>
      <c r="AZ120" s="215"/>
      <c r="BA120" s="216"/>
      <c r="BB120" s="111"/>
      <c r="BC120" s="215"/>
      <c r="BD120" s="216"/>
      <c r="BE120" s="111"/>
      <c r="BF120" s="111"/>
      <c r="BG120" s="111"/>
      <c r="BH120" s="111"/>
      <c r="BI120" s="111"/>
      <c r="BJ120" s="111"/>
    </row>
    <row r="121" ht="14.2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215"/>
      <c r="O121" s="216"/>
      <c r="P121" s="111"/>
      <c r="Q121" s="111"/>
      <c r="R121" s="111"/>
      <c r="S121" s="111"/>
      <c r="T121" s="111"/>
      <c r="U121" s="111"/>
      <c r="V121" s="111"/>
      <c r="W121" s="111"/>
      <c r="X121" s="111"/>
      <c r="Y121" s="215"/>
      <c r="Z121" s="217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215"/>
      <c r="AK121" s="216"/>
      <c r="AL121" s="111"/>
      <c r="AM121" s="111"/>
      <c r="AN121" s="111"/>
      <c r="AO121" s="111"/>
      <c r="AP121" s="215"/>
      <c r="AQ121" s="217"/>
      <c r="AR121" s="111"/>
      <c r="AS121" s="111"/>
      <c r="AT121" s="111"/>
      <c r="AU121" s="215"/>
      <c r="AV121" s="216"/>
      <c r="AW121" s="111"/>
      <c r="AX121" s="111"/>
      <c r="AY121" s="111"/>
      <c r="AZ121" s="215"/>
      <c r="BA121" s="216"/>
      <c r="BB121" s="111"/>
      <c r="BC121" s="215"/>
      <c r="BD121" s="216"/>
      <c r="BE121" s="111"/>
      <c r="BF121" s="111"/>
      <c r="BG121" s="111"/>
      <c r="BH121" s="111"/>
      <c r="BI121" s="111"/>
      <c r="BJ121" s="111"/>
    </row>
    <row r="122" ht="14.2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215"/>
      <c r="O122" s="216"/>
      <c r="P122" s="111"/>
      <c r="Q122" s="111"/>
      <c r="R122" s="111"/>
      <c r="S122" s="111"/>
      <c r="T122" s="111"/>
      <c r="U122" s="111"/>
      <c r="V122" s="111"/>
      <c r="W122" s="111"/>
      <c r="X122" s="111"/>
      <c r="Y122" s="215"/>
      <c r="Z122" s="217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215"/>
      <c r="AK122" s="216"/>
      <c r="AL122" s="111"/>
      <c r="AM122" s="111"/>
      <c r="AN122" s="111"/>
      <c r="AO122" s="111"/>
      <c r="AP122" s="215"/>
      <c r="AQ122" s="217"/>
      <c r="AR122" s="111"/>
      <c r="AS122" s="111"/>
      <c r="AT122" s="111"/>
      <c r="AU122" s="215"/>
      <c r="AV122" s="216"/>
      <c r="AW122" s="111"/>
      <c r="AX122" s="111"/>
      <c r="AY122" s="111"/>
      <c r="AZ122" s="215"/>
      <c r="BA122" s="216"/>
      <c r="BB122" s="111"/>
      <c r="BC122" s="215"/>
      <c r="BD122" s="216"/>
      <c r="BE122" s="111"/>
      <c r="BF122" s="111"/>
      <c r="BG122" s="111"/>
      <c r="BH122" s="111"/>
      <c r="BI122" s="111"/>
      <c r="BJ122" s="111"/>
    </row>
    <row r="123" ht="14.2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215"/>
      <c r="O123" s="216"/>
      <c r="P123" s="111"/>
      <c r="Q123" s="111"/>
      <c r="R123" s="111"/>
      <c r="S123" s="111"/>
      <c r="T123" s="111"/>
      <c r="U123" s="111"/>
      <c r="V123" s="111"/>
      <c r="W123" s="111"/>
      <c r="X123" s="111"/>
      <c r="Y123" s="215"/>
      <c r="Z123" s="217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215"/>
      <c r="AK123" s="216"/>
      <c r="AL123" s="111"/>
      <c r="AM123" s="111"/>
      <c r="AN123" s="111"/>
      <c r="AO123" s="111"/>
      <c r="AP123" s="215"/>
      <c r="AQ123" s="217"/>
      <c r="AR123" s="111"/>
      <c r="AS123" s="111"/>
      <c r="AT123" s="111"/>
      <c r="AU123" s="215"/>
      <c r="AV123" s="216"/>
      <c r="AW123" s="111"/>
      <c r="AX123" s="111"/>
      <c r="AY123" s="111"/>
      <c r="AZ123" s="215"/>
      <c r="BA123" s="216"/>
      <c r="BB123" s="111"/>
      <c r="BC123" s="215"/>
      <c r="BD123" s="216"/>
      <c r="BE123" s="111"/>
      <c r="BF123" s="111"/>
      <c r="BG123" s="111"/>
      <c r="BH123" s="111"/>
      <c r="BI123" s="111"/>
      <c r="BJ123" s="111"/>
    </row>
    <row r="124" ht="14.2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215"/>
      <c r="O124" s="216"/>
      <c r="P124" s="111"/>
      <c r="Q124" s="111"/>
      <c r="R124" s="111"/>
      <c r="S124" s="111"/>
      <c r="T124" s="111"/>
      <c r="U124" s="111"/>
      <c r="V124" s="111"/>
      <c r="W124" s="111"/>
      <c r="X124" s="111"/>
      <c r="Y124" s="215"/>
      <c r="Z124" s="217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215"/>
      <c r="AK124" s="216"/>
      <c r="AL124" s="111"/>
      <c r="AM124" s="111"/>
      <c r="AN124" s="111"/>
      <c r="AO124" s="111"/>
      <c r="AP124" s="215"/>
      <c r="AQ124" s="217"/>
      <c r="AR124" s="111"/>
      <c r="AS124" s="111"/>
      <c r="AT124" s="111"/>
      <c r="AU124" s="215"/>
      <c r="AV124" s="216"/>
      <c r="AW124" s="111"/>
      <c r="AX124" s="111"/>
      <c r="AY124" s="111"/>
      <c r="AZ124" s="215"/>
      <c r="BA124" s="216"/>
      <c r="BB124" s="111"/>
      <c r="BC124" s="215"/>
      <c r="BD124" s="216"/>
      <c r="BE124" s="111"/>
      <c r="BF124" s="111"/>
      <c r="BG124" s="111"/>
      <c r="BH124" s="111"/>
      <c r="BI124" s="111"/>
      <c r="BJ124" s="111"/>
    </row>
    <row r="125" ht="14.2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215"/>
      <c r="O125" s="216"/>
      <c r="P125" s="111"/>
      <c r="Q125" s="111"/>
      <c r="R125" s="111"/>
      <c r="S125" s="111"/>
      <c r="T125" s="111"/>
      <c r="U125" s="111"/>
      <c r="V125" s="111"/>
      <c r="W125" s="111"/>
      <c r="X125" s="111"/>
      <c r="Y125" s="215"/>
      <c r="Z125" s="217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215"/>
      <c r="AK125" s="216"/>
      <c r="AL125" s="111"/>
      <c r="AM125" s="111"/>
      <c r="AN125" s="111"/>
      <c r="AO125" s="111"/>
      <c r="AP125" s="215"/>
      <c r="AQ125" s="217"/>
      <c r="AR125" s="111"/>
      <c r="AS125" s="111"/>
      <c r="AT125" s="111"/>
      <c r="AU125" s="215"/>
      <c r="AV125" s="216"/>
      <c r="AW125" s="111"/>
      <c r="AX125" s="111"/>
      <c r="AY125" s="111"/>
      <c r="AZ125" s="215"/>
      <c r="BA125" s="216"/>
      <c r="BB125" s="111"/>
      <c r="BC125" s="215"/>
      <c r="BD125" s="216"/>
      <c r="BE125" s="111"/>
      <c r="BF125" s="111"/>
      <c r="BG125" s="111"/>
      <c r="BH125" s="111"/>
      <c r="BI125" s="111"/>
      <c r="BJ125" s="111"/>
    </row>
    <row r="126" ht="14.2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215"/>
      <c r="O126" s="216"/>
      <c r="P126" s="111"/>
      <c r="Q126" s="111"/>
      <c r="R126" s="111"/>
      <c r="S126" s="111"/>
      <c r="T126" s="111"/>
      <c r="U126" s="111"/>
      <c r="V126" s="111"/>
      <c r="W126" s="111"/>
      <c r="X126" s="111"/>
      <c r="Y126" s="215"/>
      <c r="Z126" s="217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215"/>
      <c r="AK126" s="216"/>
      <c r="AL126" s="111"/>
      <c r="AM126" s="111"/>
      <c r="AN126" s="111"/>
      <c r="AO126" s="111"/>
      <c r="AP126" s="215"/>
      <c r="AQ126" s="217"/>
      <c r="AR126" s="111"/>
      <c r="AS126" s="111"/>
      <c r="AT126" s="111"/>
      <c r="AU126" s="215"/>
      <c r="AV126" s="216"/>
      <c r="AW126" s="111"/>
      <c r="AX126" s="111"/>
      <c r="AY126" s="111"/>
      <c r="AZ126" s="215"/>
      <c r="BA126" s="216"/>
      <c r="BB126" s="111"/>
      <c r="BC126" s="215"/>
      <c r="BD126" s="216"/>
      <c r="BE126" s="111"/>
      <c r="BF126" s="111"/>
      <c r="BG126" s="111"/>
      <c r="BH126" s="111"/>
      <c r="BI126" s="111"/>
      <c r="BJ126" s="111"/>
    </row>
    <row r="127" ht="14.2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215"/>
      <c r="O127" s="216"/>
      <c r="P127" s="111"/>
      <c r="Q127" s="111"/>
      <c r="R127" s="111"/>
      <c r="S127" s="111"/>
      <c r="T127" s="111"/>
      <c r="U127" s="111"/>
      <c r="V127" s="111"/>
      <c r="W127" s="111"/>
      <c r="X127" s="111"/>
      <c r="Y127" s="215"/>
      <c r="Z127" s="217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215"/>
      <c r="AK127" s="216"/>
      <c r="AL127" s="111"/>
      <c r="AM127" s="111"/>
      <c r="AN127" s="111"/>
      <c r="AO127" s="111"/>
      <c r="AP127" s="215"/>
      <c r="AQ127" s="217"/>
      <c r="AR127" s="111"/>
      <c r="AS127" s="111"/>
      <c r="AT127" s="111"/>
      <c r="AU127" s="215"/>
      <c r="AV127" s="216"/>
      <c r="AW127" s="111"/>
      <c r="AX127" s="111"/>
      <c r="AY127" s="111"/>
      <c r="AZ127" s="215"/>
      <c r="BA127" s="216"/>
      <c r="BB127" s="111"/>
      <c r="BC127" s="215"/>
      <c r="BD127" s="216"/>
      <c r="BE127" s="111"/>
      <c r="BF127" s="111"/>
      <c r="BG127" s="111"/>
      <c r="BH127" s="111"/>
      <c r="BI127" s="111"/>
      <c r="BJ127" s="111"/>
    </row>
    <row r="128" ht="14.2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215"/>
      <c r="O128" s="216"/>
      <c r="P128" s="111"/>
      <c r="Q128" s="111"/>
      <c r="R128" s="111"/>
      <c r="S128" s="111"/>
      <c r="T128" s="111"/>
      <c r="U128" s="111"/>
      <c r="V128" s="111"/>
      <c r="W128" s="111"/>
      <c r="X128" s="111"/>
      <c r="Y128" s="215"/>
      <c r="Z128" s="217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215"/>
      <c r="AK128" s="216"/>
      <c r="AL128" s="111"/>
      <c r="AM128" s="111"/>
      <c r="AN128" s="111"/>
      <c r="AO128" s="111"/>
      <c r="AP128" s="215"/>
      <c r="AQ128" s="217"/>
      <c r="AR128" s="111"/>
      <c r="AS128" s="111"/>
      <c r="AT128" s="111"/>
      <c r="AU128" s="215"/>
      <c r="AV128" s="216"/>
      <c r="AW128" s="111"/>
      <c r="AX128" s="111"/>
      <c r="AY128" s="111"/>
      <c r="AZ128" s="215"/>
      <c r="BA128" s="216"/>
      <c r="BB128" s="111"/>
      <c r="BC128" s="215"/>
      <c r="BD128" s="216"/>
      <c r="BE128" s="111"/>
      <c r="BF128" s="111"/>
      <c r="BG128" s="111"/>
      <c r="BH128" s="111"/>
      <c r="BI128" s="111"/>
      <c r="BJ128" s="111"/>
    </row>
    <row r="129" ht="14.2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215"/>
      <c r="O129" s="216"/>
      <c r="P129" s="111"/>
      <c r="Q129" s="111"/>
      <c r="R129" s="111"/>
      <c r="S129" s="111"/>
      <c r="T129" s="111"/>
      <c r="U129" s="111"/>
      <c r="V129" s="111"/>
      <c r="W129" s="111"/>
      <c r="X129" s="111"/>
      <c r="Y129" s="215"/>
      <c r="Z129" s="217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215"/>
      <c r="AK129" s="216"/>
      <c r="AL129" s="111"/>
      <c r="AM129" s="111"/>
      <c r="AN129" s="111"/>
      <c r="AO129" s="111"/>
      <c r="AP129" s="215"/>
      <c r="AQ129" s="217"/>
      <c r="AR129" s="111"/>
      <c r="AS129" s="111"/>
      <c r="AT129" s="111"/>
      <c r="AU129" s="215"/>
      <c r="AV129" s="216"/>
      <c r="AW129" s="111"/>
      <c r="AX129" s="111"/>
      <c r="AY129" s="111"/>
      <c r="AZ129" s="215"/>
      <c r="BA129" s="216"/>
      <c r="BB129" s="111"/>
      <c r="BC129" s="215"/>
      <c r="BD129" s="216"/>
      <c r="BE129" s="111"/>
      <c r="BF129" s="111"/>
      <c r="BG129" s="111"/>
      <c r="BH129" s="111"/>
      <c r="BI129" s="111"/>
      <c r="BJ129" s="111"/>
    </row>
    <row r="130" ht="14.2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215"/>
      <c r="O130" s="216"/>
      <c r="P130" s="111"/>
      <c r="Q130" s="111"/>
      <c r="R130" s="111"/>
      <c r="S130" s="111"/>
      <c r="T130" s="111"/>
      <c r="U130" s="111"/>
      <c r="V130" s="111"/>
      <c r="W130" s="111"/>
      <c r="X130" s="111"/>
      <c r="Y130" s="215"/>
      <c r="Z130" s="217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215"/>
      <c r="AK130" s="216"/>
      <c r="AL130" s="111"/>
      <c r="AM130" s="111"/>
      <c r="AN130" s="111"/>
      <c r="AO130" s="111"/>
      <c r="AP130" s="215"/>
      <c r="AQ130" s="217"/>
      <c r="AR130" s="111"/>
      <c r="AS130" s="111"/>
      <c r="AT130" s="111"/>
      <c r="AU130" s="215"/>
      <c r="AV130" s="216"/>
      <c r="AW130" s="111"/>
      <c r="AX130" s="111"/>
      <c r="AY130" s="111"/>
      <c r="AZ130" s="215"/>
      <c r="BA130" s="216"/>
      <c r="BB130" s="111"/>
      <c r="BC130" s="215"/>
      <c r="BD130" s="216"/>
      <c r="BE130" s="111"/>
      <c r="BF130" s="111"/>
      <c r="BG130" s="111"/>
      <c r="BH130" s="111"/>
      <c r="BI130" s="111"/>
      <c r="BJ130" s="111"/>
    </row>
    <row r="131" ht="14.2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215"/>
      <c r="O131" s="216"/>
      <c r="P131" s="111"/>
      <c r="Q131" s="111"/>
      <c r="R131" s="111"/>
      <c r="S131" s="111"/>
      <c r="T131" s="111"/>
      <c r="U131" s="111"/>
      <c r="V131" s="111"/>
      <c r="W131" s="111"/>
      <c r="X131" s="111"/>
      <c r="Y131" s="215"/>
      <c r="Z131" s="217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215"/>
      <c r="AK131" s="216"/>
      <c r="AL131" s="111"/>
      <c r="AM131" s="111"/>
      <c r="AN131" s="111"/>
      <c r="AO131" s="111"/>
      <c r="AP131" s="215"/>
      <c r="AQ131" s="217"/>
      <c r="AR131" s="111"/>
      <c r="AS131" s="111"/>
      <c r="AT131" s="111"/>
      <c r="AU131" s="215"/>
      <c r="AV131" s="216"/>
      <c r="AW131" s="111"/>
      <c r="AX131" s="111"/>
      <c r="AY131" s="111"/>
      <c r="AZ131" s="215"/>
      <c r="BA131" s="216"/>
      <c r="BB131" s="111"/>
      <c r="BC131" s="215"/>
      <c r="BD131" s="216"/>
      <c r="BE131" s="111"/>
      <c r="BF131" s="111"/>
      <c r="BG131" s="111"/>
      <c r="BH131" s="111"/>
      <c r="BI131" s="111"/>
      <c r="BJ131" s="111"/>
    </row>
    <row r="132" ht="14.2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215"/>
      <c r="O132" s="216"/>
      <c r="P132" s="111"/>
      <c r="Q132" s="111"/>
      <c r="R132" s="111"/>
      <c r="S132" s="111"/>
      <c r="T132" s="111"/>
      <c r="U132" s="111"/>
      <c r="V132" s="111"/>
      <c r="W132" s="111"/>
      <c r="X132" s="111"/>
      <c r="Y132" s="215"/>
      <c r="Z132" s="217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215"/>
      <c r="AK132" s="216"/>
      <c r="AL132" s="111"/>
      <c r="AM132" s="111"/>
      <c r="AN132" s="111"/>
      <c r="AO132" s="111"/>
      <c r="AP132" s="215"/>
      <c r="AQ132" s="217"/>
      <c r="AR132" s="111"/>
      <c r="AS132" s="111"/>
      <c r="AT132" s="111"/>
      <c r="AU132" s="215"/>
      <c r="AV132" s="216"/>
      <c r="AW132" s="111"/>
      <c r="AX132" s="111"/>
      <c r="AY132" s="111"/>
      <c r="AZ132" s="215"/>
      <c r="BA132" s="216"/>
      <c r="BB132" s="111"/>
      <c r="BC132" s="215"/>
      <c r="BD132" s="216"/>
      <c r="BE132" s="111"/>
      <c r="BF132" s="111"/>
      <c r="BG132" s="111"/>
      <c r="BH132" s="111"/>
      <c r="BI132" s="111"/>
      <c r="BJ132" s="111"/>
    </row>
    <row r="133" ht="14.2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215"/>
      <c r="O133" s="216"/>
      <c r="P133" s="111"/>
      <c r="Q133" s="111"/>
      <c r="R133" s="111"/>
      <c r="S133" s="111"/>
      <c r="T133" s="111"/>
      <c r="U133" s="111"/>
      <c r="V133" s="111"/>
      <c r="W133" s="111"/>
      <c r="X133" s="111"/>
      <c r="Y133" s="215"/>
      <c r="Z133" s="217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215"/>
      <c r="AK133" s="216"/>
      <c r="AL133" s="111"/>
      <c r="AM133" s="111"/>
      <c r="AN133" s="111"/>
      <c r="AO133" s="111"/>
      <c r="AP133" s="215"/>
      <c r="AQ133" s="217"/>
      <c r="AR133" s="111"/>
      <c r="AS133" s="111"/>
      <c r="AT133" s="111"/>
      <c r="AU133" s="215"/>
      <c r="AV133" s="216"/>
      <c r="AW133" s="111"/>
      <c r="AX133" s="111"/>
      <c r="AY133" s="111"/>
      <c r="AZ133" s="215"/>
      <c r="BA133" s="216"/>
      <c r="BB133" s="111"/>
      <c r="BC133" s="215"/>
      <c r="BD133" s="216"/>
      <c r="BE133" s="111"/>
      <c r="BF133" s="111"/>
      <c r="BG133" s="111"/>
      <c r="BH133" s="111"/>
      <c r="BI133" s="111"/>
      <c r="BJ133" s="111"/>
    </row>
    <row r="134" ht="14.2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215"/>
      <c r="O134" s="216"/>
      <c r="P134" s="111"/>
      <c r="Q134" s="111"/>
      <c r="R134" s="111"/>
      <c r="S134" s="111"/>
      <c r="T134" s="111"/>
      <c r="U134" s="111"/>
      <c r="V134" s="111"/>
      <c r="W134" s="111"/>
      <c r="X134" s="111"/>
      <c r="Y134" s="215"/>
      <c r="Z134" s="217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215"/>
      <c r="AK134" s="216"/>
      <c r="AL134" s="111"/>
      <c r="AM134" s="111"/>
      <c r="AN134" s="111"/>
      <c r="AO134" s="111"/>
      <c r="AP134" s="215"/>
      <c r="AQ134" s="217"/>
      <c r="AR134" s="111"/>
      <c r="AS134" s="111"/>
      <c r="AT134" s="111"/>
      <c r="AU134" s="215"/>
      <c r="AV134" s="216"/>
      <c r="AW134" s="111"/>
      <c r="AX134" s="111"/>
      <c r="AY134" s="111"/>
      <c r="AZ134" s="215"/>
      <c r="BA134" s="216"/>
      <c r="BB134" s="111"/>
      <c r="BC134" s="215"/>
      <c r="BD134" s="216"/>
      <c r="BE134" s="111"/>
      <c r="BF134" s="111"/>
      <c r="BG134" s="111"/>
      <c r="BH134" s="111"/>
      <c r="BI134" s="111"/>
      <c r="BJ134" s="111"/>
    </row>
    <row r="135" ht="14.2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215"/>
      <c r="O135" s="216"/>
      <c r="P135" s="111"/>
      <c r="Q135" s="111"/>
      <c r="R135" s="111"/>
      <c r="S135" s="111"/>
      <c r="T135" s="111"/>
      <c r="U135" s="111"/>
      <c r="V135" s="111"/>
      <c r="W135" s="111"/>
      <c r="X135" s="111"/>
      <c r="Y135" s="215"/>
      <c r="Z135" s="217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215"/>
      <c r="AK135" s="216"/>
      <c r="AL135" s="111"/>
      <c r="AM135" s="111"/>
      <c r="AN135" s="111"/>
      <c r="AO135" s="111"/>
      <c r="AP135" s="215"/>
      <c r="AQ135" s="217"/>
      <c r="AR135" s="111"/>
      <c r="AS135" s="111"/>
      <c r="AT135" s="111"/>
      <c r="AU135" s="215"/>
      <c r="AV135" s="216"/>
      <c r="AW135" s="111"/>
      <c r="AX135" s="111"/>
      <c r="AY135" s="111"/>
      <c r="AZ135" s="215"/>
      <c r="BA135" s="216"/>
      <c r="BB135" s="111"/>
      <c r="BC135" s="215"/>
      <c r="BD135" s="216"/>
      <c r="BE135" s="111"/>
      <c r="BF135" s="111"/>
      <c r="BG135" s="111"/>
      <c r="BH135" s="111"/>
      <c r="BI135" s="111"/>
      <c r="BJ135" s="111"/>
    </row>
    <row r="136" ht="14.2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215"/>
      <c r="O136" s="216"/>
      <c r="P136" s="111"/>
      <c r="Q136" s="111"/>
      <c r="R136" s="111"/>
      <c r="S136" s="111"/>
      <c r="T136" s="111"/>
      <c r="U136" s="111"/>
      <c r="V136" s="111"/>
      <c r="W136" s="111"/>
      <c r="X136" s="111"/>
      <c r="Y136" s="215"/>
      <c r="Z136" s="217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215"/>
      <c r="AK136" s="216"/>
      <c r="AL136" s="111"/>
      <c r="AM136" s="111"/>
      <c r="AN136" s="111"/>
      <c r="AO136" s="111"/>
      <c r="AP136" s="215"/>
      <c r="AQ136" s="217"/>
      <c r="AR136" s="111"/>
      <c r="AS136" s="111"/>
      <c r="AT136" s="111"/>
      <c r="AU136" s="215"/>
      <c r="AV136" s="216"/>
      <c r="AW136" s="111"/>
      <c r="AX136" s="111"/>
      <c r="AY136" s="111"/>
      <c r="AZ136" s="215"/>
      <c r="BA136" s="216"/>
      <c r="BB136" s="111"/>
      <c r="BC136" s="215"/>
      <c r="BD136" s="216"/>
      <c r="BE136" s="111"/>
      <c r="BF136" s="111"/>
      <c r="BG136" s="111"/>
      <c r="BH136" s="111"/>
      <c r="BI136" s="111"/>
      <c r="BJ136" s="111"/>
    </row>
    <row r="137" ht="14.2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215"/>
      <c r="O137" s="216"/>
      <c r="P137" s="111"/>
      <c r="Q137" s="111"/>
      <c r="R137" s="111"/>
      <c r="S137" s="111"/>
      <c r="T137" s="111"/>
      <c r="U137" s="111"/>
      <c r="V137" s="111"/>
      <c r="W137" s="111"/>
      <c r="X137" s="111"/>
      <c r="Y137" s="215"/>
      <c r="Z137" s="217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215"/>
      <c r="AK137" s="216"/>
      <c r="AL137" s="111"/>
      <c r="AM137" s="111"/>
      <c r="AN137" s="111"/>
      <c r="AO137" s="111"/>
      <c r="AP137" s="215"/>
      <c r="AQ137" s="217"/>
      <c r="AR137" s="111"/>
      <c r="AS137" s="111"/>
      <c r="AT137" s="111"/>
      <c r="AU137" s="215"/>
      <c r="AV137" s="216"/>
      <c r="AW137" s="111"/>
      <c r="AX137" s="111"/>
      <c r="AY137" s="111"/>
      <c r="AZ137" s="215"/>
      <c r="BA137" s="216"/>
      <c r="BB137" s="111"/>
      <c r="BC137" s="215"/>
      <c r="BD137" s="216"/>
      <c r="BE137" s="111"/>
      <c r="BF137" s="111"/>
      <c r="BG137" s="111"/>
      <c r="BH137" s="111"/>
      <c r="BI137" s="111"/>
      <c r="BJ137" s="111"/>
    </row>
    <row r="138" ht="14.2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215"/>
      <c r="O138" s="216"/>
      <c r="P138" s="111"/>
      <c r="Q138" s="111"/>
      <c r="R138" s="111"/>
      <c r="S138" s="111"/>
      <c r="T138" s="111"/>
      <c r="U138" s="111"/>
      <c r="V138" s="111"/>
      <c r="W138" s="111"/>
      <c r="X138" s="111"/>
      <c r="Y138" s="215"/>
      <c r="Z138" s="217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215"/>
      <c r="AK138" s="216"/>
      <c r="AL138" s="111"/>
      <c r="AM138" s="111"/>
      <c r="AN138" s="111"/>
      <c r="AO138" s="111"/>
      <c r="AP138" s="215"/>
      <c r="AQ138" s="217"/>
      <c r="AR138" s="111"/>
      <c r="AS138" s="111"/>
      <c r="AT138" s="111"/>
      <c r="AU138" s="215"/>
      <c r="AV138" s="216"/>
      <c r="AW138" s="111"/>
      <c r="AX138" s="111"/>
      <c r="AY138" s="111"/>
      <c r="AZ138" s="215"/>
      <c r="BA138" s="216"/>
      <c r="BB138" s="111"/>
      <c r="BC138" s="215"/>
      <c r="BD138" s="216"/>
      <c r="BE138" s="111"/>
      <c r="BF138" s="111"/>
      <c r="BG138" s="111"/>
      <c r="BH138" s="111"/>
      <c r="BI138" s="111"/>
      <c r="BJ138" s="111"/>
    </row>
    <row r="139" ht="14.2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215"/>
      <c r="O139" s="216"/>
      <c r="P139" s="111"/>
      <c r="Q139" s="111"/>
      <c r="R139" s="111"/>
      <c r="S139" s="111"/>
      <c r="T139" s="111"/>
      <c r="U139" s="111"/>
      <c r="V139" s="111"/>
      <c r="W139" s="111"/>
      <c r="X139" s="111"/>
      <c r="Y139" s="215"/>
      <c r="Z139" s="217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215"/>
      <c r="AK139" s="216"/>
      <c r="AL139" s="111"/>
      <c r="AM139" s="111"/>
      <c r="AN139" s="111"/>
      <c r="AO139" s="111"/>
      <c r="AP139" s="215"/>
      <c r="AQ139" s="217"/>
      <c r="AR139" s="111"/>
      <c r="AS139" s="111"/>
      <c r="AT139" s="111"/>
      <c r="AU139" s="215"/>
      <c r="AV139" s="216"/>
      <c r="AW139" s="111"/>
      <c r="AX139" s="111"/>
      <c r="AY139" s="111"/>
      <c r="AZ139" s="215"/>
      <c r="BA139" s="216"/>
      <c r="BB139" s="111"/>
      <c r="BC139" s="215"/>
      <c r="BD139" s="216"/>
      <c r="BE139" s="111"/>
      <c r="BF139" s="111"/>
      <c r="BG139" s="111"/>
      <c r="BH139" s="111"/>
      <c r="BI139" s="111"/>
      <c r="BJ139" s="111"/>
    </row>
    <row r="140" ht="14.2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215"/>
      <c r="O140" s="216"/>
      <c r="P140" s="111"/>
      <c r="Q140" s="111"/>
      <c r="R140" s="111"/>
      <c r="S140" s="111"/>
      <c r="T140" s="111"/>
      <c r="U140" s="111"/>
      <c r="V140" s="111"/>
      <c r="W140" s="111"/>
      <c r="X140" s="111"/>
      <c r="Y140" s="215"/>
      <c r="Z140" s="217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215"/>
      <c r="AK140" s="216"/>
      <c r="AL140" s="111"/>
      <c r="AM140" s="111"/>
      <c r="AN140" s="111"/>
      <c r="AO140" s="111"/>
      <c r="AP140" s="215"/>
      <c r="AQ140" s="217"/>
      <c r="AR140" s="111"/>
      <c r="AS140" s="111"/>
      <c r="AT140" s="111"/>
      <c r="AU140" s="215"/>
      <c r="AV140" s="216"/>
      <c r="AW140" s="111"/>
      <c r="AX140" s="111"/>
      <c r="AY140" s="111"/>
      <c r="AZ140" s="215"/>
      <c r="BA140" s="216"/>
      <c r="BB140" s="111"/>
      <c r="BC140" s="215"/>
      <c r="BD140" s="216"/>
      <c r="BE140" s="111"/>
      <c r="BF140" s="111"/>
      <c r="BG140" s="111"/>
      <c r="BH140" s="111"/>
      <c r="BI140" s="111"/>
      <c r="BJ140" s="111"/>
    </row>
    <row r="141" ht="14.2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215"/>
      <c r="O141" s="216"/>
      <c r="P141" s="111"/>
      <c r="Q141" s="111"/>
      <c r="R141" s="111"/>
      <c r="S141" s="111"/>
      <c r="T141" s="111"/>
      <c r="U141" s="111"/>
      <c r="V141" s="111"/>
      <c r="W141" s="111"/>
      <c r="X141" s="111"/>
      <c r="Y141" s="215"/>
      <c r="Z141" s="217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215"/>
      <c r="AK141" s="216"/>
      <c r="AL141" s="111"/>
      <c r="AM141" s="111"/>
      <c r="AN141" s="111"/>
      <c r="AO141" s="111"/>
      <c r="AP141" s="215"/>
      <c r="AQ141" s="217"/>
      <c r="AR141" s="111"/>
      <c r="AS141" s="111"/>
      <c r="AT141" s="111"/>
      <c r="AU141" s="215"/>
      <c r="AV141" s="216"/>
      <c r="AW141" s="111"/>
      <c r="AX141" s="111"/>
      <c r="AY141" s="111"/>
      <c r="AZ141" s="215"/>
      <c r="BA141" s="216"/>
      <c r="BB141" s="111"/>
      <c r="BC141" s="215"/>
      <c r="BD141" s="216"/>
      <c r="BE141" s="111"/>
      <c r="BF141" s="111"/>
      <c r="BG141" s="111"/>
      <c r="BH141" s="111"/>
      <c r="BI141" s="111"/>
      <c r="BJ141" s="111"/>
    </row>
    <row r="142" ht="14.2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215"/>
      <c r="O142" s="216"/>
      <c r="P142" s="111"/>
      <c r="Q142" s="111"/>
      <c r="R142" s="111"/>
      <c r="S142" s="111"/>
      <c r="T142" s="111"/>
      <c r="U142" s="111"/>
      <c r="V142" s="111"/>
      <c r="W142" s="111"/>
      <c r="X142" s="111"/>
      <c r="Y142" s="215"/>
      <c r="Z142" s="217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215"/>
      <c r="AK142" s="216"/>
      <c r="AL142" s="111"/>
      <c r="AM142" s="111"/>
      <c r="AN142" s="111"/>
      <c r="AO142" s="111"/>
      <c r="AP142" s="215"/>
      <c r="AQ142" s="217"/>
      <c r="AR142" s="111"/>
      <c r="AS142" s="111"/>
      <c r="AT142" s="111"/>
      <c r="AU142" s="215"/>
      <c r="AV142" s="216"/>
      <c r="AW142" s="111"/>
      <c r="AX142" s="111"/>
      <c r="AY142" s="111"/>
      <c r="AZ142" s="215"/>
      <c r="BA142" s="216"/>
      <c r="BB142" s="111"/>
      <c r="BC142" s="215"/>
      <c r="BD142" s="216"/>
      <c r="BE142" s="111"/>
      <c r="BF142" s="111"/>
      <c r="BG142" s="111"/>
      <c r="BH142" s="111"/>
      <c r="BI142" s="111"/>
      <c r="BJ142" s="111"/>
    </row>
    <row r="143" ht="14.2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215"/>
      <c r="O143" s="216"/>
      <c r="P143" s="111"/>
      <c r="Q143" s="111"/>
      <c r="R143" s="111"/>
      <c r="S143" s="111"/>
      <c r="T143" s="111"/>
      <c r="U143" s="111"/>
      <c r="V143" s="111"/>
      <c r="W143" s="111"/>
      <c r="X143" s="111"/>
      <c r="Y143" s="215"/>
      <c r="Z143" s="217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215"/>
      <c r="AK143" s="216"/>
      <c r="AL143" s="111"/>
      <c r="AM143" s="111"/>
      <c r="AN143" s="111"/>
      <c r="AO143" s="111"/>
      <c r="AP143" s="215"/>
      <c r="AQ143" s="217"/>
      <c r="AR143" s="111"/>
      <c r="AS143" s="111"/>
      <c r="AT143" s="111"/>
      <c r="AU143" s="215"/>
      <c r="AV143" s="216"/>
      <c r="AW143" s="111"/>
      <c r="AX143" s="111"/>
      <c r="AY143" s="111"/>
      <c r="AZ143" s="215"/>
      <c r="BA143" s="216"/>
      <c r="BB143" s="111"/>
      <c r="BC143" s="215"/>
      <c r="BD143" s="216"/>
      <c r="BE143" s="111"/>
      <c r="BF143" s="111"/>
      <c r="BG143" s="111"/>
      <c r="BH143" s="111"/>
      <c r="BI143" s="111"/>
      <c r="BJ143" s="111"/>
    </row>
    <row r="144" ht="14.2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215"/>
      <c r="O144" s="216"/>
      <c r="P144" s="111"/>
      <c r="Q144" s="111"/>
      <c r="R144" s="111"/>
      <c r="S144" s="111"/>
      <c r="T144" s="111"/>
      <c r="U144" s="111"/>
      <c r="V144" s="111"/>
      <c r="W144" s="111"/>
      <c r="X144" s="111"/>
      <c r="Y144" s="215"/>
      <c r="Z144" s="217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215"/>
      <c r="AK144" s="216"/>
      <c r="AL144" s="111"/>
      <c r="AM144" s="111"/>
      <c r="AN144" s="111"/>
      <c r="AO144" s="111"/>
      <c r="AP144" s="215"/>
      <c r="AQ144" s="217"/>
      <c r="AR144" s="111"/>
      <c r="AS144" s="111"/>
      <c r="AT144" s="111"/>
      <c r="AU144" s="215"/>
      <c r="AV144" s="216"/>
      <c r="AW144" s="111"/>
      <c r="AX144" s="111"/>
      <c r="AY144" s="111"/>
      <c r="AZ144" s="215"/>
      <c r="BA144" s="216"/>
      <c r="BB144" s="111"/>
      <c r="BC144" s="215"/>
      <c r="BD144" s="216"/>
      <c r="BE144" s="111"/>
      <c r="BF144" s="111"/>
      <c r="BG144" s="111"/>
      <c r="BH144" s="111"/>
      <c r="BI144" s="111"/>
      <c r="BJ144" s="111"/>
    </row>
    <row r="145" ht="14.2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215"/>
      <c r="O145" s="216"/>
      <c r="P145" s="111"/>
      <c r="Q145" s="111"/>
      <c r="R145" s="111"/>
      <c r="S145" s="111"/>
      <c r="T145" s="111"/>
      <c r="U145" s="111"/>
      <c r="V145" s="111"/>
      <c r="W145" s="111"/>
      <c r="X145" s="111"/>
      <c r="Y145" s="215"/>
      <c r="Z145" s="217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215"/>
      <c r="AK145" s="216"/>
      <c r="AL145" s="111"/>
      <c r="AM145" s="111"/>
      <c r="AN145" s="111"/>
      <c r="AO145" s="111"/>
      <c r="AP145" s="215"/>
      <c r="AQ145" s="217"/>
      <c r="AR145" s="111"/>
      <c r="AS145" s="111"/>
      <c r="AT145" s="111"/>
      <c r="AU145" s="215"/>
      <c r="AV145" s="216"/>
      <c r="AW145" s="111"/>
      <c r="AX145" s="111"/>
      <c r="AY145" s="111"/>
      <c r="AZ145" s="215"/>
      <c r="BA145" s="216"/>
      <c r="BB145" s="111"/>
      <c r="BC145" s="215"/>
      <c r="BD145" s="216"/>
      <c r="BE145" s="111"/>
      <c r="BF145" s="111"/>
      <c r="BG145" s="111"/>
      <c r="BH145" s="111"/>
      <c r="BI145" s="111"/>
      <c r="BJ145" s="111"/>
    </row>
    <row r="146" ht="14.2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215"/>
      <c r="O146" s="216"/>
      <c r="P146" s="111"/>
      <c r="Q146" s="111"/>
      <c r="R146" s="111"/>
      <c r="S146" s="111"/>
      <c r="T146" s="111"/>
      <c r="U146" s="111"/>
      <c r="V146" s="111"/>
      <c r="W146" s="111"/>
      <c r="X146" s="111"/>
      <c r="Y146" s="215"/>
      <c r="Z146" s="217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215"/>
      <c r="AK146" s="216"/>
      <c r="AL146" s="111"/>
      <c r="AM146" s="111"/>
      <c r="AN146" s="111"/>
      <c r="AO146" s="111"/>
      <c r="AP146" s="215"/>
      <c r="AQ146" s="217"/>
      <c r="AR146" s="111"/>
      <c r="AS146" s="111"/>
      <c r="AT146" s="111"/>
      <c r="AU146" s="215"/>
      <c r="AV146" s="216"/>
      <c r="AW146" s="111"/>
      <c r="AX146" s="111"/>
      <c r="AY146" s="111"/>
      <c r="AZ146" s="215"/>
      <c r="BA146" s="216"/>
      <c r="BB146" s="111"/>
      <c r="BC146" s="215"/>
      <c r="BD146" s="216"/>
      <c r="BE146" s="111"/>
      <c r="BF146" s="111"/>
      <c r="BG146" s="111"/>
      <c r="BH146" s="111"/>
      <c r="BI146" s="111"/>
      <c r="BJ146" s="111"/>
    </row>
    <row r="147" ht="14.2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215"/>
      <c r="O147" s="216"/>
      <c r="P147" s="111"/>
      <c r="Q147" s="111"/>
      <c r="R147" s="111"/>
      <c r="S147" s="111"/>
      <c r="T147" s="111"/>
      <c r="U147" s="111"/>
      <c r="V147" s="111"/>
      <c r="W147" s="111"/>
      <c r="X147" s="111"/>
      <c r="Y147" s="215"/>
      <c r="Z147" s="217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215"/>
      <c r="AK147" s="216"/>
      <c r="AL147" s="111"/>
      <c r="AM147" s="111"/>
      <c r="AN147" s="111"/>
      <c r="AO147" s="111"/>
      <c r="AP147" s="215"/>
      <c r="AQ147" s="217"/>
      <c r="AR147" s="111"/>
      <c r="AS147" s="111"/>
      <c r="AT147" s="111"/>
      <c r="AU147" s="215"/>
      <c r="AV147" s="216"/>
      <c r="AW147" s="111"/>
      <c r="AX147" s="111"/>
      <c r="AY147" s="111"/>
      <c r="AZ147" s="215"/>
      <c r="BA147" s="216"/>
      <c r="BB147" s="111"/>
      <c r="BC147" s="215"/>
      <c r="BD147" s="216"/>
      <c r="BE147" s="111"/>
      <c r="BF147" s="111"/>
      <c r="BG147" s="111"/>
      <c r="BH147" s="111"/>
      <c r="BI147" s="111"/>
      <c r="BJ147" s="111"/>
    </row>
    <row r="148" ht="14.2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215"/>
      <c r="O148" s="216"/>
      <c r="P148" s="111"/>
      <c r="Q148" s="111"/>
      <c r="R148" s="111"/>
      <c r="S148" s="111"/>
      <c r="T148" s="111"/>
      <c r="U148" s="111"/>
      <c r="V148" s="111"/>
      <c r="W148" s="111"/>
      <c r="X148" s="111"/>
      <c r="Y148" s="215"/>
      <c r="Z148" s="217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215"/>
      <c r="AK148" s="216"/>
      <c r="AL148" s="111"/>
      <c r="AM148" s="111"/>
      <c r="AN148" s="111"/>
      <c r="AO148" s="111"/>
      <c r="AP148" s="215"/>
      <c r="AQ148" s="217"/>
      <c r="AR148" s="111"/>
      <c r="AS148" s="111"/>
      <c r="AT148" s="111"/>
      <c r="AU148" s="215"/>
      <c r="AV148" s="216"/>
      <c r="AW148" s="111"/>
      <c r="AX148" s="111"/>
      <c r="AY148" s="111"/>
      <c r="AZ148" s="215"/>
      <c r="BA148" s="216"/>
      <c r="BB148" s="111"/>
      <c r="BC148" s="215"/>
      <c r="BD148" s="216"/>
      <c r="BE148" s="111"/>
      <c r="BF148" s="111"/>
      <c r="BG148" s="111"/>
      <c r="BH148" s="111"/>
      <c r="BI148" s="111"/>
      <c r="BJ148" s="111"/>
    </row>
    <row r="149" ht="14.2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215"/>
      <c r="O149" s="216"/>
      <c r="P149" s="111"/>
      <c r="Q149" s="111"/>
      <c r="R149" s="111"/>
      <c r="S149" s="111"/>
      <c r="T149" s="111"/>
      <c r="U149" s="111"/>
      <c r="V149" s="111"/>
      <c r="W149" s="111"/>
      <c r="X149" s="111"/>
      <c r="Y149" s="215"/>
      <c r="Z149" s="217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215"/>
      <c r="AK149" s="216"/>
      <c r="AL149" s="111"/>
      <c r="AM149" s="111"/>
      <c r="AN149" s="111"/>
      <c r="AO149" s="111"/>
      <c r="AP149" s="215"/>
      <c r="AQ149" s="217"/>
      <c r="AR149" s="111"/>
      <c r="AS149" s="111"/>
      <c r="AT149" s="111"/>
      <c r="AU149" s="215"/>
      <c r="AV149" s="216"/>
      <c r="AW149" s="111"/>
      <c r="AX149" s="111"/>
      <c r="AY149" s="111"/>
      <c r="AZ149" s="215"/>
      <c r="BA149" s="216"/>
      <c r="BB149" s="111"/>
      <c r="BC149" s="215"/>
      <c r="BD149" s="216"/>
      <c r="BE149" s="111"/>
      <c r="BF149" s="111"/>
      <c r="BG149" s="111"/>
      <c r="BH149" s="111"/>
      <c r="BI149" s="111"/>
      <c r="BJ149" s="111"/>
    </row>
    <row r="150" ht="14.2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215"/>
      <c r="O150" s="216"/>
      <c r="P150" s="111"/>
      <c r="Q150" s="111"/>
      <c r="R150" s="111"/>
      <c r="S150" s="111"/>
      <c r="T150" s="111"/>
      <c r="U150" s="111"/>
      <c r="V150" s="111"/>
      <c r="W150" s="111"/>
      <c r="X150" s="111"/>
      <c r="Y150" s="215"/>
      <c r="Z150" s="217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215"/>
      <c r="AK150" s="216"/>
      <c r="AL150" s="111"/>
      <c r="AM150" s="111"/>
      <c r="AN150" s="111"/>
      <c r="AO150" s="111"/>
      <c r="AP150" s="215"/>
      <c r="AQ150" s="217"/>
      <c r="AR150" s="111"/>
      <c r="AS150" s="111"/>
      <c r="AT150" s="111"/>
      <c r="AU150" s="215"/>
      <c r="AV150" s="216"/>
      <c r="AW150" s="111"/>
      <c r="AX150" s="111"/>
      <c r="AY150" s="111"/>
      <c r="AZ150" s="215"/>
      <c r="BA150" s="216"/>
      <c r="BB150" s="111"/>
      <c r="BC150" s="215"/>
      <c r="BD150" s="216"/>
      <c r="BE150" s="111"/>
      <c r="BF150" s="111"/>
      <c r="BG150" s="111"/>
      <c r="BH150" s="111"/>
      <c r="BI150" s="111"/>
      <c r="BJ150" s="111"/>
    </row>
    <row r="151" ht="14.2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215"/>
      <c r="O151" s="216"/>
      <c r="P151" s="111"/>
      <c r="Q151" s="111"/>
      <c r="R151" s="111"/>
      <c r="S151" s="111"/>
      <c r="T151" s="111"/>
      <c r="U151" s="111"/>
      <c r="V151" s="111"/>
      <c r="W151" s="111"/>
      <c r="X151" s="111"/>
      <c r="Y151" s="215"/>
      <c r="Z151" s="217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215"/>
      <c r="AK151" s="216"/>
      <c r="AL151" s="111"/>
      <c r="AM151" s="111"/>
      <c r="AN151" s="111"/>
      <c r="AO151" s="111"/>
      <c r="AP151" s="215"/>
      <c r="AQ151" s="217"/>
      <c r="AR151" s="111"/>
      <c r="AS151" s="111"/>
      <c r="AT151" s="111"/>
      <c r="AU151" s="215"/>
      <c r="AV151" s="216"/>
      <c r="AW151" s="111"/>
      <c r="AX151" s="111"/>
      <c r="AY151" s="111"/>
      <c r="AZ151" s="215"/>
      <c r="BA151" s="216"/>
      <c r="BB151" s="111"/>
      <c r="BC151" s="215"/>
      <c r="BD151" s="216"/>
      <c r="BE151" s="111"/>
      <c r="BF151" s="111"/>
      <c r="BG151" s="111"/>
      <c r="BH151" s="111"/>
      <c r="BI151" s="111"/>
      <c r="BJ151" s="111"/>
    </row>
    <row r="152" ht="14.2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215"/>
      <c r="O152" s="216"/>
      <c r="P152" s="111"/>
      <c r="Q152" s="111"/>
      <c r="R152" s="111"/>
      <c r="S152" s="111"/>
      <c r="T152" s="111"/>
      <c r="U152" s="111"/>
      <c r="V152" s="111"/>
      <c r="W152" s="111"/>
      <c r="X152" s="111"/>
      <c r="Y152" s="215"/>
      <c r="Z152" s="217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215"/>
      <c r="AK152" s="216"/>
      <c r="AL152" s="111"/>
      <c r="AM152" s="111"/>
      <c r="AN152" s="111"/>
      <c r="AO152" s="111"/>
      <c r="AP152" s="215"/>
      <c r="AQ152" s="217"/>
      <c r="AR152" s="111"/>
      <c r="AS152" s="111"/>
      <c r="AT152" s="111"/>
      <c r="AU152" s="215"/>
      <c r="AV152" s="216"/>
      <c r="AW152" s="111"/>
      <c r="AX152" s="111"/>
      <c r="AY152" s="111"/>
      <c r="AZ152" s="215"/>
      <c r="BA152" s="216"/>
      <c r="BB152" s="111"/>
      <c r="BC152" s="215"/>
      <c r="BD152" s="216"/>
      <c r="BE152" s="111"/>
      <c r="BF152" s="111"/>
      <c r="BG152" s="111"/>
      <c r="BH152" s="111"/>
      <c r="BI152" s="111"/>
      <c r="BJ152" s="111"/>
    </row>
    <row r="153" ht="14.2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215"/>
      <c r="O153" s="216"/>
      <c r="P153" s="111"/>
      <c r="Q153" s="111"/>
      <c r="R153" s="111"/>
      <c r="S153" s="111"/>
      <c r="T153" s="111"/>
      <c r="U153" s="111"/>
      <c r="V153" s="111"/>
      <c r="W153" s="111"/>
      <c r="X153" s="111"/>
      <c r="Y153" s="215"/>
      <c r="Z153" s="217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215"/>
      <c r="AK153" s="216"/>
      <c r="AL153" s="111"/>
      <c r="AM153" s="111"/>
      <c r="AN153" s="111"/>
      <c r="AO153" s="111"/>
      <c r="AP153" s="215"/>
      <c r="AQ153" s="217"/>
      <c r="AR153" s="111"/>
      <c r="AS153" s="111"/>
      <c r="AT153" s="111"/>
      <c r="AU153" s="215"/>
      <c r="AV153" s="216"/>
      <c r="AW153" s="111"/>
      <c r="AX153" s="111"/>
      <c r="AY153" s="111"/>
      <c r="AZ153" s="215"/>
      <c r="BA153" s="216"/>
      <c r="BB153" s="111"/>
      <c r="BC153" s="215"/>
      <c r="BD153" s="216"/>
      <c r="BE153" s="111"/>
      <c r="BF153" s="111"/>
      <c r="BG153" s="111"/>
      <c r="BH153" s="111"/>
      <c r="BI153" s="111"/>
      <c r="BJ153" s="111"/>
    </row>
    <row r="154" ht="14.2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215"/>
      <c r="O154" s="216"/>
      <c r="P154" s="111"/>
      <c r="Q154" s="111"/>
      <c r="R154" s="111"/>
      <c r="S154" s="111"/>
      <c r="T154" s="111"/>
      <c r="U154" s="111"/>
      <c r="V154" s="111"/>
      <c r="W154" s="111"/>
      <c r="X154" s="111"/>
      <c r="Y154" s="215"/>
      <c r="Z154" s="217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215"/>
      <c r="AK154" s="216"/>
      <c r="AL154" s="111"/>
      <c r="AM154" s="111"/>
      <c r="AN154" s="111"/>
      <c r="AO154" s="111"/>
      <c r="AP154" s="215"/>
      <c r="AQ154" s="217"/>
      <c r="AR154" s="111"/>
      <c r="AS154" s="111"/>
      <c r="AT154" s="111"/>
      <c r="AU154" s="215"/>
      <c r="AV154" s="216"/>
      <c r="AW154" s="111"/>
      <c r="AX154" s="111"/>
      <c r="AY154" s="111"/>
      <c r="AZ154" s="215"/>
      <c r="BA154" s="216"/>
      <c r="BB154" s="111"/>
      <c r="BC154" s="215"/>
      <c r="BD154" s="216"/>
      <c r="BE154" s="111"/>
      <c r="BF154" s="111"/>
      <c r="BG154" s="111"/>
      <c r="BH154" s="111"/>
      <c r="BI154" s="111"/>
      <c r="BJ154" s="111"/>
    </row>
    <row r="155" ht="14.2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215"/>
      <c r="O155" s="216"/>
      <c r="P155" s="111"/>
      <c r="Q155" s="111"/>
      <c r="R155" s="111"/>
      <c r="S155" s="111"/>
      <c r="T155" s="111"/>
      <c r="U155" s="111"/>
      <c r="V155" s="111"/>
      <c r="W155" s="111"/>
      <c r="X155" s="111"/>
      <c r="Y155" s="215"/>
      <c r="Z155" s="217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215"/>
      <c r="AK155" s="216"/>
      <c r="AL155" s="111"/>
      <c r="AM155" s="111"/>
      <c r="AN155" s="111"/>
      <c r="AO155" s="111"/>
      <c r="AP155" s="215"/>
      <c r="AQ155" s="217"/>
      <c r="AR155" s="111"/>
      <c r="AS155" s="111"/>
      <c r="AT155" s="111"/>
      <c r="AU155" s="215"/>
      <c r="AV155" s="216"/>
      <c r="AW155" s="111"/>
      <c r="AX155" s="111"/>
      <c r="AY155" s="111"/>
      <c r="AZ155" s="215"/>
      <c r="BA155" s="216"/>
      <c r="BB155" s="111"/>
      <c r="BC155" s="215"/>
      <c r="BD155" s="216"/>
      <c r="BE155" s="111"/>
      <c r="BF155" s="111"/>
      <c r="BG155" s="111"/>
      <c r="BH155" s="111"/>
      <c r="BI155" s="111"/>
      <c r="BJ155" s="111"/>
    </row>
    <row r="156" ht="14.2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215"/>
      <c r="O156" s="216"/>
      <c r="P156" s="111"/>
      <c r="Q156" s="111"/>
      <c r="R156" s="111"/>
      <c r="S156" s="111"/>
      <c r="T156" s="111"/>
      <c r="U156" s="111"/>
      <c r="V156" s="111"/>
      <c r="W156" s="111"/>
      <c r="X156" s="111"/>
      <c r="Y156" s="215"/>
      <c r="Z156" s="217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215"/>
      <c r="AK156" s="216"/>
      <c r="AL156" s="111"/>
      <c r="AM156" s="111"/>
      <c r="AN156" s="111"/>
      <c r="AO156" s="111"/>
      <c r="AP156" s="215"/>
      <c r="AQ156" s="217"/>
      <c r="AR156" s="111"/>
      <c r="AS156" s="111"/>
      <c r="AT156" s="111"/>
      <c r="AU156" s="215"/>
      <c r="AV156" s="216"/>
      <c r="AW156" s="111"/>
      <c r="AX156" s="111"/>
      <c r="AY156" s="111"/>
      <c r="AZ156" s="215"/>
      <c r="BA156" s="216"/>
      <c r="BB156" s="111"/>
      <c r="BC156" s="215"/>
      <c r="BD156" s="216"/>
      <c r="BE156" s="111"/>
      <c r="BF156" s="111"/>
      <c r="BG156" s="111"/>
      <c r="BH156" s="111"/>
      <c r="BI156" s="111"/>
      <c r="BJ156" s="111"/>
    </row>
    <row r="157" ht="14.2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215"/>
      <c r="O157" s="216"/>
      <c r="P157" s="111"/>
      <c r="Q157" s="111"/>
      <c r="R157" s="111"/>
      <c r="S157" s="111"/>
      <c r="T157" s="111"/>
      <c r="U157" s="111"/>
      <c r="V157" s="111"/>
      <c r="W157" s="111"/>
      <c r="X157" s="111"/>
      <c r="Y157" s="215"/>
      <c r="Z157" s="217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215"/>
      <c r="AK157" s="216"/>
      <c r="AL157" s="111"/>
      <c r="AM157" s="111"/>
      <c r="AN157" s="111"/>
      <c r="AO157" s="111"/>
      <c r="AP157" s="215"/>
      <c r="AQ157" s="217"/>
      <c r="AR157" s="111"/>
      <c r="AS157" s="111"/>
      <c r="AT157" s="111"/>
      <c r="AU157" s="215"/>
      <c r="AV157" s="216"/>
      <c r="AW157" s="111"/>
      <c r="AX157" s="111"/>
      <c r="AY157" s="111"/>
      <c r="AZ157" s="215"/>
      <c r="BA157" s="216"/>
      <c r="BB157" s="111"/>
      <c r="BC157" s="215"/>
      <c r="BD157" s="216"/>
      <c r="BE157" s="111"/>
      <c r="BF157" s="111"/>
      <c r="BG157" s="111"/>
      <c r="BH157" s="111"/>
      <c r="BI157" s="111"/>
      <c r="BJ157" s="111"/>
    </row>
  </sheetData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  <hyperlink r:id="rId56" ref="I54"/>
    <hyperlink r:id="rId57" ref="I55"/>
    <hyperlink r:id="rId58" ref="I56"/>
    <hyperlink r:id="rId59" ref="I57"/>
  </hyperlinks>
  <drawing r:id="rId60"/>
  <legacyDrawing r:id="rId61"/>
  <tableParts count="1">
    <tablePart r:id="rId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5.25"/>
    <col customWidth="1" min="3" max="3" width="4.5"/>
    <col customWidth="1" min="4" max="4" width="19.13"/>
    <col customWidth="1" min="6" max="6" width="5.0"/>
  </cols>
  <sheetData>
    <row r="1">
      <c r="A1" s="5"/>
      <c r="B1" s="5"/>
      <c r="C1" s="6" t="s">
        <v>39</v>
      </c>
      <c r="E1" s="7" t="str">
        <f>"03"</f>
        <v>03</v>
      </c>
      <c r="F1" s="8"/>
      <c r="G1" s="8"/>
      <c r="H1" s="8"/>
      <c r="I1" s="8"/>
      <c r="J1" s="8"/>
      <c r="K1" s="8"/>
      <c r="L1" s="8"/>
    </row>
    <row r="2">
      <c r="A2" s="5"/>
      <c r="B2" s="5"/>
      <c r="C2" s="6" t="s">
        <v>40</v>
      </c>
      <c r="E2" s="7" t="s">
        <v>41</v>
      </c>
      <c r="F2" s="8"/>
      <c r="G2" s="8"/>
      <c r="H2" s="8"/>
      <c r="I2" s="8"/>
      <c r="J2" s="8"/>
      <c r="K2" s="8"/>
      <c r="L2" s="8"/>
    </row>
    <row r="3">
      <c r="A3" s="5"/>
      <c r="B3" s="5"/>
      <c r="C3" s="6" t="s">
        <v>42</v>
      </c>
      <c r="E3" s="9"/>
      <c r="F3" s="7">
        <v>93.0</v>
      </c>
      <c r="G3" s="7" t="s">
        <v>43</v>
      </c>
      <c r="H3" s="8"/>
      <c r="I3" s="8"/>
      <c r="J3" s="8"/>
      <c r="K3" s="8"/>
      <c r="L3" s="8"/>
    </row>
    <row r="4">
      <c r="A4" s="5"/>
      <c r="B4" s="5"/>
      <c r="C4" s="6" t="s">
        <v>44</v>
      </c>
      <c r="E4" s="10" t="str">
        <f>'Form responses 1'!$H$112</f>
        <v/>
      </c>
      <c r="G4" s="7" t="s">
        <v>45</v>
      </c>
      <c r="H4" s="8"/>
      <c r="I4" s="8"/>
      <c r="J4" s="8"/>
      <c r="K4" s="8"/>
      <c r="L4" s="8"/>
    </row>
    <row r="5">
      <c r="A5" s="5"/>
      <c r="B5" s="11"/>
      <c r="C5" s="11"/>
      <c r="D5" s="12"/>
      <c r="E5" s="13" t="s">
        <v>43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51</v>
      </c>
      <c r="L5" s="13" t="s">
        <v>52</v>
      </c>
    </row>
    <row r="6">
      <c r="A6" s="5"/>
      <c r="B6" s="11"/>
      <c r="C6" s="11"/>
      <c r="D6" s="13" t="s">
        <v>53</v>
      </c>
      <c r="E6" s="13" t="s">
        <v>54</v>
      </c>
      <c r="F6" s="13" t="s">
        <v>55</v>
      </c>
      <c r="G6" s="13" t="s">
        <v>56</v>
      </c>
      <c r="H6" s="12"/>
      <c r="I6" s="13" t="s">
        <v>57</v>
      </c>
      <c r="J6" s="12"/>
      <c r="K6" s="13" t="s">
        <v>57</v>
      </c>
      <c r="L6" s="12"/>
    </row>
    <row r="7">
      <c r="A7" s="14"/>
      <c r="B7" s="15" t="s">
        <v>58</v>
      </c>
      <c r="C7" s="16" t="s">
        <v>59</v>
      </c>
      <c r="D7" s="17" t="s">
        <v>60</v>
      </c>
      <c r="E7" s="18">
        <f>COUNTIF('Form responses 1'!J2:J94,D7)</f>
        <v>45</v>
      </c>
      <c r="F7" s="19"/>
      <c r="G7" s="19" t="s">
        <v>61</v>
      </c>
      <c r="H7" s="20" t="s">
        <v>61</v>
      </c>
      <c r="I7" s="20" t="s">
        <v>61</v>
      </c>
      <c r="J7" s="20" t="s">
        <v>61</v>
      </c>
      <c r="K7" s="21">
        <v>0.0</v>
      </c>
      <c r="L7" s="19"/>
    </row>
    <row r="8">
      <c r="A8" s="14"/>
      <c r="B8" s="22"/>
      <c r="C8" s="23"/>
      <c r="D8" s="24" t="s">
        <v>62</v>
      </c>
      <c r="E8" s="25">
        <f>COUNTIF('Form responses 1'!J2:J94,D8)</f>
        <v>11</v>
      </c>
      <c r="F8" s="19"/>
      <c r="G8" s="19"/>
      <c r="H8" s="19"/>
      <c r="I8" s="19"/>
      <c r="J8" s="19"/>
      <c r="K8" s="26" t="str">
        <f t="shared" ref="K8:K9" si="1">G8*AVERAGE(I8,J8)</f>
        <v>#DIV/0!</v>
      </c>
      <c r="L8" s="19"/>
    </row>
    <row r="9">
      <c r="A9" s="14"/>
      <c r="B9" s="22"/>
      <c r="C9" s="27"/>
      <c r="D9" s="28" t="s">
        <v>63</v>
      </c>
      <c r="E9" s="29">
        <f>COUNTIF('Form responses 1'!J2:J94,D9)</f>
        <v>0</v>
      </c>
      <c r="F9" s="30"/>
      <c r="G9" s="30"/>
      <c r="H9" s="30"/>
      <c r="I9" s="30"/>
      <c r="J9" s="30"/>
      <c r="K9" s="31" t="str">
        <f t="shared" si="1"/>
        <v>#DIV/0!</v>
      </c>
      <c r="L9" s="30"/>
    </row>
    <row r="10">
      <c r="A10" s="14"/>
      <c r="B10" s="22"/>
      <c r="C10" s="32" t="s">
        <v>64</v>
      </c>
      <c r="D10" s="33" t="s">
        <v>65</v>
      </c>
      <c r="E10" s="34">
        <f>COUNTIF('Form responses 1'!$K$2:$K$94,D10)</f>
        <v>2</v>
      </c>
      <c r="F10" s="20"/>
      <c r="G10" s="35">
        <f t="array" ref="G10">SUM(IF('Form responses 1'!$K$2:$K$94 = D10,'Form responses 1'!$H$2:$H$94*'Form responses 1'!$M$2:$M$94, ""))</f>
        <v>7110</v>
      </c>
      <c r="H10" s="20" t="s">
        <v>61</v>
      </c>
      <c r="I10" s="20" t="s">
        <v>61</v>
      </c>
      <c r="J10" s="20" t="s">
        <v>61</v>
      </c>
      <c r="K10" s="21">
        <v>0.0</v>
      </c>
      <c r="L10" s="20"/>
    </row>
    <row r="11">
      <c r="A11" s="14"/>
      <c r="B11" s="22"/>
      <c r="C11" s="22"/>
      <c r="D11" s="40" t="s">
        <v>66</v>
      </c>
      <c r="E11" s="41">
        <f>COUNTIF('Form responses 1'!$K$2:$K$94,D11)</f>
        <v>1</v>
      </c>
      <c r="F11" s="19"/>
      <c r="G11" s="21">
        <f t="array" ref="G11">SUM(IF('Form responses 1'!$K$2:$K$94 = D11,'Form responses 1'!$H$2:$H$94*'Form responses 1'!$M$2:$M$94, ""))</f>
        <v>2100</v>
      </c>
      <c r="H11" s="20" t="s">
        <v>61</v>
      </c>
      <c r="I11" s="20" t="s">
        <v>61</v>
      </c>
      <c r="J11" s="20" t="s">
        <v>61</v>
      </c>
      <c r="K11" s="21">
        <v>0.0</v>
      </c>
      <c r="L11" s="19"/>
    </row>
    <row r="12">
      <c r="A12" s="14"/>
      <c r="B12" s="22"/>
      <c r="C12" s="42"/>
      <c r="D12" s="43" t="s">
        <v>89</v>
      </c>
      <c r="E12" s="41">
        <f>COUNTIF('Form responses 1'!$K$2:$K$94,D12)</f>
        <v>53</v>
      </c>
      <c r="F12" s="19"/>
      <c r="G12" s="21">
        <f t="array" ref="G12">SUM(IF('Form responses 1'!$K$2:$K$94 = D12,'Form responses 1'!$H$2:$H$94*'Form responses 1'!$M$2:$M$94, ""))</f>
        <v>25252</v>
      </c>
      <c r="H12" s="20" t="s">
        <v>61</v>
      </c>
      <c r="I12" s="20" t="s">
        <v>61</v>
      </c>
      <c r="J12" s="20" t="s">
        <v>61</v>
      </c>
      <c r="K12" s="21">
        <v>0.0</v>
      </c>
      <c r="L12" s="19"/>
    </row>
    <row r="13">
      <c r="A13" s="14"/>
      <c r="B13" s="22"/>
      <c r="C13" s="46"/>
      <c r="D13" s="47" t="s">
        <v>91</v>
      </c>
      <c r="E13" s="48">
        <f>COUNTIF('Form responses 1'!$K$2:$K$94,D13)</f>
        <v>0</v>
      </c>
      <c r="F13" s="30"/>
      <c r="G13" s="49">
        <f t="array" ref="G13">SUM(IF('Form responses 1'!$K$2:$K$94 = D13,'Form responses 1'!$H$2:$H$94*'Form responses 1'!$M$2:$M$94, ""))</f>
        <v>0</v>
      </c>
      <c r="H13" s="30" t="s">
        <v>61</v>
      </c>
      <c r="I13" s="30" t="s">
        <v>61</v>
      </c>
      <c r="J13" s="30" t="s">
        <v>61</v>
      </c>
      <c r="K13" s="49">
        <v>0.0</v>
      </c>
      <c r="L13" s="30"/>
    </row>
    <row r="14">
      <c r="A14" s="14"/>
      <c r="B14" s="22"/>
      <c r="C14" s="53" t="s">
        <v>64</v>
      </c>
      <c r="D14" s="55" t="s">
        <v>93</v>
      </c>
      <c r="E14" s="34">
        <f>COUNTIF('Form responses 1'!$L$2:$L$94,D14)</f>
        <v>55</v>
      </c>
      <c r="F14" s="20"/>
      <c r="G14" s="35">
        <f t="array" ref="G14">SUM(IF('Form responses 1'!$L$2:$L$94 = D14,'Form responses 1'!$H$2:$H$94*'Form responses 1'!$M$2:$M$94, ""))</f>
        <v>34252</v>
      </c>
      <c r="H14" s="20"/>
      <c r="I14" s="20"/>
      <c r="J14" s="20"/>
      <c r="K14" s="61" t="str">
        <f t="shared" ref="K14:K78" si="2">G14*AVERAGE(I14,J14)</f>
        <v>#DIV/0!</v>
      </c>
      <c r="L14" s="20"/>
    </row>
    <row r="15">
      <c r="A15" s="14"/>
      <c r="B15" s="22"/>
      <c r="C15" s="22"/>
      <c r="D15" s="63" t="s">
        <v>100</v>
      </c>
      <c r="E15" s="41">
        <f>COUNTIF('Form responses 1'!$L$2:$L$94,D15)</f>
        <v>0</v>
      </c>
      <c r="F15" s="19"/>
      <c r="G15" s="21">
        <f t="array" ref="G15">SUM(IF('Form responses 1'!$L$2:$L$94 = D15,'Form responses 1'!$H$2:$H$94*'Form responses 1'!$M$2:$M$94, ""))</f>
        <v>0</v>
      </c>
      <c r="H15" s="68" t="s">
        <v>110</v>
      </c>
      <c r="I15" s="69">
        <v>3500.0</v>
      </c>
      <c r="J15" s="68"/>
      <c r="K15" s="69">
        <f t="shared" si="2"/>
        <v>0</v>
      </c>
      <c r="L15" s="68"/>
    </row>
    <row r="16">
      <c r="A16" s="14"/>
      <c r="B16" s="22"/>
      <c r="C16" s="22"/>
      <c r="D16" s="40" t="s">
        <v>113</v>
      </c>
      <c r="E16" s="41">
        <f>COUNTIF('Form responses 1'!$L$2:$L$94,D16)</f>
        <v>0</v>
      </c>
      <c r="F16" s="19"/>
      <c r="G16" s="21">
        <f t="array" ref="G16">SUM(IF('Form responses 1'!$L$2:$L$94 = D16,'Form responses 1'!$H$2:$H$94*'Form responses 1'!$M$2:$M$94, ""))</f>
        <v>0</v>
      </c>
      <c r="H16" s="68" t="s">
        <v>110</v>
      </c>
      <c r="I16" s="69">
        <v>3500.0</v>
      </c>
      <c r="J16" s="68"/>
      <c r="K16" s="69">
        <f t="shared" si="2"/>
        <v>0</v>
      </c>
      <c r="L16" s="68"/>
    </row>
    <row r="17">
      <c r="A17" s="14"/>
      <c r="B17" s="22"/>
      <c r="C17" s="22"/>
      <c r="D17" s="76" t="s">
        <v>121</v>
      </c>
      <c r="E17" s="41">
        <f>COUNTIF('Form responses 1'!$L$2:$L$94,D17)</f>
        <v>0</v>
      </c>
      <c r="F17" s="19"/>
      <c r="G17" s="21">
        <f t="array" ref="G17">SUM(IF('Form responses 1'!$L$2:$L$94 = D17,'Form responses 1'!$H$2:$H$94*'Form responses 1'!$M$2:$M$94, ""))</f>
        <v>0</v>
      </c>
      <c r="H17" s="19"/>
      <c r="I17" s="19"/>
      <c r="J17" s="19"/>
      <c r="K17" s="26" t="str">
        <f t="shared" si="2"/>
        <v>#DIV/0!</v>
      </c>
      <c r="L17" s="19"/>
    </row>
    <row r="18">
      <c r="A18" s="14"/>
      <c r="B18" s="77"/>
      <c r="C18" s="77"/>
      <c r="D18" s="78" t="s">
        <v>126</v>
      </c>
      <c r="E18" s="79">
        <f>COUNTIF('Form responses 1'!$L$2:$L$94,D18)</f>
        <v>0</v>
      </c>
      <c r="F18" s="80"/>
      <c r="G18" s="81">
        <f t="array" ref="G18">SUM(IF('Form responses 1'!$L$2:$L$94 = D18,'Form responses 1'!$H$2:$H$94*'Form responses 1'!$M$2:$M$94, ""))</f>
        <v>0</v>
      </c>
      <c r="H18" s="80"/>
      <c r="I18" s="80"/>
      <c r="J18" s="80"/>
      <c r="K18" s="82" t="str">
        <f t="shared" si="2"/>
        <v>#DIV/0!</v>
      </c>
      <c r="L18" s="80"/>
    </row>
    <row r="19">
      <c r="A19" s="14"/>
      <c r="B19" s="83" t="s">
        <v>127</v>
      </c>
      <c r="C19" s="84" t="s">
        <v>128</v>
      </c>
      <c r="D19" s="85" t="s">
        <v>129</v>
      </c>
      <c r="E19" s="86">
        <f>COUNTIF('Form responses 1'!$P$2:$P$94,D19)+COUNTIF('Form responses 1'!$AA$2:$AA$94,D19)</f>
        <v>23</v>
      </c>
      <c r="F19" s="87"/>
      <c r="G19" s="91">
        <f>SUMPRODUCT(('Form responses 1'!$P$2:$P$94=D19)*'Form responses 1'!$H$2:$H$94*N('Form responses 1'!$Q$2:$Q$94))+SUMPRODUCT(('Form responses 1'!$AA$2:$AA$94=D19)*'Form responses 1'!$H$2:$H$94*N('Form responses 1'!$AB$2:$AB$94))</f>
        <v>5415.5</v>
      </c>
      <c r="H19" s="87"/>
      <c r="I19" s="87"/>
      <c r="J19" s="87"/>
      <c r="K19" s="26" t="str">
        <f t="shared" si="2"/>
        <v>#DIV/0!</v>
      </c>
      <c r="L19" s="87"/>
    </row>
    <row r="20">
      <c r="A20" s="14"/>
      <c r="B20" s="22"/>
      <c r="C20" s="42"/>
      <c r="D20" s="94" t="s">
        <v>132</v>
      </c>
      <c r="E20" s="18">
        <f>COUNTIF('Form responses 1'!$P$2:$P$94,D20)+COUNTIF('Form responses 1'!$AA$2:$AA$94,D20)</f>
        <v>0</v>
      </c>
      <c r="F20" s="19"/>
      <c r="G20" s="21">
        <f>SUMPRODUCT(('Form responses 1'!$P$2:$P$94=D20)*'Form responses 1'!$H$2:$H$94*N('Form responses 1'!$Q$2:$Q$94))+SUMPRODUCT(('Form responses 1'!$AA$2:$AA$94=D20)*'Form responses 1'!$H$2:$H$94*N('Form responses 1'!$AB$2:$AB$94))</f>
        <v>0</v>
      </c>
      <c r="H20" s="19"/>
      <c r="I20" s="21">
        <v>1200.0</v>
      </c>
      <c r="J20" s="21">
        <v>1500.0</v>
      </c>
      <c r="K20" s="21">
        <f t="shared" si="2"/>
        <v>0</v>
      </c>
      <c r="L20" s="19"/>
    </row>
    <row r="21">
      <c r="A21" s="14"/>
      <c r="B21" s="22"/>
      <c r="C21" s="23"/>
      <c r="D21" s="97" t="s">
        <v>135</v>
      </c>
      <c r="E21" s="18">
        <f>COUNTIF('Form responses 1'!$P$2:$P$94,D21)+COUNTIF('Form responses 1'!$AA$2:$AA$94,D21)</f>
        <v>0</v>
      </c>
      <c r="F21" s="19"/>
      <c r="G21" s="21">
        <f>SUMPRODUCT(('Form responses 1'!$P$2:$P$94=D21)*'Form responses 1'!$H$2:$H$94*N('Form responses 1'!$Q$2:$Q$94))+SUMPRODUCT(('Form responses 1'!$AA$2:$AA$94=D21)*'Form responses 1'!$H$2:$H$94*N('Form responses 1'!$AB$2:$AB$94))</f>
        <v>0</v>
      </c>
      <c r="H21" s="19"/>
      <c r="I21" s="19"/>
      <c r="J21" s="19"/>
      <c r="K21" s="26" t="str">
        <f t="shared" si="2"/>
        <v>#DIV/0!</v>
      </c>
      <c r="L21" s="19"/>
    </row>
    <row r="22">
      <c r="A22" s="14"/>
      <c r="B22" s="22"/>
      <c r="C22" s="42"/>
      <c r="D22" s="100" t="s">
        <v>137</v>
      </c>
      <c r="E22" s="18">
        <f>COUNTIF('Form responses 1'!$P$2:$P$94,D22)+COUNTIF('Form responses 1'!$AA$2:$AA$94,D22)</f>
        <v>0</v>
      </c>
      <c r="F22" s="19"/>
      <c r="G22" s="21">
        <f>SUMPRODUCT(('Form responses 1'!$P$2:$P$94=D22)*'Form responses 1'!$H$2:$H$94*N('Form responses 1'!$Q$2:$Q$94))+SUMPRODUCT(('Form responses 1'!$AA$2:$AA$94=D22)*'Form responses 1'!$H$2:$H$94*N('Form responses 1'!$AB$2:$AB$94))</f>
        <v>0</v>
      </c>
      <c r="H22" s="19"/>
      <c r="I22" s="19"/>
      <c r="J22" s="19"/>
      <c r="K22" s="26" t="str">
        <f t="shared" si="2"/>
        <v>#DIV/0!</v>
      </c>
      <c r="L22" s="19"/>
    </row>
    <row r="23">
      <c r="A23" s="14"/>
      <c r="B23" s="22"/>
      <c r="C23" s="23"/>
      <c r="D23" s="100" t="s">
        <v>140</v>
      </c>
      <c r="E23" s="18">
        <f>COUNTIF('Form responses 1'!$P$2:$P$94,D23)+COUNTIF('Form responses 1'!$AA$2:$AA$94,D23)</f>
        <v>0</v>
      </c>
      <c r="F23" s="19"/>
      <c r="G23" s="21">
        <f>SUMPRODUCT(('Form responses 1'!$P$2:$P$94=D23)*'Form responses 1'!$H$2:$H$94*N('Form responses 1'!$Q$2:$Q$94))+SUMPRODUCT(('Form responses 1'!$AA$2:$AA$94=D23)*'Form responses 1'!$H$2:$H$94*N('Form responses 1'!$AB$2:$AB$94))</f>
        <v>0</v>
      </c>
      <c r="H23" s="19"/>
      <c r="I23" s="19"/>
      <c r="J23" s="19"/>
      <c r="K23" s="26" t="str">
        <f t="shared" si="2"/>
        <v>#DIV/0!</v>
      </c>
      <c r="L23" s="19"/>
    </row>
    <row r="24">
      <c r="A24" s="14"/>
      <c r="B24" s="22"/>
      <c r="C24" s="23"/>
      <c r="D24" s="109" t="s">
        <v>141</v>
      </c>
      <c r="E24" s="18">
        <f>COUNTIF('Form responses 1'!$P$2:$P$94,D24)+COUNTIF('Form responses 1'!$AA$2:$AA$94,D24)</f>
        <v>0</v>
      </c>
      <c r="F24" s="19"/>
      <c r="G24" s="21">
        <f>SUMPRODUCT(('Form responses 1'!$P$2:$P$94=D24)*'Form responses 1'!$H$2:$H$94*N('Form responses 1'!$Q$2:$Q$94))+SUMPRODUCT(('Form responses 1'!$AA$2:$AA$94=D24)*'Form responses 1'!$H$2:$H$94*N('Form responses 1'!$AB$2:$AB$94))</f>
        <v>0</v>
      </c>
      <c r="H24" s="19"/>
      <c r="I24" s="19"/>
      <c r="J24" s="19"/>
      <c r="K24" s="26" t="str">
        <f t="shared" si="2"/>
        <v>#DIV/0!</v>
      </c>
      <c r="L24" s="19"/>
    </row>
    <row r="25">
      <c r="A25" s="14"/>
      <c r="B25" s="22"/>
      <c r="C25" s="42"/>
      <c r="D25" s="121" t="s">
        <v>162</v>
      </c>
      <c r="E25" s="41">
        <f>COUNTIF('Form responses 1'!$P$2:$P$94,D25)+COUNTIF('Form responses 1'!$AA$2:$AA$94,D25)</f>
        <v>0</v>
      </c>
      <c r="F25" s="19"/>
      <c r="G25" s="21">
        <f>SUMPRODUCT(('Form responses 1'!$P$2:$P$94=D25)*'Form responses 1'!$H$2:$H$94*N('Form responses 1'!$Q$2:$Q$94))+SUMPRODUCT(('Form responses 1'!$AA$2:$AA$94=D25)*'Form responses 1'!$H$2:$H$94*N('Form responses 1'!$AB$2:$AB$94))</f>
        <v>0</v>
      </c>
      <c r="H25" s="19"/>
      <c r="I25" s="19"/>
      <c r="J25" s="19"/>
      <c r="K25" s="26" t="str">
        <f t="shared" si="2"/>
        <v>#DIV/0!</v>
      </c>
      <c r="L25" s="19"/>
    </row>
    <row r="26">
      <c r="A26" s="14"/>
      <c r="B26" s="22"/>
      <c r="C26" s="23"/>
      <c r="D26" s="122" t="s">
        <v>164</v>
      </c>
      <c r="E26" s="41">
        <f>COUNTIF('Form responses 1'!$P$2:$P$94,D26)+COUNTIF('Form responses 1'!$AA$2:$AA$94,D26)</f>
        <v>0</v>
      </c>
      <c r="F26" s="19"/>
      <c r="G26" s="21">
        <f>SUMPRODUCT(('Form responses 1'!$P$2:$P$94=D26)*'Form responses 1'!$H$2:$H$94*N('Form responses 1'!$Q$2:$Q$94))+SUMPRODUCT(('Form responses 1'!$AA$2:$AA$94=D26)*'Form responses 1'!$H$2:$H$94*N('Form responses 1'!$AB$2:$AB$94))</f>
        <v>0</v>
      </c>
      <c r="H26" s="19"/>
      <c r="I26" s="19"/>
      <c r="J26" s="19"/>
      <c r="K26" s="26" t="str">
        <f t="shared" si="2"/>
        <v>#DIV/0!</v>
      </c>
      <c r="L26" s="19"/>
    </row>
    <row r="27">
      <c r="A27" s="14"/>
      <c r="B27" s="22"/>
      <c r="C27" s="42"/>
      <c r="D27" s="123" t="s">
        <v>164</v>
      </c>
      <c r="E27" s="41">
        <f>COUNTIF('Form responses 1'!$P$2:$P$94,D27)+COUNTIF('Form responses 1'!$AA$2:$AA$94,D27)</f>
        <v>0</v>
      </c>
      <c r="F27" s="19"/>
      <c r="G27" s="21">
        <f>SUMPRODUCT(('Form responses 1'!$P$2:$P$94=D27)*'Form responses 1'!$H$2:$H$94*N('Form responses 1'!$Q$2:$Q$94))+SUMPRODUCT(('Form responses 1'!$AA$2:$AA$94=D27)*'Form responses 1'!$H$2:$H$94*N('Form responses 1'!$AB$2:$AB$94))</f>
        <v>0</v>
      </c>
      <c r="H27" s="19"/>
      <c r="I27" s="19"/>
      <c r="J27" s="19"/>
      <c r="K27" s="26" t="str">
        <f t="shared" si="2"/>
        <v>#DIV/0!</v>
      </c>
      <c r="L27" s="19"/>
    </row>
    <row r="28">
      <c r="A28" s="14"/>
      <c r="B28" s="22"/>
      <c r="C28" s="46"/>
      <c r="D28" s="124" t="s">
        <v>166</v>
      </c>
      <c r="E28" s="48">
        <f>COUNTIF('Form responses 1'!$P$2:$P$94,D28)+COUNTIF('Form responses 1'!$AA$2:$AA$94,D28)</f>
        <v>0</v>
      </c>
      <c r="F28" s="30"/>
      <c r="G28" s="49">
        <f>SUMPRODUCT(('Form responses 1'!$P$2:$P$94=D28)*'Form responses 1'!$H$2:$H$94*N('Form responses 1'!$Q$2:$Q$94))+SUMPRODUCT(('Form responses 1'!$AA$2:$AA$94=D28)*'Form responses 1'!$H$2:$H$94*N('Form responses 1'!$AB$2:$AB$94))</f>
        <v>0</v>
      </c>
      <c r="H28" s="30"/>
      <c r="I28" s="30"/>
      <c r="J28" s="30"/>
      <c r="K28" s="31" t="str">
        <f t="shared" si="2"/>
        <v>#DIV/0!</v>
      </c>
      <c r="L28" s="30"/>
    </row>
    <row r="29">
      <c r="A29" s="14"/>
      <c r="B29" s="22"/>
      <c r="C29" s="125" t="s">
        <v>119</v>
      </c>
      <c r="D29" s="126" t="s">
        <v>154</v>
      </c>
      <c r="E29" s="130">
        <f>COUNTIF('Form responses 1'!$S$2:$S$94,D29)+COUNTIF('Form responses 1'!$AD$2:$AD$94,D29)</f>
        <v>6</v>
      </c>
      <c r="F29" s="20"/>
      <c r="G29" s="35">
        <f>SUMPRODUCT(('Form responses 1'!$S$2:$S$94=D29)*'Form responses 1'!$H$2:$H$94*N('Form responses 1'!$Q$2:$Q$94))+SUMPRODUCT(('Form responses 1'!$AD$2:$AD$94=D29)*'Form responses 1'!$H$2:$H$94*N('Form responses 1'!$AB$2:$AB$94))</f>
        <v>1804</v>
      </c>
      <c r="H29" s="20"/>
      <c r="I29" s="20"/>
      <c r="J29" s="20"/>
      <c r="K29" s="61" t="str">
        <f t="shared" si="2"/>
        <v>#DIV/0!</v>
      </c>
      <c r="L29" s="20"/>
    </row>
    <row r="30">
      <c r="A30" s="14"/>
      <c r="B30" s="22"/>
      <c r="C30" s="22"/>
      <c r="D30" s="131" t="s">
        <v>155</v>
      </c>
      <c r="E30" s="132">
        <f>COUNTIF('Form responses 1'!$S$2:$S$94,D30)+COUNTIF('Form responses 1'!$AD$2:$AD$94,D30)</f>
        <v>24</v>
      </c>
      <c r="F30" s="19"/>
      <c r="G30" s="21">
        <f>SUMPRODUCT(('Form responses 1'!$S$2:$S$94=D30)*'Form responses 1'!$H$2:$H$94*N('Form responses 1'!$Q$2:$Q$94))+SUMPRODUCT(('Form responses 1'!$AD$2:$AD$94=D30)*'Form responses 1'!$H$2:$H$94*N('Form responses 1'!$AB$2:$AB$94))</f>
        <v>1087.5</v>
      </c>
      <c r="H30" s="19"/>
      <c r="I30" s="19"/>
      <c r="J30" s="19"/>
      <c r="K30" s="26" t="str">
        <f t="shared" si="2"/>
        <v>#DIV/0!</v>
      </c>
      <c r="L30" s="19"/>
    </row>
    <row r="31">
      <c r="A31" s="14"/>
      <c r="B31" s="22"/>
      <c r="C31" s="22"/>
      <c r="D31" s="133" t="s">
        <v>167</v>
      </c>
      <c r="E31" s="134">
        <f>COUNTIF('Form responses 1'!$S$2:$S$94,D31)+COUNTIF('Form responses 1'!$AD$2:$AD$94,D31)</f>
        <v>2</v>
      </c>
      <c r="F31" s="19"/>
      <c r="G31" s="21">
        <f>SUMPRODUCT(('Form responses 1'!$S$2:$S$94=D31)*'Form responses 1'!$H$2:$H$94*N('Form responses 1'!$Q$2:$Q$94))+SUMPRODUCT(('Form responses 1'!$AD$2:$AD$94=D31)*'Form responses 1'!$H$2:$H$94*N('Form responses 1'!$AB$2:$AB$94))</f>
        <v>465</v>
      </c>
      <c r="H31" s="19"/>
      <c r="I31" s="19"/>
      <c r="J31" s="19"/>
      <c r="K31" s="26" t="str">
        <f t="shared" si="2"/>
        <v>#DIV/0!</v>
      </c>
      <c r="L31" s="19"/>
    </row>
    <row r="32">
      <c r="A32" s="14"/>
      <c r="B32" s="22"/>
      <c r="C32" s="22"/>
      <c r="D32" s="135" t="s">
        <v>171</v>
      </c>
      <c r="E32" s="136">
        <f>COUNTIF('Form responses 1'!$S$2:$S$94,D32)+COUNTIF('Form responses 1'!$AD$2:$AD$94,D32)</f>
        <v>1</v>
      </c>
      <c r="F32" s="19"/>
      <c r="G32" s="21">
        <f>SUMPRODUCT(('Form responses 1'!$S$2:$S$94=D32)*'Form responses 1'!$H$2:$H$94*N('Form responses 1'!$Q$2:$Q$94))+SUMPRODUCT(('Form responses 1'!$AD$2:$AD$94=D32)*'Form responses 1'!$H$2:$H$94*N('Form responses 1'!$AB$2:$AB$94))</f>
        <v>540</v>
      </c>
      <c r="H32" s="19"/>
      <c r="I32" s="19"/>
      <c r="J32" s="19"/>
      <c r="K32" s="26" t="str">
        <f t="shared" si="2"/>
        <v>#DIV/0!</v>
      </c>
      <c r="L32" s="19"/>
    </row>
    <row r="33">
      <c r="A33" s="14"/>
      <c r="B33" s="22"/>
      <c r="C33" s="22"/>
      <c r="D33" s="137" t="s">
        <v>131</v>
      </c>
      <c r="E33" s="138">
        <f>COUNTIF('Form responses 1'!$S$2:$S$94,D33)+COUNTIF('Form responses 1'!$AD$2:$AD$94,D33)</f>
        <v>5</v>
      </c>
      <c r="F33" s="19"/>
      <c r="G33" s="21">
        <f>SUMPRODUCT(('Form responses 1'!$S$2:$S$94=D33)*'Form responses 1'!$H$2:$H$94*N('Form responses 1'!$Q$2:$Q$94))+SUMPRODUCT(('Form responses 1'!$AD$2:$AD$94=D33)*'Form responses 1'!$H$2:$H$94*N('Form responses 1'!$AB$2:$AB$94))</f>
        <v>3954</v>
      </c>
      <c r="H33" s="19"/>
      <c r="I33" s="19"/>
      <c r="J33" s="19"/>
      <c r="K33" s="26" t="str">
        <f t="shared" si="2"/>
        <v>#DIV/0!</v>
      </c>
      <c r="L33" s="19"/>
    </row>
    <row r="34">
      <c r="A34" s="14"/>
      <c r="B34" s="77"/>
      <c r="C34" s="46"/>
      <c r="D34" s="139" t="s">
        <v>166</v>
      </c>
      <c r="E34" s="140">
        <f>COUNTIF('Form responses 1'!$S$2:$S$94,D34)+COUNTIF('Form responses 1'!$AD$2:$AD$94,D34)</f>
        <v>0</v>
      </c>
      <c r="F34" s="80"/>
      <c r="G34" s="81">
        <f>SUMPRODUCT(('Form responses 1'!$S$2:$S$94=D34)*'Form responses 1'!$H$2:$H$94*N('Form responses 1'!$Q$2:$Q$94))+SUMPRODUCT(('Form responses 1'!$AD$2:$AD$94=D34)*'Form responses 1'!$H$2:$H$94*N('Form responses 1'!$AB$2:$AB$94))</f>
        <v>0</v>
      </c>
      <c r="H34" s="80"/>
      <c r="I34" s="80"/>
      <c r="J34" s="80"/>
      <c r="K34" s="82" t="str">
        <f t="shared" si="2"/>
        <v>#DIV/0!</v>
      </c>
      <c r="L34" s="80"/>
    </row>
    <row r="35">
      <c r="A35" s="14"/>
      <c r="B35" s="83" t="s">
        <v>172</v>
      </c>
      <c r="C35" s="141"/>
      <c r="D35" s="142" t="s">
        <v>138</v>
      </c>
      <c r="E35" s="143">
        <f>COUNTIF('Form responses 1'!$AL$2:$AL$94,D35)</f>
        <v>22</v>
      </c>
      <c r="F35" s="87"/>
      <c r="G35" s="91">
        <f>SUMPRODUCT(('Form responses 1'!$AL$2:$AL$94=D35)*'Form responses 1'!$H$2:$H$94*N('Form responses 1'!$AM$2:$AM$94))+SUMPRODUCT(('Form responses 1'!$AL$2:$AL$94=D35)*'Form responses 1'!$H$2:$H$94*N('Form responses 1'!$AR$2:$AR$94))</f>
        <v>3266</v>
      </c>
      <c r="H35" s="87"/>
      <c r="I35" s="87"/>
      <c r="J35" s="87"/>
      <c r="K35" s="144" t="str">
        <f t="shared" si="2"/>
        <v>#DIV/0!</v>
      </c>
      <c r="L35" s="87"/>
    </row>
    <row r="36">
      <c r="A36" s="14"/>
      <c r="B36" s="22"/>
      <c r="C36" s="23"/>
      <c r="D36" s="145" t="s">
        <v>152</v>
      </c>
      <c r="E36" s="146">
        <f>COUNTIF('Form responses 1'!$AL$2:$AL$94,D36)</f>
        <v>27</v>
      </c>
      <c r="F36" s="19"/>
      <c r="G36" s="21">
        <f>SUMPRODUCT(('Form responses 1'!$AL$2:$AL$94=D36)*'Form responses 1'!$H$2:$H$94*N('Form responses 1'!$AM$2:$AM$94))+SUMPRODUCT(('Form responses 1'!$AL$2:$AL$94=D36)*'Form responses 1'!$H$2:$H$94*N('Form responses 1'!$AR$2:$AR$94))</f>
        <v>9082</v>
      </c>
      <c r="H36" s="19"/>
      <c r="I36" s="19"/>
      <c r="J36" s="19"/>
      <c r="K36" s="26" t="str">
        <f t="shared" si="2"/>
        <v>#DIV/0!</v>
      </c>
      <c r="L36" s="19"/>
    </row>
    <row r="37">
      <c r="A37" s="14"/>
      <c r="B37" s="22"/>
      <c r="C37" s="42"/>
      <c r="D37" s="135" t="s">
        <v>173</v>
      </c>
      <c r="E37" s="136">
        <f>COUNTIF('Form responses 1'!$AL$2:$AL$94,D37)</f>
        <v>0</v>
      </c>
      <c r="F37" s="19"/>
      <c r="G37" s="21">
        <f>SUMPRODUCT(('Form responses 1'!$AL$2:$AL$94=D37)*'Form responses 1'!$H$2:$H$94*N('Form responses 1'!$AM$2:$AM$94))+SUMPRODUCT(('Form responses 1'!$AL$2:$AL$94=D37)*'Form responses 1'!$H$2:$H$94*N('Form responses 1'!$AR$2:$AR$94))</f>
        <v>0</v>
      </c>
      <c r="H37" s="19"/>
      <c r="I37" s="19"/>
      <c r="J37" s="19"/>
      <c r="K37" s="26" t="str">
        <f t="shared" si="2"/>
        <v>#DIV/0!</v>
      </c>
      <c r="L37" s="19"/>
    </row>
    <row r="38">
      <c r="A38" s="14"/>
      <c r="B38" s="22"/>
      <c r="C38" s="46"/>
      <c r="D38" s="147" t="s">
        <v>155</v>
      </c>
      <c r="E38" s="149">
        <f>COUNTIF('Form responses 1'!$AL$2:$AL$94,D38)</f>
        <v>0</v>
      </c>
      <c r="F38" s="30"/>
      <c r="G38" s="49">
        <f>SUMPRODUCT(('Form responses 1'!$AL$2:$AL$94=D38)*'Form responses 1'!$H$2:$H$94*N('Form responses 1'!$AM$2:$AM$94))+SUMPRODUCT(('Form responses 1'!$AL$2:$AL$94=D38)*'Form responses 1'!$H$2:$H$94*N('Form responses 1'!$AR$2:$AR$94))</f>
        <v>0</v>
      </c>
      <c r="H38" s="30"/>
      <c r="I38" s="30"/>
      <c r="J38" s="30"/>
      <c r="K38" s="31" t="str">
        <f t="shared" si="2"/>
        <v>#DIV/0!</v>
      </c>
      <c r="L38" s="30"/>
    </row>
    <row r="39">
      <c r="A39" s="14"/>
      <c r="B39" s="22"/>
      <c r="C39" s="125" t="s">
        <v>119</v>
      </c>
      <c r="D39" s="150" t="s">
        <v>154</v>
      </c>
      <c r="E39" s="151">
        <f>COUNTIF('Form responses 1'!$AO$2:$AO$94,D39)+COUNTIF('Form responses 1'!$AT$2:$AT$94,D39)</f>
        <v>22</v>
      </c>
      <c r="F39" s="20"/>
      <c r="G39" s="35">
        <f>SUMPRODUCT(('Form responses 1'!$AO$2:$AO$94=D39)*'Form responses 1'!$H$2:$H$94*N('Form responses 1'!$AM$2:$AM$94))+SUMPRODUCT(('Form responses 1'!$AT$2:$AT$94=D39)*'Form responses 1'!$H$2:$H$94*N('Form responses 1'!$AR$2:$AR$94))</f>
        <v>3201</v>
      </c>
      <c r="H39" s="20"/>
      <c r="I39" s="20"/>
      <c r="J39" s="20"/>
      <c r="K39" s="61" t="str">
        <f t="shared" si="2"/>
        <v>#DIV/0!</v>
      </c>
      <c r="L39" s="20"/>
    </row>
    <row r="40">
      <c r="A40" s="14"/>
      <c r="B40" s="22"/>
      <c r="C40" s="23"/>
      <c r="D40" s="131" t="s">
        <v>155</v>
      </c>
      <c r="E40" s="152">
        <f>COUNTIF('Form responses 1'!$AO$2:$AO$94,D40)+COUNTIF('Form responses 1'!$AT$2:$AT$94,D40)</f>
        <v>11</v>
      </c>
      <c r="F40" s="19"/>
      <c r="G40" s="21">
        <f>SUMPRODUCT(('Form responses 1'!$AO$2:$AO$94=D40)*'Form responses 1'!$H$2:$H$94*N('Form responses 1'!$AM$2:$AM$94))+SUMPRODUCT(('Form responses 1'!$AT$2:$AT$94=D40)*'Form responses 1'!$H$2:$H$94*N('Form responses 1'!$AR$2:$AR$94))</f>
        <v>379.5</v>
      </c>
      <c r="H40" s="19"/>
      <c r="I40" s="19"/>
      <c r="J40" s="19"/>
      <c r="K40" s="26" t="str">
        <f t="shared" si="2"/>
        <v>#DIV/0!</v>
      </c>
      <c r="L40" s="19"/>
    </row>
    <row r="41">
      <c r="A41" s="14"/>
      <c r="B41" s="22"/>
      <c r="C41" s="23"/>
      <c r="D41" s="133" t="s">
        <v>167</v>
      </c>
      <c r="E41" s="153">
        <f>COUNTIF('Form responses 1'!$AO$2:$AO$94,D41)+COUNTIF('Form responses 1'!$AT$2:$AT$94,D41)</f>
        <v>0</v>
      </c>
      <c r="F41" s="19"/>
      <c r="G41" s="21">
        <f>SUMPRODUCT(('Form responses 1'!$AO$2:$AO$94=D41)*'Form responses 1'!$H$2:$H$94*N('Form responses 1'!$AM$2:$AM$94))+SUMPRODUCT(('Form responses 1'!$AT$2:$AT$94=D41)*'Form responses 1'!$H$2:$H$94*N('Form responses 1'!$AR$2:$AR$94))</f>
        <v>0</v>
      </c>
      <c r="H41" s="19"/>
      <c r="I41" s="19"/>
      <c r="J41" s="19"/>
      <c r="K41" s="26" t="str">
        <f t="shared" si="2"/>
        <v>#DIV/0!</v>
      </c>
      <c r="L41" s="19"/>
    </row>
    <row r="42">
      <c r="A42" s="14"/>
      <c r="B42" s="22"/>
      <c r="C42" s="42"/>
      <c r="D42" s="135" t="s">
        <v>171</v>
      </c>
      <c r="E42" s="154">
        <f>COUNTIF('Form responses 1'!$AO$2:$AO$94,D42)+COUNTIF('Form responses 1'!$AT$2:$AT$94,D42)</f>
        <v>15</v>
      </c>
      <c r="F42" s="19"/>
      <c r="G42" s="21">
        <f>SUMPRODUCT(('Form responses 1'!$AO$2:$AO$94=D42)*'Form responses 1'!$H$2:$H$94*N('Form responses 1'!$AM$2:$AM$94))+SUMPRODUCT(('Form responses 1'!$AT$2:$AT$94=D42)*'Form responses 1'!$H$2:$H$94*N('Form responses 1'!$AR$2:$AR$94))</f>
        <v>869.5</v>
      </c>
      <c r="H42" s="19"/>
      <c r="I42" s="19"/>
      <c r="J42" s="19"/>
      <c r="K42" s="26" t="str">
        <f t="shared" si="2"/>
        <v>#DIV/0!</v>
      </c>
      <c r="L42" s="19"/>
    </row>
    <row r="43">
      <c r="A43" s="14"/>
      <c r="B43" s="22"/>
      <c r="C43" s="23"/>
      <c r="D43" s="137" t="s">
        <v>131</v>
      </c>
      <c r="E43" s="156">
        <f>COUNTIF('Form responses 1'!$AO$2:$AO$94,D43)+COUNTIF('Form responses 1'!$AT$2:$AT$94,D43)</f>
        <v>45</v>
      </c>
      <c r="F43" s="19"/>
      <c r="G43" s="21">
        <f>SUMPRODUCT(('Form responses 1'!$AO$2:$AO$94=D43)*'Form responses 1'!$H$2:$H$94*N('Form responses 1'!$AM$2:$AM$94))+SUMPRODUCT(('Form responses 1'!$AT$2:$AT$94=D43)*'Form responses 1'!$H$2:$H$94*N('Form responses 1'!$AR$2:$AR$94))</f>
        <v>5615</v>
      </c>
      <c r="H43" s="19"/>
      <c r="I43" s="19"/>
      <c r="J43" s="19"/>
      <c r="K43" s="26" t="str">
        <f t="shared" si="2"/>
        <v>#DIV/0!</v>
      </c>
      <c r="L43" s="19"/>
    </row>
    <row r="44">
      <c r="A44" s="14"/>
      <c r="B44" s="77"/>
      <c r="C44" s="27"/>
      <c r="D44" s="139" t="s">
        <v>166</v>
      </c>
      <c r="E44" s="157">
        <f>COUNTIF('Form responses 1'!$AO$2:$AO$94,D44)+COUNTIF('Form responses 1'!$AT$2:$AT$94,D44)</f>
        <v>0</v>
      </c>
      <c r="F44" s="80"/>
      <c r="G44" s="81">
        <f>SUMPRODUCT(('Form responses 1'!$AO$2:$AO$94=D44)*'Form responses 1'!$H$2:$H$94*N('Form responses 1'!$AM$2:$AM$94))+SUMPRODUCT(('Form responses 1'!$AT$2:$AT$94=D44)*'Form responses 1'!$H$2:$H$94*N('Form responses 1'!$AR$2:$AR$94))</f>
        <v>0</v>
      </c>
      <c r="H44" s="80"/>
      <c r="I44" s="80"/>
      <c r="J44" s="80"/>
      <c r="K44" s="82" t="str">
        <f t="shared" si="2"/>
        <v>#DIV/0!</v>
      </c>
      <c r="L44" s="80"/>
    </row>
    <row r="45">
      <c r="A45" s="14"/>
      <c r="B45" s="83" t="s">
        <v>179</v>
      </c>
      <c r="C45" s="84" t="s">
        <v>116</v>
      </c>
      <c r="D45" s="142" t="s">
        <v>60</v>
      </c>
      <c r="E45" s="86">
        <f>COUNTIF('Form responses 1'!$AV$2:$AV$94,D45)</f>
        <v>55</v>
      </c>
      <c r="F45" s="87"/>
      <c r="G45" s="91">
        <f>SUMPRODUCT(('Form responses 1'!$AV$2:$AV$94=D45)*N('Form responses 1'!$H$2:$H$94))</f>
        <v>7339</v>
      </c>
      <c r="H45" s="87"/>
      <c r="I45" s="87"/>
      <c r="J45" s="87"/>
      <c r="K45" s="144" t="str">
        <f t="shared" si="2"/>
        <v>#DIV/0!</v>
      </c>
      <c r="L45" s="87"/>
    </row>
    <row r="46">
      <c r="A46" s="14"/>
      <c r="B46" s="22"/>
      <c r="C46" s="42"/>
      <c r="D46" s="133" t="s">
        <v>62</v>
      </c>
      <c r="E46" s="134">
        <f>COUNTIF('Form responses 1'!$AV$2:$AV$94,D46)</f>
        <v>0</v>
      </c>
      <c r="F46" s="19"/>
      <c r="G46" s="21">
        <f>SUMPRODUCT(('Form responses 1'!$AV$2:$AV$94=D46)*N('Form responses 1'!$H$2:$H$94))</f>
        <v>0</v>
      </c>
      <c r="H46" s="19"/>
      <c r="I46" s="19"/>
      <c r="J46" s="19"/>
      <c r="K46" s="26" t="str">
        <f t="shared" si="2"/>
        <v>#DIV/0!</v>
      </c>
      <c r="L46" s="19"/>
    </row>
    <row r="47">
      <c r="A47" s="14"/>
      <c r="B47" s="22"/>
      <c r="C47" s="46"/>
      <c r="D47" s="158" t="s">
        <v>155</v>
      </c>
      <c r="E47" s="159">
        <f>COUNTIF('Form responses 1'!$AV$2:$AV$94,D47)</f>
        <v>0</v>
      </c>
      <c r="F47" s="160"/>
      <c r="G47" s="161">
        <f>SUMPRODUCT(('Form responses 1'!$AV$2:$AV$94=D47)*N('Form responses 1'!$H$2:$H$94))</f>
        <v>0</v>
      </c>
      <c r="H47" s="160"/>
      <c r="I47" s="160"/>
      <c r="J47" s="160"/>
      <c r="K47" s="162" t="str">
        <f t="shared" si="2"/>
        <v>#DIV/0!</v>
      </c>
      <c r="L47" s="160"/>
    </row>
    <row r="48">
      <c r="A48" s="14"/>
      <c r="B48" s="22"/>
      <c r="C48" s="125" t="s">
        <v>117</v>
      </c>
      <c r="D48" s="163" t="s">
        <v>93</v>
      </c>
      <c r="E48" s="164">
        <f>COUNTIF('Form responses 1'!$AW$2:$AW$94,D48)</f>
        <v>55</v>
      </c>
      <c r="F48" s="165"/>
      <c r="G48" s="166">
        <f>SUMPRODUCT(('Form responses 1'!$AW$2:$AW$94=D48)*N('Form responses 1'!$H$2:$H$94))</f>
        <v>7339</v>
      </c>
      <c r="H48" s="165"/>
      <c r="I48" s="165"/>
      <c r="J48" s="165"/>
      <c r="K48" s="167" t="str">
        <f t="shared" si="2"/>
        <v>#DIV/0!</v>
      </c>
      <c r="L48" s="165"/>
    </row>
    <row r="49">
      <c r="A49" s="14"/>
      <c r="B49" s="22"/>
      <c r="C49" s="23"/>
      <c r="D49" s="168" t="s">
        <v>183</v>
      </c>
      <c r="E49" s="169">
        <f>COUNTIF('Form responses 1'!$AW$2:$AW$94,D49)</f>
        <v>0</v>
      </c>
      <c r="F49" s="19"/>
      <c r="G49" s="21">
        <f>SUMPRODUCT(('Form responses 1'!$AW$2:$AW$94=D49)*N('Form responses 1'!$H$2:$H$94))</f>
        <v>0</v>
      </c>
      <c r="H49" s="19"/>
      <c r="I49" s="19"/>
      <c r="J49" s="19"/>
      <c r="K49" s="26" t="str">
        <f t="shared" si="2"/>
        <v>#DIV/0!</v>
      </c>
      <c r="L49" s="19"/>
    </row>
    <row r="50">
      <c r="A50" s="14"/>
      <c r="B50" s="22"/>
      <c r="C50" s="42"/>
      <c r="D50" s="135" t="s">
        <v>185</v>
      </c>
      <c r="E50" s="154">
        <f>COUNTIF('Form responses 1'!$AW$2:$AW$94,D50)</f>
        <v>0</v>
      </c>
      <c r="F50" s="19"/>
      <c r="G50" s="21">
        <f>SUMPRODUCT(('Form responses 1'!$AW$2:$AW$94=D50)*N('Form responses 1'!$H$2:$H$94))</f>
        <v>0</v>
      </c>
      <c r="H50" s="19"/>
      <c r="I50" s="19"/>
      <c r="J50" s="19"/>
      <c r="K50" s="26" t="str">
        <f t="shared" si="2"/>
        <v>#DIV/0!</v>
      </c>
      <c r="L50" s="19"/>
    </row>
    <row r="51">
      <c r="A51" s="14"/>
      <c r="B51" s="22"/>
      <c r="C51" s="46"/>
      <c r="D51" s="170" t="s">
        <v>187</v>
      </c>
      <c r="E51" s="171">
        <f>COUNTIF('Form responses 1'!$AW$2:$AW$94,D51)</f>
        <v>0</v>
      </c>
      <c r="F51" s="160"/>
      <c r="G51" s="161">
        <f>SUMPRODUCT(('Form responses 1'!$AW$2:$AW$94=D51)*N('Form responses 1'!$H$2:$H$94))</f>
        <v>0</v>
      </c>
      <c r="H51" s="160"/>
      <c r="I51" s="160"/>
      <c r="J51" s="160"/>
      <c r="K51" s="162" t="str">
        <f t="shared" si="2"/>
        <v>#DIV/0!</v>
      </c>
      <c r="L51" s="160"/>
    </row>
    <row r="52">
      <c r="A52" s="14"/>
      <c r="B52" s="22"/>
      <c r="C52" s="125" t="s">
        <v>119</v>
      </c>
      <c r="D52" s="163" t="s">
        <v>154</v>
      </c>
      <c r="E52" s="164">
        <f>COUNTIF('Form responses 1'!$AZ$2:$AZ$94,D52)</f>
        <v>11</v>
      </c>
      <c r="F52" s="165"/>
      <c r="G52" s="166">
        <f>SUMPRODUCT(('Form responses 1'!$AZ$2:$AZ$94=D52)*N('Form responses 1'!$H$2:$H$94))</f>
        <v>1524</v>
      </c>
      <c r="H52" s="165"/>
      <c r="I52" s="165"/>
      <c r="J52" s="165"/>
      <c r="K52" s="167" t="str">
        <f t="shared" si="2"/>
        <v>#DIV/0!</v>
      </c>
      <c r="L52" s="165"/>
    </row>
    <row r="53">
      <c r="A53" s="14"/>
      <c r="B53" s="22"/>
      <c r="C53" s="23"/>
      <c r="D53" s="131" t="s">
        <v>155</v>
      </c>
      <c r="E53" s="132">
        <f>COUNTIF('Form responses 1'!$AZ$2:$AZ$94,D53)</f>
        <v>3</v>
      </c>
      <c r="F53" s="19"/>
      <c r="G53" s="21">
        <f>SUMPRODUCT(('Form responses 1'!$AZ$2:$AZ$94=D53)*N('Form responses 1'!$H$2:$H$94))</f>
        <v>370</v>
      </c>
      <c r="H53" s="19"/>
      <c r="I53" s="19"/>
      <c r="J53" s="19"/>
      <c r="K53" s="26" t="str">
        <f t="shared" si="2"/>
        <v>#DIV/0!</v>
      </c>
      <c r="L53" s="19"/>
    </row>
    <row r="54">
      <c r="A54" s="14"/>
      <c r="B54" s="22"/>
      <c r="C54" s="42"/>
      <c r="D54" s="133" t="s">
        <v>167</v>
      </c>
      <c r="E54" s="134">
        <f>COUNTIF('Form responses 1'!$AZ$2:$AZ$94,D54)</f>
        <v>0</v>
      </c>
      <c r="F54" s="19"/>
      <c r="G54" s="21">
        <f>SUMPRODUCT(('Form responses 1'!$AZ$2:$AZ$94=D54)*N('Form responses 1'!$H$2:$H$94))</f>
        <v>0</v>
      </c>
      <c r="H54" s="19"/>
      <c r="I54" s="19"/>
      <c r="J54" s="19"/>
      <c r="K54" s="26" t="str">
        <f t="shared" si="2"/>
        <v>#DIV/0!</v>
      </c>
      <c r="L54" s="19"/>
    </row>
    <row r="55">
      <c r="A55" s="14"/>
      <c r="B55" s="22"/>
      <c r="C55" s="23"/>
      <c r="D55" s="135" t="s">
        <v>171</v>
      </c>
      <c r="E55" s="136">
        <f>COUNTIF('Form responses 1'!$AZ$2:$AZ$94,D55)</f>
        <v>7</v>
      </c>
      <c r="F55" s="19"/>
      <c r="G55" s="21">
        <f>SUMPRODUCT(('Form responses 1'!$AZ$2:$AZ$94=D55)*N('Form responses 1'!$H$2:$H$94))</f>
        <v>1255</v>
      </c>
      <c r="H55" s="19"/>
      <c r="I55" s="19"/>
      <c r="J55" s="19"/>
      <c r="K55" s="26" t="str">
        <f t="shared" si="2"/>
        <v>#DIV/0!</v>
      </c>
      <c r="L55" s="19"/>
    </row>
    <row r="56">
      <c r="A56" s="14"/>
      <c r="B56" s="22"/>
      <c r="C56" s="42"/>
      <c r="D56" s="137" t="s">
        <v>131</v>
      </c>
      <c r="E56" s="138">
        <f>COUNTIF('Form responses 1'!$AZ$2:$AZ$94,D56)</f>
        <v>25</v>
      </c>
      <c r="F56" s="19"/>
      <c r="G56" s="21">
        <f>SUMPRODUCT(('Form responses 1'!$AZ$2:$AZ$94=D56)*N('Form responses 1'!$H$2:$H$94))</f>
        <v>2750</v>
      </c>
      <c r="H56" s="19"/>
      <c r="I56" s="19"/>
      <c r="J56" s="19"/>
      <c r="K56" s="26" t="str">
        <f t="shared" si="2"/>
        <v>#DIV/0!</v>
      </c>
      <c r="L56" s="19"/>
    </row>
    <row r="57">
      <c r="A57" s="14"/>
      <c r="B57" s="77"/>
      <c r="C57" s="46"/>
      <c r="D57" s="139" t="s">
        <v>166</v>
      </c>
      <c r="E57" s="140">
        <f>COUNTIF('Form responses 1'!$AZ$2:$AZ$94,D57)</f>
        <v>0</v>
      </c>
      <c r="F57" s="80"/>
      <c r="G57" s="81">
        <f>SUMPRODUCT(('Form responses 1'!$AZ$2:$AZ$94=D57)*N('Form responses 1'!$H$2:$H$94))</f>
        <v>0</v>
      </c>
      <c r="H57" s="80"/>
      <c r="I57" s="80"/>
      <c r="J57" s="80"/>
      <c r="K57" s="82" t="str">
        <f t="shared" si="2"/>
        <v>#DIV/0!</v>
      </c>
      <c r="L57" s="80"/>
    </row>
    <row r="58">
      <c r="A58" s="14"/>
      <c r="B58" s="83" t="s">
        <v>190</v>
      </c>
      <c r="C58" s="173" t="s">
        <v>116</v>
      </c>
      <c r="D58" s="142" t="s">
        <v>60</v>
      </c>
      <c r="E58" s="143">
        <f>COUNTIF('Form responses 1'!$BA$2:$BA$94,D58)</f>
        <v>50</v>
      </c>
      <c r="F58" s="87"/>
      <c r="G58" s="87"/>
      <c r="H58" s="87"/>
      <c r="I58" s="87"/>
      <c r="J58" s="87"/>
      <c r="K58" s="144" t="str">
        <f t="shared" si="2"/>
        <v>#DIV/0!</v>
      </c>
      <c r="L58" s="87"/>
    </row>
    <row r="59">
      <c r="A59" s="14"/>
      <c r="B59" s="22"/>
      <c r="C59" s="23"/>
      <c r="D59" s="133" t="s">
        <v>62</v>
      </c>
      <c r="E59" s="153">
        <f>COUNTIF('Form responses 1'!$BA$2:$BA$94,D59)</f>
        <v>5</v>
      </c>
      <c r="F59" s="19"/>
      <c r="G59" s="19"/>
      <c r="H59" s="19"/>
      <c r="I59" s="19"/>
      <c r="J59" s="19"/>
      <c r="K59" s="26" t="str">
        <f t="shared" si="2"/>
        <v>#DIV/0!</v>
      </c>
      <c r="L59" s="19"/>
    </row>
    <row r="60">
      <c r="A60" s="14"/>
      <c r="B60" s="22"/>
      <c r="C60" s="27"/>
      <c r="D60" s="158" t="s">
        <v>155</v>
      </c>
      <c r="E60" s="174">
        <f>COUNTIF('Form responses 1'!$BA$2:$BA$94,D60)</f>
        <v>0</v>
      </c>
      <c r="F60" s="160"/>
      <c r="G60" s="160"/>
      <c r="H60" s="160"/>
      <c r="I60" s="160"/>
      <c r="J60" s="160"/>
      <c r="K60" s="162" t="str">
        <f t="shared" si="2"/>
        <v>#DIV/0!</v>
      </c>
      <c r="L60" s="160"/>
    </row>
    <row r="61">
      <c r="A61" s="14"/>
      <c r="B61" s="22"/>
      <c r="C61" s="175" t="s">
        <v>119</v>
      </c>
      <c r="D61" s="163" t="s">
        <v>154</v>
      </c>
      <c r="E61" s="176">
        <f>COUNTIF('Form responses 1'!$BB$2:$BB$94,D61)</f>
        <v>13</v>
      </c>
      <c r="F61" s="165"/>
      <c r="G61" s="165"/>
      <c r="H61" s="165"/>
      <c r="I61" s="165"/>
      <c r="J61" s="165"/>
      <c r="K61" s="167" t="str">
        <f t="shared" si="2"/>
        <v>#DIV/0!</v>
      </c>
      <c r="L61" s="165"/>
    </row>
    <row r="62">
      <c r="A62" s="14"/>
      <c r="B62" s="22"/>
      <c r="C62" s="42"/>
      <c r="D62" s="131" t="s">
        <v>155</v>
      </c>
      <c r="E62" s="152">
        <f>COUNTIF('Form responses 1'!$BB$2:$BB$94,D62)</f>
        <v>17</v>
      </c>
      <c r="F62" s="19"/>
      <c r="G62" s="19"/>
      <c r="H62" s="19"/>
      <c r="I62" s="19"/>
      <c r="J62" s="19"/>
      <c r="K62" s="26" t="str">
        <f t="shared" si="2"/>
        <v>#DIV/0!</v>
      </c>
      <c r="L62" s="19"/>
    </row>
    <row r="63">
      <c r="A63" s="14"/>
      <c r="B63" s="22"/>
      <c r="C63" s="23"/>
      <c r="D63" s="133" t="s">
        <v>167</v>
      </c>
      <c r="E63" s="153">
        <f>COUNTIF('Form responses 1'!$BB$2:$BB$94,D63)</f>
        <v>5</v>
      </c>
      <c r="F63" s="19"/>
      <c r="G63" s="19"/>
      <c r="H63" s="19"/>
      <c r="I63" s="19"/>
      <c r="J63" s="19"/>
      <c r="K63" s="26" t="str">
        <f t="shared" si="2"/>
        <v>#DIV/0!</v>
      </c>
      <c r="L63" s="19"/>
    </row>
    <row r="64">
      <c r="A64" s="14"/>
      <c r="B64" s="22"/>
      <c r="C64" s="42"/>
      <c r="D64" s="135" t="s">
        <v>171</v>
      </c>
      <c r="E64" s="154">
        <f>COUNTIF('Form responses 1'!$BB$2:$BB$94,D64)</f>
        <v>1</v>
      </c>
      <c r="F64" s="19"/>
      <c r="G64" s="19"/>
      <c r="H64" s="19"/>
      <c r="I64" s="19"/>
      <c r="J64" s="19"/>
      <c r="K64" s="26" t="str">
        <f t="shared" si="2"/>
        <v>#DIV/0!</v>
      </c>
      <c r="L64" s="19"/>
    </row>
    <row r="65">
      <c r="A65" s="14"/>
      <c r="B65" s="22"/>
      <c r="C65" s="23"/>
      <c r="D65" s="137" t="s">
        <v>131</v>
      </c>
      <c r="E65" s="156">
        <f>COUNTIF('Form responses 1'!$BB$2:$BB$94,D65)</f>
        <v>14</v>
      </c>
      <c r="F65" s="19"/>
      <c r="G65" s="19"/>
      <c r="H65" s="19"/>
      <c r="I65" s="19"/>
      <c r="J65" s="19"/>
      <c r="K65" s="26" t="str">
        <f t="shared" si="2"/>
        <v>#DIV/0!</v>
      </c>
      <c r="L65" s="19"/>
    </row>
    <row r="66">
      <c r="A66" s="14"/>
      <c r="B66" s="77"/>
      <c r="C66" s="27"/>
      <c r="D66" s="139" t="s">
        <v>166</v>
      </c>
      <c r="E66" s="157">
        <f>COUNTIF('Form responses 1'!$BB$2:$BB$94,D66)</f>
        <v>0</v>
      </c>
      <c r="F66" s="80"/>
      <c r="G66" s="80"/>
      <c r="H66" s="80"/>
      <c r="I66" s="80"/>
      <c r="J66" s="80"/>
      <c r="K66" s="82" t="str">
        <f t="shared" si="2"/>
        <v>#DIV/0!</v>
      </c>
      <c r="L66" s="80"/>
    </row>
    <row r="67">
      <c r="A67" s="14"/>
      <c r="B67" s="83" t="s">
        <v>191</v>
      </c>
      <c r="C67" s="84" t="s">
        <v>117</v>
      </c>
      <c r="D67" s="177" t="s">
        <v>142</v>
      </c>
      <c r="E67" s="178">
        <f>COUNTIF('Form responses 1'!$BD$2:$BD$94,D67)</f>
        <v>52</v>
      </c>
      <c r="F67" s="87"/>
      <c r="G67" s="87"/>
      <c r="H67" s="87"/>
      <c r="I67" s="87"/>
      <c r="J67" s="87"/>
      <c r="K67" s="144" t="str">
        <f t="shared" si="2"/>
        <v>#DIV/0!</v>
      </c>
      <c r="L67" s="87"/>
    </row>
    <row r="68">
      <c r="A68" s="14"/>
      <c r="B68" s="22"/>
      <c r="C68" s="42"/>
      <c r="D68" s="179" t="s">
        <v>195</v>
      </c>
      <c r="E68" s="25">
        <f>COUNTIF('Form responses 1'!$BD$2:$BD$94,D68)</f>
        <v>2</v>
      </c>
      <c r="F68" s="19"/>
      <c r="G68" s="19"/>
      <c r="H68" s="19"/>
      <c r="I68" s="19"/>
      <c r="J68" s="19"/>
      <c r="K68" s="26" t="str">
        <f t="shared" si="2"/>
        <v>#DIV/0!</v>
      </c>
      <c r="L68" s="19"/>
    </row>
    <row r="69">
      <c r="A69" s="14"/>
      <c r="B69" s="22"/>
      <c r="C69" s="23"/>
      <c r="D69" s="180" t="s">
        <v>196</v>
      </c>
      <c r="E69" s="181">
        <f>COUNTIF('Form responses 1'!$BD$2:$BD$94,D69)</f>
        <v>1</v>
      </c>
      <c r="F69" s="19"/>
      <c r="G69" s="19"/>
      <c r="H69" s="19"/>
      <c r="I69" s="19"/>
      <c r="J69" s="19"/>
      <c r="K69" s="26" t="str">
        <f t="shared" si="2"/>
        <v>#DIV/0!</v>
      </c>
      <c r="L69" s="19"/>
    </row>
    <row r="70">
      <c r="A70" s="14"/>
      <c r="B70" s="22"/>
      <c r="C70" s="42"/>
      <c r="D70" s="135" t="s">
        <v>197</v>
      </c>
      <c r="E70" s="154">
        <f>COUNTIF('Form responses 1'!$BD$2:$BD$94,D70)</f>
        <v>0</v>
      </c>
      <c r="F70" s="19"/>
      <c r="G70" s="19"/>
      <c r="H70" s="19"/>
      <c r="I70" s="19"/>
      <c r="J70" s="19"/>
      <c r="K70" s="26" t="str">
        <f t="shared" si="2"/>
        <v>#DIV/0!</v>
      </c>
      <c r="L70" s="19"/>
    </row>
    <row r="71">
      <c r="A71" s="14"/>
      <c r="B71" s="22"/>
      <c r="C71" s="23"/>
      <c r="D71" s="131" t="s">
        <v>155</v>
      </c>
      <c r="E71" s="132">
        <f>COUNTIF('Form responses 1'!$BD$2:$BD$94,D71)</f>
        <v>0</v>
      </c>
      <c r="F71" s="19"/>
      <c r="G71" s="19"/>
      <c r="H71" s="19"/>
      <c r="I71" s="19"/>
      <c r="J71" s="19"/>
      <c r="K71" s="26" t="str">
        <f t="shared" si="2"/>
        <v>#DIV/0!</v>
      </c>
      <c r="L71" s="19"/>
    </row>
    <row r="72">
      <c r="A72" s="14"/>
      <c r="B72" s="22"/>
      <c r="C72" s="27"/>
      <c r="D72" s="124" t="s">
        <v>166</v>
      </c>
      <c r="E72" s="161">
        <f>COUNTIF('Form responses 1'!$BD$2:$BD$94,D72)</f>
        <v>0</v>
      </c>
      <c r="F72" s="160"/>
      <c r="G72" s="160"/>
      <c r="H72" s="160"/>
      <c r="I72" s="160"/>
      <c r="J72" s="160"/>
      <c r="K72" s="162" t="str">
        <f t="shared" si="2"/>
        <v>#DIV/0!</v>
      </c>
      <c r="L72" s="160"/>
    </row>
    <row r="73">
      <c r="A73" s="14"/>
      <c r="B73" s="22"/>
      <c r="C73" s="175" t="s">
        <v>119</v>
      </c>
      <c r="D73" s="163" t="s">
        <v>154</v>
      </c>
      <c r="E73" s="176">
        <f>COUNTIF('Form responses 1'!$BE$2:$BE$94,D73)</f>
        <v>10</v>
      </c>
      <c r="F73" s="165"/>
      <c r="G73" s="165"/>
      <c r="H73" s="165"/>
      <c r="I73" s="165"/>
      <c r="J73" s="165"/>
      <c r="K73" s="167" t="str">
        <f t="shared" si="2"/>
        <v>#DIV/0!</v>
      </c>
      <c r="L73" s="165"/>
    </row>
    <row r="74">
      <c r="A74" s="14"/>
      <c r="B74" s="22"/>
      <c r="C74" s="42"/>
      <c r="D74" s="131" t="s">
        <v>155</v>
      </c>
      <c r="E74" s="152">
        <f>COUNTIF('Form responses 1'!$BE$2:$BE$94,D74)</f>
        <v>13</v>
      </c>
      <c r="F74" s="19"/>
      <c r="G74" s="19"/>
      <c r="H74" s="19"/>
      <c r="I74" s="19"/>
      <c r="J74" s="19"/>
      <c r="K74" s="26" t="str">
        <f t="shared" si="2"/>
        <v>#DIV/0!</v>
      </c>
      <c r="L74" s="19"/>
    </row>
    <row r="75">
      <c r="A75" s="14"/>
      <c r="B75" s="22"/>
      <c r="C75" s="23"/>
      <c r="D75" s="133" t="s">
        <v>167</v>
      </c>
      <c r="E75" s="153">
        <f>COUNTIF('Form responses 1'!$BE$2:$BE$94,D75)</f>
        <v>9</v>
      </c>
      <c r="F75" s="19"/>
      <c r="G75" s="19"/>
      <c r="H75" s="19"/>
      <c r="I75" s="19"/>
      <c r="J75" s="19"/>
      <c r="K75" s="26" t="str">
        <f t="shared" si="2"/>
        <v>#DIV/0!</v>
      </c>
      <c r="L75" s="19"/>
    </row>
    <row r="76">
      <c r="A76" s="14"/>
      <c r="B76" s="22"/>
      <c r="C76" s="42"/>
      <c r="D76" s="135" t="s">
        <v>171</v>
      </c>
      <c r="E76" s="154">
        <f>COUNTIF('Form responses 1'!$BE$2:$BE$94,D76)</f>
        <v>0</v>
      </c>
      <c r="F76" s="19"/>
      <c r="G76" s="19"/>
      <c r="H76" s="19"/>
      <c r="I76" s="19"/>
      <c r="J76" s="19"/>
      <c r="K76" s="26" t="str">
        <f t="shared" si="2"/>
        <v>#DIV/0!</v>
      </c>
      <c r="L76" s="19"/>
    </row>
    <row r="77">
      <c r="A77" s="14"/>
      <c r="B77" s="22"/>
      <c r="C77" s="22"/>
      <c r="D77" s="137" t="s">
        <v>131</v>
      </c>
      <c r="E77" s="156">
        <f>COUNTIF('Form responses 1'!$BE$2:$BE$94,D77)</f>
        <v>18</v>
      </c>
      <c r="F77" s="19"/>
      <c r="G77" s="19"/>
      <c r="H77" s="19"/>
      <c r="I77" s="19"/>
      <c r="J77" s="19"/>
      <c r="K77" s="26" t="str">
        <f t="shared" si="2"/>
        <v>#DIV/0!</v>
      </c>
      <c r="L77" s="19"/>
    </row>
    <row r="78">
      <c r="A78" s="14"/>
      <c r="B78" s="77"/>
      <c r="C78" s="27"/>
      <c r="D78" s="139" t="s">
        <v>166</v>
      </c>
      <c r="E78" s="157">
        <f>COUNTIF('Form responses 1'!$BE$2:$BE$94,D78)</f>
        <v>0</v>
      </c>
      <c r="F78" s="80"/>
      <c r="G78" s="80"/>
      <c r="H78" s="80"/>
      <c r="I78" s="80"/>
      <c r="J78" s="80"/>
      <c r="K78" s="82" t="str">
        <f t="shared" si="2"/>
        <v>#DIV/0!</v>
      </c>
      <c r="L78" s="80"/>
    </row>
    <row r="79">
      <c r="A79" s="14"/>
      <c r="B79" s="14"/>
      <c r="C79" s="182"/>
      <c r="D79" s="183" t="s">
        <v>151</v>
      </c>
      <c r="E79" s="184"/>
      <c r="F79" s="185"/>
      <c r="G79" s="185"/>
      <c r="H79" s="185"/>
      <c r="I79" s="185"/>
      <c r="J79" s="185"/>
      <c r="K79" s="185"/>
      <c r="L79" s="185"/>
    </row>
    <row r="80">
      <c r="A80" s="14"/>
      <c r="B80" s="14"/>
      <c r="C80" s="186"/>
      <c r="D80" s="187" t="s">
        <v>136</v>
      </c>
      <c r="E80" s="188"/>
      <c r="F80" s="185"/>
      <c r="G80" s="185"/>
      <c r="H80" s="185"/>
      <c r="I80" s="185"/>
      <c r="J80" s="185"/>
      <c r="K80" s="185"/>
      <c r="L80" s="185"/>
    </row>
    <row r="81">
      <c r="A81" s="14"/>
      <c r="B81" s="14"/>
      <c r="C81" s="189"/>
      <c r="D81" s="191" t="s">
        <v>139</v>
      </c>
      <c r="E81" s="184"/>
      <c r="F81" s="185"/>
      <c r="G81" s="185"/>
      <c r="H81" s="185"/>
      <c r="I81" s="185"/>
      <c r="J81" s="185"/>
      <c r="K81" s="185"/>
      <c r="L81" s="185"/>
    </row>
    <row r="82">
      <c r="A82" s="14"/>
      <c r="B82" s="14"/>
      <c r="C82" s="192"/>
      <c r="D82" s="193" t="s">
        <v>149</v>
      </c>
      <c r="E82" s="188"/>
      <c r="F82" s="185"/>
      <c r="G82" s="185"/>
      <c r="H82" s="185"/>
      <c r="I82" s="185"/>
      <c r="J82" s="185"/>
      <c r="K82" s="185"/>
      <c r="L82" s="185"/>
    </row>
    <row r="83">
      <c r="A83" s="14"/>
      <c r="B83" s="14"/>
      <c r="C83" s="189"/>
      <c r="D83" s="194" t="s">
        <v>188</v>
      </c>
      <c r="E83" s="184"/>
      <c r="F83" s="185"/>
      <c r="G83" s="185"/>
      <c r="H83" s="185"/>
      <c r="I83" s="185"/>
      <c r="J83" s="185"/>
      <c r="K83" s="185"/>
      <c r="L83" s="185"/>
    </row>
    <row r="84">
      <c r="A84" s="14"/>
      <c r="B84" s="14"/>
      <c r="C84" s="186"/>
      <c r="D84" s="195"/>
      <c r="E84" s="188"/>
      <c r="F84" s="185"/>
      <c r="G84" s="185"/>
      <c r="H84" s="185"/>
      <c r="I84" s="185"/>
      <c r="J84" s="185"/>
      <c r="K84" s="185"/>
      <c r="L84" s="185"/>
    </row>
    <row r="85">
      <c r="A85" s="14"/>
      <c r="B85" s="14"/>
      <c r="C85" s="182"/>
      <c r="D85" s="195"/>
      <c r="E85" s="184"/>
      <c r="F85" s="185"/>
      <c r="G85" s="185"/>
      <c r="H85" s="185"/>
      <c r="I85" s="185"/>
      <c r="J85" s="185"/>
      <c r="K85" s="185"/>
      <c r="L85" s="185"/>
    </row>
    <row r="86">
      <c r="A86" s="14"/>
      <c r="B86" s="14"/>
      <c r="C86" s="191"/>
      <c r="D86" s="185"/>
      <c r="E86" s="185"/>
      <c r="F86" s="185"/>
      <c r="G86" s="185"/>
      <c r="H86" s="185"/>
      <c r="I86" s="185"/>
      <c r="J86" s="185"/>
    </row>
    <row r="87">
      <c r="A87" s="14"/>
      <c r="B87" s="14"/>
      <c r="C87" s="193"/>
      <c r="D87" s="185"/>
      <c r="E87" s="185"/>
      <c r="F87" s="185"/>
      <c r="G87" s="185"/>
      <c r="H87" s="185"/>
      <c r="I87" s="185"/>
      <c r="J87" s="185"/>
    </row>
    <row r="88">
      <c r="A88" s="14"/>
      <c r="B88" s="14"/>
      <c r="C88" s="123"/>
      <c r="D88" s="185"/>
      <c r="E88" s="185"/>
      <c r="F88" s="185"/>
      <c r="G88" s="185"/>
      <c r="H88" s="185"/>
      <c r="I88" s="185"/>
      <c r="J88" s="185"/>
    </row>
    <row r="89">
      <c r="A89" s="14"/>
      <c r="B89" s="14"/>
      <c r="C89" s="196"/>
      <c r="D89" s="185"/>
      <c r="E89" s="185"/>
      <c r="F89" s="185"/>
      <c r="G89" s="185"/>
      <c r="H89" s="185"/>
      <c r="I89" s="185"/>
      <c r="J89" s="185"/>
    </row>
    <row r="90">
      <c r="A90" s="14"/>
      <c r="B90" s="14"/>
      <c r="C90" s="197"/>
      <c r="D90" s="185"/>
      <c r="E90" s="185"/>
      <c r="F90" s="185"/>
      <c r="G90" s="185"/>
      <c r="H90" s="185"/>
      <c r="I90" s="185"/>
      <c r="J90" s="185"/>
    </row>
  </sheetData>
  <mergeCells count="25">
    <mergeCell ref="C1:D1"/>
    <mergeCell ref="C2:D2"/>
    <mergeCell ref="C3:D3"/>
    <mergeCell ref="C4:D4"/>
    <mergeCell ref="E4:F4"/>
    <mergeCell ref="B7:B18"/>
    <mergeCell ref="C7:C9"/>
    <mergeCell ref="B35:B44"/>
    <mergeCell ref="B45:B57"/>
    <mergeCell ref="B58:B66"/>
    <mergeCell ref="B67:B78"/>
    <mergeCell ref="C45:C47"/>
    <mergeCell ref="C48:C51"/>
    <mergeCell ref="C52:C57"/>
    <mergeCell ref="C58:C60"/>
    <mergeCell ref="C61:C66"/>
    <mergeCell ref="C67:C72"/>
    <mergeCell ref="C73:C78"/>
    <mergeCell ref="C10:C13"/>
    <mergeCell ref="C14:C18"/>
    <mergeCell ref="B19:B34"/>
    <mergeCell ref="C19:C28"/>
    <mergeCell ref="C29:C34"/>
    <mergeCell ref="C35:C38"/>
    <mergeCell ref="C39:C44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90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</row>
    <row r="2">
      <c r="A2" s="50"/>
      <c r="B2" s="51" t="s">
        <v>92</v>
      </c>
      <c r="C2" s="52"/>
      <c r="D2" s="52"/>
      <c r="E2" s="54"/>
      <c r="F2" s="56" t="s">
        <v>94</v>
      </c>
      <c r="G2" s="56" t="s">
        <v>95</v>
      </c>
      <c r="H2" s="56" t="s">
        <v>96</v>
      </c>
      <c r="I2" s="57" t="s">
        <v>97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9"/>
      <c r="AJ2" s="60" t="s">
        <v>98</v>
      </c>
      <c r="AK2" s="52"/>
      <c r="AL2" s="52"/>
      <c r="AM2" s="52"/>
      <c r="AN2" s="52"/>
      <c r="AO2" s="52"/>
      <c r="AP2" s="52"/>
      <c r="AQ2" s="52"/>
      <c r="AR2" s="52"/>
      <c r="AS2" s="52"/>
      <c r="AT2" s="54"/>
      <c r="AU2" s="62" t="s">
        <v>99</v>
      </c>
      <c r="AV2" s="52"/>
      <c r="AW2" s="52"/>
      <c r="AX2" s="52"/>
      <c r="AY2" s="54"/>
      <c r="AZ2" s="64" t="s">
        <v>101</v>
      </c>
      <c r="BA2" s="52"/>
      <c r="BB2" s="54"/>
      <c r="BC2" s="65" t="s">
        <v>102</v>
      </c>
      <c r="BD2" s="54"/>
    </row>
    <row r="3">
      <c r="A3" s="50"/>
      <c r="B3" s="66" t="s">
        <v>103</v>
      </c>
      <c r="C3" s="66" t="s">
        <v>104</v>
      </c>
      <c r="D3" s="66" t="s">
        <v>105</v>
      </c>
      <c r="E3" s="66" t="s">
        <v>106</v>
      </c>
      <c r="F3" s="66" t="s">
        <v>6</v>
      </c>
      <c r="G3" s="66" t="s">
        <v>107</v>
      </c>
      <c r="H3" s="66" t="s">
        <v>108</v>
      </c>
      <c r="I3" s="67" t="s">
        <v>109</v>
      </c>
      <c r="J3" s="52"/>
      <c r="K3" s="52"/>
      <c r="L3" s="52"/>
      <c r="M3" s="54"/>
      <c r="N3" s="70" t="s">
        <v>111</v>
      </c>
      <c r="O3" s="52"/>
      <c r="P3" s="52"/>
      <c r="Q3" s="52"/>
      <c r="R3" s="52"/>
      <c r="S3" s="52"/>
      <c r="T3" s="52"/>
      <c r="U3" s="52"/>
      <c r="V3" s="52"/>
      <c r="W3" s="52"/>
      <c r="X3" s="54"/>
      <c r="Y3" s="71" t="s">
        <v>112</v>
      </c>
      <c r="Z3" s="52"/>
      <c r="AA3" s="52"/>
      <c r="AB3" s="52"/>
      <c r="AC3" s="52"/>
      <c r="AD3" s="52"/>
      <c r="AE3" s="52"/>
      <c r="AF3" s="52"/>
      <c r="AG3" s="52"/>
      <c r="AH3" s="52"/>
      <c r="AI3" s="54"/>
      <c r="AJ3" s="51" t="s">
        <v>114</v>
      </c>
      <c r="AK3" s="52"/>
      <c r="AL3" s="52"/>
      <c r="AM3" s="52"/>
      <c r="AN3" s="52"/>
      <c r="AO3" s="54"/>
      <c r="AP3" s="51" t="s">
        <v>115</v>
      </c>
      <c r="AQ3" s="52"/>
      <c r="AR3" s="52"/>
      <c r="AS3" s="52"/>
      <c r="AT3" s="54"/>
      <c r="AU3" s="72" t="s">
        <v>116</v>
      </c>
      <c r="AV3" s="73" t="s">
        <v>117</v>
      </c>
      <c r="AW3" s="74"/>
      <c r="AX3" s="73" t="s">
        <v>118</v>
      </c>
      <c r="AY3" s="73" t="s">
        <v>119</v>
      </c>
      <c r="AZ3" s="73" t="s">
        <v>116</v>
      </c>
      <c r="BA3" s="73" t="s">
        <v>119</v>
      </c>
      <c r="BB3" s="73" t="s">
        <v>120</v>
      </c>
      <c r="BC3" s="73" t="s">
        <v>83</v>
      </c>
      <c r="BD3" s="73" t="s">
        <v>119</v>
      </c>
    </row>
    <row r="4">
      <c r="A4" s="66" t="s">
        <v>54</v>
      </c>
      <c r="B4" s="75"/>
      <c r="C4" s="75"/>
      <c r="D4" s="75"/>
      <c r="E4" s="75"/>
      <c r="F4" s="75"/>
      <c r="G4" s="75"/>
      <c r="H4" s="75"/>
      <c r="I4" s="66" t="s">
        <v>9</v>
      </c>
      <c r="J4" s="66" t="s">
        <v>10</v>
      </c>
      <c r="K4" s="66" t="s">
        <v>11</v>
      </c>
      <c r="L4" s="56" t="s">
        <v>122</v>
      </c>
      <c r="M4" s="56" t="s">
        <v>119</v>
      </c>
      <c r="N4" s="56" t="s">
        <v>123</v>
      </c>
      <c r="O4" s="56" t="s">
        <v>124</v>
      </c>
      <c r="P4" s="56" t="s">
        <v>122</v>
      </c>
      <c r="Q4" s="56" t="s">
        <v>125</v>
      </c>
      <c r="R4" s="56" t="s">
        <v>119</v>
      </c>
      <c r="S4" s="56" t="s">
        <v>52</v>
      </c>
      <c r="T4" s="56" t="s">
        <v>133</v>
      </c>
      <c r="U4" s="56" t="s">
        <v>122</v>
      </c>
      <c r="V4" s="56" t="s">
        <v>125</v>
      </c>
      <c r="W4" s="56" t="s">
        <v>119</v>
      </c>
      <c r="X4" s="56" t="s">
        <v>52</v>
      </c>
      <c r="Y4" s="56" t="s">
        <v>123</v>
      </c>
      <c r="Z4" s="56" t="s">
        <v>124</v>
      </c>
      <c r="AA4" s="56" t="s">
        <v>145</v>
      </c>
      <c r="AB4" s="56" t="s">
        <v>125</v>
      </c>
      <c r="AC4" s="56" t="s">
        <v>119</v>
      </c>
      <c r="AD4" s="56" t="s">
        <v>52</v>
      </c>
      <c r="AE4" s="56" t="s">
        <v>133</v>
      </c>
      <c r="AF4" s="56" t="s">
        <v>122</v>
      </c>
      <c r="AG4" s="56" t="s">
        <v>125</v>
      </c>
      <c r="AH4" s="56" t="s">
        <v>119</v>
      </c>
      <c r="AI4" s="56" t="s">
        <v>52</v>
      </c>
      <c r="AJ4" s="56" t="s">
        <v>123</v>
      </c>
      <c r="AK4" s="50"/>
      <c r="AL4" s="56" t="s">
        <v>122</v>
      </c>
      <c r="AM4" s="56" t="s">
        <v>125</v>
      </c>
      <c r="AN4" s="56" t="s">
        <v>119</v>
      </c>
      <c r="AO4" s="56" t="s">
        <v>52</v>
      </c>
      <c r="AP4" s="56" t="s">
        <v>123</v>
      </c>
      <c r="AQ4" s="56" t="s">
        <v>122</v>
      </c>
      <c r="AR4" s="56" t="s">
        <v>125</v>
      </c>
      <c r="AS4" s="56" t="s">
        <v>119</v>
      </c>
      <c r="AT4" s="56" t="s">
        <v>52</v>
      </c>
      <c r="AU4" s="113"/>
      <c r="AV4" s="113"/>
      <c r="AW4" s="114" t="s">
        <v>147</v>
      </c>
      <c r="AX4" s="113"/>
      <c r="AY4" s="113"/>
      <c r="AZ4" s="113"/>
      <c r="BA4" s="113"/>
      <c r="BB4" s="113"/>
      <c r="BC4" s="113"/>
      <c r="BD4" s="113"/>
    </row>
    <row r="5">
      <c r="A5" s="113"/>
      <c r="B5" s="113"/>
      <c r="C5" s="113"/>
      <c r="D5" s="113"/>
      <c r="E5" s="113"/>
      <c r="F5" s="113"/>
      <c r="G5" s="115" t="s">
        <v>55</v>
      </c>
      <c r="H5" s="113"/>
      <c r="I5" s="113"/>
      <c r="J5" s="113"/>
      <c r="K5" s="113"/>
      <c r="L5" s="72" t="s">
        <v>55</v>
      </c>
      <c r="M5" s="116"/>
      <c r="N5" s="116"/>
      <c r="O5" s="72" t="s">
        <v>148</v>
      </c>
      <c r="P5" s="72" t="s">
        <v>55</v>
      </c>
      <c r="Q5" s="116"/>
      <c r="R5" s="116"/>
      <c r="S5" s="116"/>
      <c r="T5" s="116"/>
      <c r="U5" s="72" t="s">
        <v>55</v>
      </c>
      <c r="V5" s="116"/>
      <c r="W5" s="116"/>
      <c r="X5" s="116"/>
      <c r="Y5" s="116"/>
      <c r="Z5" s="72" t="s">
        <v>148</v>
      </c>
      <c r="AA5" s="72" t="s">
        <v>55</v>
      </c>
      <c r="AB5" s="116"/>
      <c r="AC5" s="116"/>
      <c r="AD5" s="116"/>
      <c r="AE5" s="116"/>
      <c r="AF5" s="72" t="s">
        <v>55</v>
      </c>
      <c r="AG5" s="116"/>
      <c r="AH5" s="116"/>
      <c r="AI5" s="116"/>
      <c r="AJ5" s="116"/>
      <c r="AK5" s="116"/>
      <c r="AL5" s="72" t="s">
        <v>55</v>
      </c>
      <c r="AM5" s="116"/>
      <c r="AN5" s="116"/>
      <c r="AO5" s="116"/>
      <c r="AP5" s="116"/>
      <c r="AQ5" s="72" t="s">
        <v>55</v>
      </c>
      <c r="AR5" s="116"/>
      <c r="AS5" s="116"/>
      <c r="AT5" s="116"/>
      <c r="AU5" s="116"/>
      <c r="AV5" s="116"/>
      <c r="AW5" s="116"/>
      <c r="AX5" s="72" t="s">
        <v>150</v>
      </c>
      <c r="AY5" s="116"/>
      <c r="AZ5" s="116"/>
      <c r="BA5" s="116"/>
      <c r="BB5" s="116"/>
      <c r="BC5" s="116"/>
      <c r="BD5" s="116"/>
    </row>
    <row r="6">
      <c r="I6" s="19" t="s">
        <v>62</v>
      </c>
      <c r="J6" s="26" t="s">
        <v>66</v>
      </c>
      <c r="K6" s="19" t="s">
        <v>93</v>
      </c>
      <c r="L6" s="19"/>
      <c r="M6" s="19"/>
      <c r="N6" s="19" t="s">
        <v>136</v>
      </c>
      <c r="O6" s="19" t="s">
        <v>153</v>
      </c>
      <c r="P6" s="19"/>
      <c r="Q6" s="19"/>
      <c r="R6" s="19"/>
      <c r="S6" s="19"/>
      <c r="T6" s="19" t="s">
        <v>163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 t="s">
        <v>165</v>
      </c>
      <c r="AV6" s="19"/>
      <c r="AW6" s="19"/>
      <c r="AX6" s="19"/>
      <c r="AY6" s="19"/>
      <c r="AZ6" s="19"/>
      <c r="BA6" s="19"/>
      <c r="BB6" s="19"/>
      <c r="BC6" s="19"/>
      <c r="BD6" s="19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