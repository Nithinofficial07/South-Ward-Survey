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DS" sheetId="2" r:id="rId6"/>
    <sheet state="visible" name="Sheet1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tc={c04a5d81-2d73-4b2c-9ebf-b2ebe9440bc1}</author>
    <author>tc={c99f2fe8-d802-4810-9357-b5d5a5f6609a}</author>
  </authors>
  <commentList>
    <comment authorId="0" xr:uid="{c04a5d81-2d73-4b2c-9ebf-b2ebe9440bc1}" ref="N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What is required? if a concrete road is required then you need to put material as mud road.
</t>
      </text>
    </comment>
    <comment authorId="1" xr:uid="{c99f2fe8-d802-4810-9357-b5d5a5f6609a}" ref="U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you are doing double entry of a single attachment. Attachment 1 is what comes right next to the road. Attachment 2 is what comes next to attachment 1  (away from the road).
</t>
      </text>
    </comment>
  </commentList>
</comments>
</file>

<file path=xl/sharedStrings.xml><?xml version="1.0" encoding="utf-8"?>
<sst xmlns="http://schemas.openxmlformats.org/spreadsheetml/2006/main" count="1526" uniqueCount="318">
  <si>
    <t>ROAD SURVEY — DVG SOUTH CONSTITUENCY — WARD NO. 14</t>
  </si>
  <si>
    <t>Ward No:</t>
  </si>
  <si>
    <t>I.</t>
  </si>
  <si>
    <t>Timestamp</t>
  </si>
  <si>
    <t>II.</t>
  </si>
  <si>
    <t>III.</t>
  </si>
  <si>
    <t>IV.</t>
  </si>
  <si>
    <t>V.. ROAD ONLY</t>
  </si>
  <si>
    <t>Email address</t>
  </si>
  <si>
    <t>Ward Name:</t>
  </si>
  <si>
    <t>Siddrameshwara badavane, Mandakibatti Layout, AK Colony</t>
  </si>
  <si>
    <t>Surveyor Name</t>
  </si>
  <si>
    <t>#</t>
  </si>
  <si>
    <t>Total Number of Roads</t>
  </si>
  <si>
    <t>Road Name (Main)</t>
  </si>
  <si>
    <t>nos</t>
  </si>
  <si>
    <t>Road Name (Cross)</t>
  </si>
  <si>
    <t>Total Road Length</t>
  </si>
  <si>
    <t>VI. STORM WATER GUTTER</t>
  </si>
  <si>
    <t>Area Name</t>
  </si>
  <si>
    <t>Dist. (m)</t>
  </si>
  <si>
    <t>VII. UNDERGROUND DRAINAGE</t>
  </si>
  <si>
    <t>Location (Google Maps link)</t>
  </si>
  <si>
    <t>VIIII. JALASIRI</t>
  </si>
  <si>
    <t>Road Sign</t>
  </si>
  <si>
    <t>IX. ELECTRICAL</t>
  </si>
  <si>
    <t>Use</t>
  </si>
  <si>
    <t>Road Name</t>
  </si>
  <si>
    <t>Material</t>
  </si>
  <si>
    <t>km</t>
  </si>
  <si>
    <t>Volunteer</t>
  </si>
  <si>
    <t>Width (m)</t>
  </si>
  <si>
    <t>Main</t>
  </si>
  <si>
    <t>Cross</t>
  </si>
  <si>
    <t>Road Condition</t>
  </si>
  <si>
    <t>Side (N/E)</t>
  </si>
  <si>
    <t>Dist.</t>
  </si>
  <si>
    <t>Loc</t>
  </si>
  <si>
    <t>Attachment 1 Type</t>
  </si>
  <si>
    <t>ROAD</t>
  </si>
  <si>
    <t>Attachment 1 Width (m)</t>
  </si>
  <si>
    <t>Attachement (N/E)</t>
  </si>
  <si>
    <t>Attachment 1 Dated</t>
  </si>
  <si>
    <t>Length</t>
  </si>
  <si>
    <t>Area</t>
  </si>
  <si>
    <t>Action</t>
  </si>
  <si>
    <t>Attachment 1 Condition</t>
  </si>
  <si>
    <t xml:space="preserve">Std Rate </t>
  </si>
  <si>
    <t>Attachement (S/W)</t>
  </si>
  <si>
    <t>Estimation</t>
  </si>
  <si>
    <t>Notes</t>
  </si>
  <si>
    <t>Attachment 1 Notes</t>
  </si>
  <si>
    <t>Attachment 2 Type</t>
  </si>
  <si>
    <t>unit</t>
  </si>
  <si>
    <t>(N/E)</t>
  </si>
  <si>
    <t>m</t>
  </si>
  <si>
    <t>sqm</t>
  </si>
  <si>
    <t>Attachment 2 Width (m)</t>
  </si>
  <si>
    <t xml:space="preserve"> (S/W)</t>
  </si>
  <si>
    <t>INR</t>
  </si>
  <si>
    <t>Attachment 2 Dated</t>
  </si>
  <si>
    <t>Existing</t>
  </si>
  <si>
    <t>I. Road</t>
  </si>
  <si>
    <t>Attachment 2 Condition</t>
  </si>
  <si>
    <t>Type</t>
  </si>
  <si>
    <t>Rd.Sign</t>
  </si>
  <si>
    <t>Attachment 2 Notes</t>
  </si>
  <si>
    <t>Pipe Dia</t>
  </si>
  <si>
    <t>Yes</t>
  </si>
  <si>
    <t>Condition</t>
  </si>
  <si>
    <t>Side (S/W)</t>
  </si>
  <si>
    <t>Note</t>
  </si>
  <si>
    <t>Attachment 1 Type (S/W)</t>
  </si>
  <si>
    <t>Light Type</t>
  </si>
  <si>
    <t>Attachment 1 Width (m) (S/W)</t>
  </si>
  <si>
    <t>Attachment 1 Dated (S/W)</t>
  </si>
  <si>
    <t>na</t>
  </si>
  <si>
    <t>Attachment 1 Condition (S/W)</t>
  </si>
  <si>
    <t>Attachment 1 Notes (S/W)</t>
  </si>
  <si>
    <t>No</t>
  </si>
  <si>
    <t>Width</t>
  </si>
  <si>
    <t>Attachment 2 Type (S/W)</t>
  </si>
  <si>
    <t>Side</t>
  </si>
  <si>
    <t>Attachment 1</t>
  </si>
  <si>
    <t>Dated</t>
  </si>
  <si>
    <t>Attachment 2 Width (m) (S/W)</t>
  </si>
  <si>
    <t>Attachment 2 Dated (S/W)</t>
  </si>
  <si>
    <t>Attachment 2</t>
  </si>
  <si>
    <t>Attachment 2 Condition (S/W)</t>
  </si>
  <si>
    <t>Damaged</t>
  </si>
  <si>
    <t>Attachment 2 Notes (S/W)</t>
  </si>
  <si>
    <t>length*Width</t>
  </si>
  <si>
    <t>SWG Side (N/E)</t>
  </si>
  <si>
    <t>SWG Type (N/E)</t>
  </si>
  <si>
    <t>Road Type</t>
  </si>
  <si>
    <t>SWG Width (m) (N/E)</t>
  </si>
  <si>
    <t>Main Rd</t>
  </si>
  <si>
    <t>SWG Dated (N/E)</t>
  </si>
  <si>
    <t>SWG Condition (N/E)</t>
  </si>
  <si>
    <t>SWG Notes (N/E)</t>
  </si>
  <si>
    <t>SWG Side (S/W)</t>
  </si>
  <si>
    <t>SWG Width (m) (S/W)</t>
  </si>
  <si>
    <t>SWG Dated (S/W)</t>
  </si>
  <si>
    <t>SWG Condition (S/W)</t>
  </si>
  <si>
    <t>SWG Notes (S/W)</t>
  </si>
  <si>
    <t>UGD Existing</t>
  </si>
  <si>
    <t>UGD Type</t>
  </si>
  <si>
    <t>UGD Date</t>
  </si>
  <si>
    <t>Comercial</t>
  </si>
  <si>
    <t>UGD Pipe Dia (m)</t>
  </si>
  <si>
    <t>UGD Condition</t>
  </si>
  <si>
    <t>Jalasiri Existing</t>
  </si>
  <si>
    <t>Jalasiri Condition</t>
  </si>
  <si>
    <t>Jalasiri Note</t>
  </si>
  <si>
    <t>Electrical Condition</t>
  </si>
  <si>
    <t>Residential</t>
  </si>
  <si>
    <t>vinaygujjar740@gmail.com</t>
  </si>
  <si>
    <t>Vinay</t>
  </si>
  <si>
    <t>Noorani shadi mall</t>
  </si>
  <si>
    <t>Conservency</t>
  </si>
  <si>
    <t>Anekonda road</t>
  </si>
  <si>
    <t xml:space="preserve">Ananda School </t>
  </si>
  <si>
    <t>Concrete</t>
  </si>
  <si>
    <t>Road Material</t>
  </si>
  <si>
    <t>Good</t>
  </si>
  <si>
    <t>East</t>
  </si>
  <si>
    <t>Pavers</t>
  </si>
  <si>
    <t>Gravell</t>
  </si>
  <si>
    <t>Convert to concrete</t>
  </si>
  <si>
    <t>Mud</t>
  </si>
  <si>
    <t>Tar</t>
  </si>
  <si>
    <t>White Topping</t>
  </si>
  <si>
    <t>Required</t>
  </si>
  <si>
    <t>Outdated</t>
  </si>
  <si>
    <t>Shadi mall</t>
  </si>
  <si>
    <t>Maintenance</t>
  </si>
  <si>
    <t>Shadi mall road</t>
  </si>
  <si>
    <t>Imam nagara</t>
  </si>
  <si>
    <t>n/a</t>
  </si>
  <si>
    <t>Noorani shadi mall road</t>
  </si>
  <si>
    <t>II. Attachment (N,S,E,W)</t>
  </si>
  <si>
    <t>Type (N/S) + (E/W)</t>
  </si>
  <si>
    <t>Pavers (Elevated)</t>
  </si>
  <si>
    <t>Pavers Ramp (Elevated)</t>
  </si>
  <si>
    <t>Divider (Concrete)</t>
  </si>
  <si>
    <t>Divider (Planter)</t>
  </si>
  <si>
    <t>Curb (Planterbox)</t>
  </si>
  <si>
    <t>Exposed Soil</t>
  </si>
  <si>
    <t>Elevated Gutter</t>
  </si>
  <si>
    <t>Bund</t>
  </si>
  <si>
    <t>South</t>
  </si>
  <si>
    <t>Date</t>
  </si>
  <si>
    <t>LED- LT Line</t>
  </si>
  <si>
    <t>Additional Required</t>
  </si>
  <si>
    <t>x</t>
  </si>
  <si>
    <t>Ananda road</t>
  </si>
  <si>
    <t>Hamarammpana thota</t>
  </si>
  <si>
    <t>III. SWG (N,S,E,W)</t>
  </si>
  <si>
    <t>FFL Gutter</t>
  </si>
  <si>
    <t>mm</t>
  </si>
  <si>
    <t>No Gutter req</t>
  </si>
  <si>
    <t>North</t>
  </si>
  <si>
    <t>N/A</t>
  </si>
  <si>
    <t>Pavement</t>
  </si>
  <si>
    <t>Pavement (Elevated)</t>
  </si>
  <si>
    <t>IIV. UGD</t>
  </si>
  <si>
    <t>YES</t>
  </si>
  <si>
    <t>Stone</t>
  </si>
  <si>
    <t>No Gutter</t>
  </si>
  <si>
    <t>PVC</t>
  </si>
  <si>
    <t>UPVC</t>
  </si>
  <si>
    <t>V. JALASIRI</t>
  </si>
  <si>
    <t/>
  </si>
  <si>
    <t xml:space="preserve">Noorani shadi mall road </t>
  </si>
  <si>
    <t xml:space="preserve">Imam nagara </t>
  </si>
  <si>
    <t>VI.ELECTRICAL</t>
  </si>
  <si>
    <t>https://maps.app.goo.gl/mxE4o9STtDhyka2b7?g_st=aw</t>
  </si>
  <si>
    <t>LED- Pole</t>
  </si>
  <si>
    <t>Solar</t>
  </si>
  <si>
    <t>Sodium</t>
  </si>
  <si>
    <t>West</t>
  </si>
  <si>
    <t>??</t>
  </si>
  <si>
    <t>Imman nagar</t>
  </si>
  <si>
    <t>1st</t>
  </si>
  <si>
    <t>Hamarpan thota</t>
  </si>
  <si>
    <t>https://maps.app.goo.gl/CApNN92h5Pi4NkJE6</t>
  </si>
  <si>
    <t xml:space="preserve">Sampath Kumar K R </t>
  </si>
  <si>
    <t xml:space="preserve">Bambu bazar road </t>
  </si>
  <si>
    <t>Amarapana thota</t>
  </si>
  <si>
    <t>https://maps.app.goo.gl/b7h4mcPkXaou9izX9</t>
  </si>
  <si>
    <t xml:space="preserve">RMC </t>
  </si>
  <si>
    <t xml:space="preserve">Anokonda kere </t>
  </si>
  <si>
    <t>https://maps.app.goo.gl/WUp8PACcDBvqhDtaA</t>
  </si>
  <si>
    <t xml:space="preserve">Bambu bazar main road </t>
  </si>
  <si>
    <t>https://maps.app.goo.gl/69w3HfwXuikMUw6X7</t>
  </si>
  <si>
    <t>Anokonda kere</t>
  </si>
  <si>
    <t>https://maps.app.goo.gl/oYVUYtE6eFVzzrxg8</t>
  </si>
  <si>
    <t xml:space="preserve">Bambu bazar </t>
  </si>
  <si>
    <t>https://maps.app.goo.gl/Sr1NdrbpHWtEqMVq9</t>
  </si>
  <si>
    <t>RMC</t>
  </si>
  <si>
    <t>Anekonda kere</t>
  </si>
  <si>
    <t>https://maps.app.goo.gl/3dXNpRKLRkSq9vgC7</t>
  </si>
  <si>
    <t>https://maps.app.goo.gl/qnTpXJGR4zsX4hXb9</t>
  </si>
  <si>
    <t>5th</t>
  </si>
  <si>
    <t>Ankonda kere</t>
  </si>
  <si>
    <t>https://maps.app.goo.gl/pi6SdbnLCfeUuBo5A</t>
  </si>
  <si>
    <t>No attachments there</t>
  </si>
  <si>
    <t>https://maps.app.goo.gl/QZMzoPb65GitNhTG8</t>
  </si>
  <si>
    <t>7th</t>
  </si>
  <si>
    <t>https://maps.app.goo.gl/qfibaJgXLshCvNdK6</t>
  </si>
  <si>
    <t xml:space="preserve">No attachments </t>
  </si>
  <si>
    <t>https://maps.app.goo.gl/s9jLVbWhzWMZ9VYC9</t>
  </si>
  <si>
    <t>8th</t>
  </si>
  <si>
    <t>https://maps.app.goo.gl/xfonzVaccnm5PCbh8</t>
  </si>
  <si>
    <t xml:space="preserve">Samil road </t>
  </si>
  <si>
    <t>https://maps.app.goo.gl/XhW37LbXb2z7fuep9</t>
  </si>
  <si>
    <t>Samill road</t>
  </si>
  <si>
    <t>https://maps.app.goo.gl/ycmehGTEE2Tz9mks7</t>
  </si>
  <si>
    <t>Saw mill</t>
  </si>
  <si>
    <t xml:space="preserve">Anekonda kere </t>
  </si>
  <si>
    <t>https://maps.app.goo.gl/k8LZ4yzTRXVxi5bZ9</t>
  </si>
  <si>
    <t xml:space="preserve">K R road </t>
  </si>
  <si>
    <t>https://maps.app.goo.gl/dFNah6QdayAczUxUA</t>
  </si>
  <si>
    <t>K.R road</t>
  </si>
  <si>
    <t>Rajmahal shadimahal cross</t>
  </si>
  <si>
    <t>Iynalli geen</t>
  </si>
  <si>
    <t>https://maps.app.goo.gl/hNJkY7S78Ma8LfgK6</t>
  </si>
  <si>
    <t xml:space="preserve">K R ROAD </t>
  </si>
  <si>
    <t xml:space="preserve">Amarapana thota </t>
  </si>
  <si>
    <t>https://maps.app.goo.gl/PjCkiC98eEdD7def8</t>
  </si>
  <si>
    <t>Bamboo bazaar</t>
  </si>
  <si>
    <t>Iyenalli geen</t>
  </si>
  <si>
    <t>https://maps.app.goo.gl/tytLHBa9fwA5bv1G8</t>
  </si>
  <si>
    <t xml:space="preserve">Chowkipete main road </t>
  </si>
  <si>
    <t>https://maps.app.goo.gl/w4PJvbEgpdR16FVVA</t>
  </si>
  <si>
    <t>Hubli chowdappana galli main road</t>
  </si>
  <si>
    <t>Mutton market road</t>
  </si>
  <si>
    <t>Water tank park</t>
  </si>
  <si>
    <t>https://maps.app.goo.gl/Aeu7812fCdSqRFZs6</t>
  </si>
  <si>
    <t>Maharaj pete</t>
  </si>
  <si>
    <t xml:space="preserve">Mutton market </t>
  </si>
  <si>
    <t xml:space="preserve">Government urdu school </t>
  </si>
  <si>
    <t>https://maps.app.goo.gl/zQPRrcHSCE8FiGS6A</t>
  </si>
  <si>
    <t>Jubli bavi road</t>
  </si>
  <si>
    <t>https://maps.app.goo.gl/vYhAqxEhfC7ZD7337</t>
  </si>
  <si>
    <t xml:space="preserve">maharaj pete main road </t>
  </si>
  <si>
    <t>maharaj pete</t>
  </si>
  <si>
    <t>https://maps.app.goo.gl/ShCGozSThnVHSQGfA</t>
  </si>
  <si>
    <t xml:space="preserve">1st cross </t>
  </si>
  <si>
    <t>https://maps.app.goo.gl/uzEbAXVVVa2JGCaR9</t>
  </si>
  <si>
    <t>Hubli chowdapana galli</t>
  </si>
  <si>
    <t>2nd</t>
  </si>
  <si>
    <t>https://maps.app.goo.gl/gDdzSpekbsgNGsqv5</t>
  </si>
  <si>
    <t xml:space="preserve">Pavers are breakdown </t>
  </si>
  <si>
    <t xml:space="preserve">Jubli bavi road </t>
  </si>
  <si>
    <t xml:space="preserve">Beside vital temple </t>
  </si>
  <si>
    <t>https://maps.app.goo.gl/qWaz9isBDBbfn2947</t>
  </si>
  <si>
    <t xml:space="preserve">Hubli chowdapana galli </t>
  </si>
  <si>
    <t xml:space="preserve">Gardi mane opposite </t>
  </si>
  <si>
    <t>https://maps.app.goo.gl/okFmjjqcHEpmv1Y59</t>
  </si>
  <si>
    <t xml:space="preserve">Gadi mane opposite </t>
  </si>
  <si>
    <t>https://maps.app.goo.gl/jz68ZBmrh9c5XrCf6</t>
  </si>
  <si>
    <t>Hosa pingargalli</t>
  </si>
  <si>
    <t>https://maps.app.goo.gl/QKUspwEBHmT3Ui3E7</t>
  </si>
  <si>
    <t xml:space="preserve">MB compound </t>
  </si>
  <si>
    <t>https://maps.app.goo.gl/vF7CQ84ZF5eNU62b7</t>
  </si>
  <si>
    <t>Chamraj pete</t>
  </si>
  <si>
    <t>https://maps.app.goo.gl/ufXuNoc6xztFeKiw5</t>
  </si>
  <si>
    <t>No pavements</t>
  </si>
  <si>
    <t>Behind jayadeva press</t>
  </si>
  <si>
    <t>https://maps.app.goo.gl/UzXM1hZP7kR96JFA8</t>
  </si>
  <si>
    <t xml:space="preserve">Chowkipete </t>
  </si>
  <si>
    <t>https://maps.app.goo.gl/NQd4FW1gRy9iRDTP8</t>
  </si>
  <si>
    <t>New masidi galli backside</t>
  </si>
  <si>
    <t>Chowki pete</t>
  </si>
  <si>
    <t>https://maps.app.goo.gl/rVwicWkmu7coX3sJ8</t>
  </si>
  <si>
    <t xml:space="preserve">Chowkipete Cross road </t>
  </si>
  <si>
    <t xml:space="preserve">New masidi road </t>
  </si>
  <si>
    <t>https://maps.app.goo.gl/s7EyEHXTbCUQtuaY9</t>
  </si>
  <si>
    <t>Hasbavi circle road</t>
  </si>
  <si>
    <t>Hajatnagar main road</t>
  </si>
  <si>
    <t>https://maps.app.goo.gl/CkDETsaDE7rkc2nDA</t>
  </si>
  <si>
    <t xml:space="preserve">N R road </t>
  </si>
  <si>
    <t>N R road consurency</t>
  </si>
  <si>
    <t>https://maps.app.goo.gl/PRKgFMTsEchGfg1b6</t>
  </si>
  <si>
    <t>N R road</t>
  </si>
  <si>
    <t>Narsaraja pete</t>
  </si>
  <si>
    <t>https://maps.app.goo.gl/nei5gFu9hXRtGPrz8</t>
  </si>
  <si>
    <t>No SWG</t>
  </si>
  <si>
    <t xml:space="preserve">Ambarappana thota </t>
  </si>
  <si>
    <t>K . R road</t>
  </si>
  <si>
    <t>https://maps.app.goo.gl/oUuNLVYmr7BzRtc5A</t>
  </si>
  <si>
    <t xml:space="preserve">No pavements </t>
  </si>
  <si>
    <t xml:space="preserve">2nd </t>
  </si>
  <si>
    <t xml:space="preserve"> Beside Banni mara  right side</t>
  </si>
  <si>
    <t>https://maps.app.goo.gl/TDx4UdCiKzWpVats7</t>
  </si>
  <si>
    <t xml:space="preserve">3rd cross </t>
  </si>
  <si>
    <t xml:space="preserve">Beside Banni mara left </t>
  </si>
  <si>
    <t>https://maps.app.goo.gl/4rXz7RTQMaoCcx8X6</t>
  </si>
  <si>
    <t xml:space="preserve">1st main </t>
  </si>
  <si>
    <t>Amarappanathotta</t>
  </si>
  <si>
    <t>https://maps.app.goo.gl/ioiAjZp9cu7Xnuv2A?g_st=ac</t>
  </si>
  <si>
    <t>Ambarappana thota</t>
  </si>
  <si>
    <t>Noorani shadi mahal road</t>
  </si>
  <si>
    <t>https://maps.app.goo.gl/TQDVKMdgSczKyDBe9</t>
  </si>
  <si>
    <t xml:space="preserve">Noorani shadi mahal </t>
  </si>
  <si>
    <t>https://maps.app.goo.gl/QCKmQHaafG49HrVK9</t>
  </si>
  <si>
    <t xml:space="preserve">Bavvi katte enteraince </t>
  </si>
  <si>
    <t>https://maps.app.goo.gl/nW9oGVoNRU63YAq38</t>
  </si>
  <si>
    <t xml:space="preserve">Bethuru road </t>
  </si>
  <si>
    <t xml:space="preserve">5 cross </t>
  </si>
  <si>
    <t xml:space="preserve">Indiranagar A K Hatti </t>
  </si>
  <si>
    <t>https://maps.app.goo.gl/X9DKYF4V6CeyksrX6?g_st=ac</t>
  </si>
  <si>
    <t xml:space="preserve">4 cross </t>
  </si>
  <si>
    <t xml:space="preserve">Indiranagar </t>
  </si>
  <si>
    <t xml:space="preserve">Bethuru road 2 main </t>
  </si>
  <si>
    <t xml:space="preserve">Koracharahatti </t>
  </si>
  <si>
    <t>https://maps.app.goo.gl/MSpzmoNbZgB14viw8?g_st=aw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</si>
</sst>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&gt;9999999]##\,##\,##\,##0.00;[&gt;99999]##\,##\,##0.00;##,##0.00"/>
    <numFmt numFmtId="165" formatCode="m/d/yyyy h:mm:ss"/>
  </numFmts>
  <fonts count="23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rgb="FFFFFFFF"/>
      <name val="Arial"/>
      <scheme val="minor"/>
    </font>
    <font/>
    <font>
      <color theme="1"/>
      <name val="Arial"/>
      <scheme val="minor"/>
    </font>
    <font>
      <color rgb="FF274E13"/>
      <name val="Arial"/>
      <scheme val="minor"/>
    </font>
    <font>
      <color rgb="FFFF0000"/>
      <name val="Arial"/>
      <scheme val="minor"/>
    </font>
    <font>
      <color rgb="FF7F6000"/>
      <name val="Arial"/>
      <scheme val="minor"/>
    </font>
    <font>
      <color rgb="FF0000FF"/>
      <name val="Arial"/>
      <scheme val="minor"/>
    </font>
    <font>
      <color rgb="FF20124D"/>
      <name val="Arial"/>
      <scheme val="minor"/>
    </font>
    <font>
      <color rgb="FFB45F06"/>
      <name val="Arial"/>
      <scheme val="minor"/>
    </font>
    <font>
      <color rgb="FF38761D"/>
      <name val="Arial"/>
      <scheme val="minor"/>
    </font>
    <font>
      <color rgb="FF073763"/>
      <name val="Arial"/>
      <scheme val="minor"/>
    </font>
    <font>
      <color rgb="FF990000"/>
      <name val="Arial"/>
      <scheme val="minor"/>
    </font>
    <font>
      <color rgb="FF9900FF"/>
      <name val="Arial"/>
      <scheme val="minor"/>
    </font>
    <font>
      <color rgb="FF783F04"/>
      <name val="Arial"/>
      <scheme val="minor"/>
    </font>
    <font>
      <color rgb="FF666666"/>
      <name val="Arial"/>
      <scheme val="minor"/>
    </font>
    <font>
      <color rgb="FF1C4587"/>
      <name val="Arial"/>
      <scheme val="minor"/>
    </font>
    <font>
      <color rgb="FFFF9900"/>
      <name val="Arial"/>
      <scheme val="minor"/>
    </font>
    <font>
      <u/>
      <color rgb="FF0000FF"/>
      <name val="Roboto"/>
    </font>
    <font>
      <color rgb="FF351C75"/>
      <name val="Arial"/>
      <scheme val="minor"/>
    </font>
    <font>
      <color rgb="FFCC0000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73763"/>
        <bgColor rgb="FF073763"/>
      </patternFill>
    </fill>
    <fill>
      <patternFill patternType="solid">
        <fgColor rgb="FF1C4587"/>
        <bgColor rgb="FF1C4587"/>
      </patternFill>
    </fill>
    <fill>
      <patternFill patternType="solid">
        <fgColor rgb="FF134F5C"/>
        <bgColor rgb="FF134F5C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1155CC"/>
        <bgColor rgb="FF1155CC"/>
      </patternFill>
    </fill>
    <fill>
      <patternFill patternType="solid">
        <fgColor rgb="FFB45F06"/>
        <bgColor rgb="FFB45F06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</fills>
  <borders count="20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n">
        <color rgb="FF000000"/>
      </right>
      <top style="thick">
        <color rgb="FF0000FF"/>
      </top>
    </border>
    <border>
      <left style="thin">
        <color rgb="FF000000"/>
      </left>
      <right style="thin">
        <color rgb="FF000000"/>
      </right>
      <top style="thick">
        <color rgb="FF0000FF"/>
      </top>
      <bottom style="thin">
        <color rgb="FF000000"/>
      </bottom>
    </border>
    <border>
      <left style="medium">
        <color rgb="FF0000FF"/>
      </left>
      <right style="thin">
        <color rgb="FF000000"/>
      </right>
      <top style="thick">
        <color rgb="FF0000FF"/>
      </top>
      <bottom style="thin">
        <color rgb="FF000000"/>
      </bottom>
    </border>
    <border>
      <left style="medium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vertical="bottom"/>
    </xf>
    <xf borderId="0" fillId="3" fontId="3" numFmtId="0" xfId="0" applyAlignment="1" applyFill="1" applyFont="1">
      <alignment horizontal="left" textRotation="0" vertical="center"/>
    </xf>
    <xf borderId="0" fillId="3" fontId="3" numFmtId="0" xfId="0" applyAlignment="1" applyFont="1">
      <alignment horizontal="left" readingOrder="0" shrinkToFit="0" textRotation="0" vertical="center" wrapText="1"/>
    </xf>
    <xf borderId="1" fillId="4" fontId="2" numFmtId="0" xfId="0" applyAlignment="1" applyBorder="1" applyFill="1" applyFont="1">
      <alignment vertical="bottom"/>
    </xf>
    <xf borderId="2" fillId="4" fontId="1" numFmtId="0" xfId="0" applyAlignment="1" applyBorder="1" applyFont="1">
      <alignment horizontal="center" vertical="bottom"/>
    </xf>
    <xf borderId="3" fillId="0" fontId="4" numFmtId="0" xfId="0" applyBorder="1" applyFont="1"/>
    <xf borderId="0" fillId="3" fontId="3" numFmtId="0" xfId="0" applyAlignment="1" applyFont="1">
      <alignment horizontal="left" readingOrder="0" textRotation="0"/>
    </xf>
    <xf borderId="4" fillId="0" fontId="4" numFmtId="0" xfId="0" applyBorder="1" applyFont="1"/>
    <xf borderId="1" fillId="4" fontId="1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left" readingOrder="0" shrinkToFit="0" vertical="center" wrapText="1"/>
    </xf>
    <xf borderId="2" fillId="5" fontId="1" numFmtId="0" xfId="0" applyAlignment="1" applyBorder="1" applyFill="1" applyFont="1">
      <alignment horizontal="center" vertical="bottom"/>
    </xf>
    <xf borderId="3" fillId="5" fontId="2" numFmtId="0" xfId="0" applyAlignment="1" applyBorder="1" applyFont="1">
      <alignment vertical="bottom"/>
    </xf>
    <xf borderId="4" fillId="5" fontId="2" numFmtId="0" xfId="0" applyAlignment="1" applyBorder="1" applyFont="1">
      <alignment vertical="bottom"/>
    </xf>
    <xf borderId="2" fillId="6" fontId="1" numFmtId="0" xfId="0" applyAlignment="1" applyBorder="1" applyFill="1" applyFont="1">
      <alignment horizontal="center" vertical="bottom"/>
    </xf>
    <xf borderId="2" fillId="7" fontId="1" numFmtId="0" xfId="0" applyAlignment="1" applyBorder="1" applyFill="1" applyFont="1">
      <alignment horizontal="center" vertical="bottom"/>
    </xf>
    <xf borderId="2" fillId="8" fontId="1" numFmtId="0" xfId="0" applyAlignment="1" applyBorder="1" applyFill="1" applyFont="1">
      <alignment horizontal="center" vertical="bottom"/>
    </xf>
    <xf borderId="2" fillId="9" fontId="1" numFmtId="0" xfId="0" applyAlignment="1" applyBorder="1" applyFill="1" applyFont="1">
      <alignment horizontal="center" vertical="bottom"/>
    </xf>
    <xf borderId="0" fillId="3" fontId="3" numFmtId="164" xfId="0" applyAlignment="1" applyFont="1" applyNumberFormat="1">
      <alignment horizontal="right" readingOrder="0" textRotation="0"/>
    </xf>
    <xf borderId="6" fillId="4" fontId="1" numFmtId="0" xfId="0" applyAlignment="1" applyBorder="1" applyFont="1">
      <alignment horizontal="center"/>
    </xf>
    <xf borderId="5" fillId="3" fontId="3" numFmtId="0" xfId="0" applyAlignment="1" applyBorder="1" applyFont="1">
      <alignment horizontal="center" textRotation="90" vertical="center"/>
    </xf>
    <xf borderId="5" fillId="3" fontId="3" numFmtId="0" xfId="0" applyAlignment="1" applyBorder="1" applyFont="1">
      <alignment horizontal="center" readingOrder="0" shrinkToFit="0" textRotation="90" vertical="center" wrapText="1"/>
    </xf>
    <xf borderId="2" fillId="10" fontId="1" numFmtId="0" xfId="0" applyAlignment="1" applyBorder="1" applyFill="1" applyFont="1">
      <alignment horizontal="center" vertical="bottom"/>
    </xf>
    <xf borderId="5" fillId="3" fontId="3" numFmtId="0" xfId="0" applyBorder="1" applyFont="1"/>
    <xf borderId="2" fillId="11" fontId="1" numFmtId="0" xfId="0" applyAlignment="1" applyBorder="1" applyFill="1" applyFont="1">
      <alignment horizontal="center" vertical="bottom"/>
    </xf>
    <xf borderId="5" fillId="3" fontId="3" numFmtId="0" xfId="0" applyAlignment="1" applyBorder="1" applyFont="1">
      <alignment readingOrder="0"/>
    </xf>
    <xf borderId="2" fillId="12" fontId="1" numFmtId="0" xfId="0" applyAlignment="1" applyBorder="1" applyFill="1" applyFont="1">
      <alignment horizontal="center" vertical="bottom"/>
    </xf>
    <xf borderId="5" fillId="3" fontId="3" numFmtId="0" xfId="0" applyAlignment="1" applyBorder="1" applyFont="1">
      <alignment horizontal="center" readingOrder="0" textRotation="90" vertical="center"/>
    </xf>
    <xf borderId="6" fillId="4" fontId="1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readingOrder="0" textRotation="90" vertical="center"/>
    </xf>
    <xf borderId="8" fillId="4" fontId="1" numFmtId="0" xfId="0" applyAlignment="1" applyBorder="1" applyFont="1">
      <alignment horizontal="center" vertical="bottom"/>
    </xf>
    <xf borderId="9" fillId="4" fontId="2" numFmtId="0" xfId="0" applyAlignment="1" applyBorder="1" applyFont="1">
      <alignment vertical="bottom"/>
    </xf>
    <xf borderId="7" fillId="0" fontId="5" numFmtId="0" xfId="0" applyAlignment="1" applyBorder="1" applyFont="1">
      <alignment horizontal="center" readingOrder="0" shrinkToFit="0" textRotation="90" vertical="center" wrapText="1"/>
    </xf>
    <xf borderId="5" fillId="13" fontId="6" numFmtId="0" xfId="0" applyAlignment="1" applyBorder="1" applyFill="1" applyFont="1">
      <alignment readingOrder="0"/>
    </xf>
    <xf borderId="5" fillId="13" fontId="6" numFmtId="0" xfId="0" applyAlignment="1" applyBorder="1" applyFont="1">
      <alignment readingOrder="0"/>
    </xf>
    <xf borderId="8" fillId="0" fontId="4" numFmtId="0" xfId="0" applyBorder="1" applyFont="1"/>
    <xf borderId="5" fillId="0" fontId="5" numFmtId="0" xfId="0" applyAlignment="1" applyBorder="1" applyFont="1">
      <alignment readingOrder="0"/>
    </xf>
    <xf borderId="5" fillId="0" fontId="5" numFmtId="0" xfId="0" applyBorder="1" applyFont="1"/>
    <xf borderId="10" fillId="0" fontId="4" numFmtId="0" xfId="0" applyBorder="1" applyFont="1"/>
    <xf borderId="5" fillId="14" fontId="7" numFmtId="0" xfId="0" applyAlignment="1" applyBorder="1" applyFill="1" applyFont="1">
      <alignment readingOrder="0"/>
    </xf>
    <xf borderId="11" fillId="0" fontId="4" numFmtId="0" xfId="0" applyBorder="1" applyFont="1"/>
    <xf borderId="12" fillId="15" fontId="8" numFmtId="0" xfId="0" applyAlignment="1" applyBorder="1" applyFill="1" applyFont="1">
      <alignment readingOrder="0"/>
    </xf>
    <xf borderId="12" fillId="13" fontId="6" numFmtId="0" xfId="0" applyAlignment="1" applyBorder="1" applyFont="1">
      <alignment readingOrder="0"/>
    </xf>
    <xf borderId="12" fillId="0" fontId="5" numFmtId="0" xfId="0" applyAlignment="1" applyBorder="1" applyFont="1">
      <alignment readingOrder="0"/>
    </xf>
    <xf borderId="12" fillId="0" fontId="5" numFmtId="0" xfId="0" applyBorder="1" applyFont="1"/>
    <xf borderId="13" fillId="0" fontId="5" numFmtId="0" xfId="0" applyAlignment="1" applyBorder="1" applyFont="1">
      <alignment horizontal="center" readingOrder="0" shrinkToFit="0" textRotation="90" vertical="center" wrapText="1"/>
    </xf>
    <xf borderId="11" fillId="16" fontId="9" numFmtId="0" xfId="0" applyAlignment="1" applyBorder="1" applyFill="1" applyFont="1">
      <alignment readingOrder="0"/>
    </xf>
    <xf borderId="11" fillId="17" fontId="6" numFmtId="0" xfId="0" applyAlignment="1" applyBorder="1" applyFill="1" applyFont="1">
      <alignment readingOrder="0"/>
    </xf>
    <xf borderId="11" fillId="0" fontId="5" numFmtId="0" xfId="0" applyBorder="1" applyFont="1"/>
    <xf borderId="5" fillId="18" fontId="10" numFmtId="0" xfId="0" applyAlignment="1" applyBorder="1" applyFill="1" applyFont="1">
      <alignment readingOrder="0"/>
    </xf>
    <xf borderId="5" fillId="17" fontId="6" numFmtId="0" xfId="0" applyAlignment="1" applyBorder="1" applyFont="1">
      <alignment readingOrder="0"/>
    </xf>
    <xf borderId="5" fillId="0" fontId="5" numFmtId="0" xfId="0" applyAlignment="1" applyBorder="1" applyFont="1">
      <alignment shrinkToFit="0" wrapText="1"/>
    </xf>
    <xf borderId="5" fillId="19" fontId="11" numFmtId="0" xfId="0" applyAlignment="1" applyBorder="1" applyFill="1" applyFont="1">
      <alignment readingOrder="0"/>
    </xf>
    <xf borderId="5" fillId="0" fontId="5" numFmtId="165" xfId="0" applyAlignment="1" applyBorder="1" applyFont="1" applyNumberFormat="1">
      <alignment readingOrder="0" shrinkToFit="0" vertical="center" wrapText="0"/>
    </xf>
    <xf borderId="5" fillId="0" fontId="5" numFmtId="0" xfId="0" applyAlignment="1" applyBorder="1" applyFont="1">
      <alignment readingOrder="0" shrinkToFit="0" vertical="center" wrapText="0"/>
    </xf>
    <xf borderId="12" fillId="13" fontId="6" numFmtId="0" xfId="0" applyAlignment="1" applyBorder="1" applyFont="1">
      <alignment readingOrder="0"/>
    </xf>
    <xf borderId="12" fillId="17" fontId="6" numFmtId="0" xfId="0" applyAlignment="1" applyBorder="1" applyFont="1">
      <alignment readingOrder="0"/>
    </xf>
    <xf borderId="5" fillId="13" fontId="6" numFmtId="0" xfId="0" applyAlignment="1" applyBorder="1" applyFont="1">
      <alignment readingOrder="0" shrinkToFit="0" vertical="center" wrapText="0"/>
    </xf>
    <xf borderId="11" fillId="16" fontId="9" numFmtId="0" xfId="0" applyAlignment="1" applyBorder="1" applyFont="1">
      <alignment readingOrder="0" shrinkToFit="0" vertical="center" wrapText="0"/>
    </xf>
    <xf borderId="11" fillId="13" fontId="6" numFmtId="0" xfId="0" applyAlignment="1" applyBorder="1" applyFont="1">
      <alignment readingOrder="0" shrinkToFit="0" vertical="center" wrapText="0"/>
    </xf>
    <xf borderId="10" fillId="0" fontId="5" numFmtId="0" xfId="0" applyAlignment="1" applyBorder="1" applyFont="1">
      <alignment horizontal="center" readingOrder="0" shrinkToFit="0" textRotation="90" vertical="center" wrapText="1"/>
    </xf>
    <xf borderId="11" fillId="13" fontId="6" numFmtId="0" xfId="0" applyAlignment="1" applyBorder="1" applyFont="1">
      <alignment readingOrder="0"/>
    </xf>
    <xf borderId="5" fillId="16" fontId="9" numFmtId="0" xfId="0" applyAlignment="1" applyBorder="1" applyFont="1">
      <alignment readingOrder="0" shrinkToFit="0" vertical="center" wrapText="0"/>
    </xf>
    <xf borderId="5" fillId="13" fontId="12" numFmtId="0" xfId="0" applyAlignment="1" applyBorder="1" applyFont="1">
      <alignment readingOrder="0" shrinkToFit="0" vertical="center" wrapText="0"/>
    </xf>
    <xf borderId="5" fillId="0" fontId="5" numFmtId="0" xfId="0" applyAlignment="1" applyBorder="1" applyFont="1">
      <alignment shrinkToFit="0" vertical="center" wrapText="0"/>
    </xf>
    <xf borderId="5" fillId="0" fontId="5" numFmtId="164" xfId="0" applyAlignment="1" applyBorder="1" applyFont="1" applyNumberFormat="1">
      <alignment readingOrder="0"/>
    </xf>
    <xf borderId="5" fillId="0" fontId="5" numFmtId="164" xfId="0" applyBorder="1" applyFont="1" applyNumberFormat="1"/>
    <xf borderId="5" fillId="20" fontId="13" numFmtId="0" xfId="0" applyAlignment="1" applyBorder="1" applyFill="1" applyFont="1">
      <alignment readingOrder="0"/>
    </xf>
    <xf borderId="7" fillId="15" fontId="14" numFmtId="0" xfId="0" applyAlignment="1" applyBorder="1" applyFont="1">
      <alignment readingOrder="0"/>
    </xf>
    <xf borderId="7" fillId="17" fontId="6" numFmtId="0" xfId="0" applyAlignment="1" applyBorder="1" applyFont="1">
      <alignment readingOrder="0"/>
    </xf>
    <xf borderId="7" fillId="0" fontId="5" numFmtId="0" xfId="0" applyBorder="1" applyFont="1"/>
    <xf borderId="14" fillId="13" fontId="6" numFmtId="0" xfId="0" applyAlignment="1" applyBorder="1" applyFont="1">
      <alignment readingOrder="0"/>
    </xf>
    <xf borderId="14" fillId="17" fontId="6" numFmtId="0" xfId="0" applyAlignment="1" applyBorder="1" applyFont="1">
      <alignment readingOrder="0"/>
    </xf>
    <xf borderId="14" fillId="0" fontId="5" numFmtId="0" xfId="0" applyBorder="1" applyFont="1"/>
    <xf borderId="5" fillId="0" fontId="5" numFmtId="165" xfId="0" applyAlignment="1" applyBorder="1" applyFont="1" applyNumberFormat="1">
      <alignment readingOrder="0" shrinkToFit="0" vertical="center" wrapText="0"/>
    </xf>
    <xf borderId="5" fillId="0" fontId="5" numFmtId="0" xfId="0" applyAlignment="1" applyBorder="1" applyFont="1">
      <alignment readingOrder="0" shrinkToFit="0" vertical="center" wrapText="0"/>
    </xf>
    <xf borderId="5" fillId="18" fontId="15" numFmtId="0" xfId="0" applyAlignment="1" applyBorder="1" applyFont="1">
      <alignment readingOrder="0"/>
    </xf>
    <xf borderId="5" fillId="19" fontId="16" numFmtId="0" xfId="0" applyAlignment="1" applyBorder="1" applyFont="1">
      <alignment readingOrder="0"/>
    </xf>
    <xf borderId="15" fillId="21" fontId="17" numFmtId="0" xfId="0" applyAlignment="1" applyBorder="1" applyFill="1" applyFont="1">
      <alignment readingOrder="0"/>
    </xf>
    <xf borderId="16" fillId="0" fontId="5" numFmtId="0" xfId="0" applyAlignment="1" applyBorder="1" applyFont="1">
      <alignment horizontal="center" readingOrder="0" textRotation="90" vertical="center"/>
    </xf>
    <xf borderId="16" fillId="0" fontId="5" numFmtId="0" xfId="0" applyAlignment="1" applyBorder="1" applyFont="1">
      <alignment horizontal="center" readingOrder="0" shrinkToFit="0" textRotation="90" vertical="center" wrapText="1"/>
    </xf>
    <xf borderId="17" fillId="13" fontId="12" numFmtId="0" xfId="0" applyAlignment="1" applyBorder="1" applyFont="1">
      <alignment readingOrder="0"/>
    </xf>
    <xf borderId="17" fillId="17" fontId="6" numFmtId="0" xfId="0" applyAlignment="1" applyBorder="1" applyFont="1">
      <alignment readingOrder="0"/>
    </xf>
    <xf borderId="17" fillId="0" fontId="5" numFmtId="0" xfId="0" applyBorder="1" applyFont="1"/>
    <xf borderId="5" fillId="22" fontId="12" numFmtId="0" xfId="0" applyAlignment="1" applyBorder="1" applyFill="1" applyFont="1">
      <alignment readingOrder="0"/>
    </xf>
    <xf borderId="5" fillId="22" fontId="12" numFmtId="0" xfId="0" applyAlignment="1" applyBorder="1" applyFont="1">
      <alignment readingOrder="0" shrinkToFit="0" vertical="center" wrapText="0"/>
    </xf>
    <xf borderId="5" fillId="0" fontId="5" numFmtId="14" xfId="0" applyAlignment="1" applyBorder="1" applyFont="1" applyNumberFormat="1">
      <alignment readingOrder="0" shrinkToFit="0" vertical="center" wrapText="0"/>
    </xf>
    <xf borderId="5" fillId="11" fontId="6" numFmtId="0" xfId="0" applyAlignment="1" applyBorder="1" applyFont="1">
      <alignment readingOrder="0"/>
    </xf>
    <xf borderId="5" fillId="0" fontId="5" numFmtId="0" xfId="0" applyAlignment="1" applyBorder="1" applyFont="1">
      <alignment shrinkToFit="0" vertical="center" wrapText="0"/>
    </xf>
    <xf borderId="5" fillId="18" fontId="5" numFmtId="0" xfId="0" applyAlignment="1" applyBorder="1" applyFont="1">
      <alignment readingOrder="0"/>
    </xf>
    <xf borderId="5" fillId="20" fontId="9" numFmtId="0" xfId="0" applyAlignment="1" applyBorder="1" applyFont="1">
      <alignment readingOrder="0" shrinkToFit="0" vertical="center" wrapText="0"/>
    </xf>
    <xf borderId="5" fillId="20" fontId="18" numFmtId="0" xfId="0" applyAlignment="1" applyBorder="1" applyFont="1">
      <alignment readingOrder="0"/>
    </xf>
    <xf borderId="5" fillId="19" fontId="19" numFmtId="0" xfId="0" applyAlignment="1" applyBorder="1" applyFont="1">
      <alignment readingOrder="0" shrinkToFit="0" vertical="center" wrapText="0"/>
    </xf>
    <xf borderId="5" fillId="23" fontId="7" numFmtId="0" xfId="0" applyAlignment="1" applyBorder="1" applyFill="1" applyFont="1">
      <alignment readingOrder="0"/>
    </xf>
    <xf borderId="12" fillId="21" fontId="17" numFmtId="0" xfId="0" applyAlignment="1" applyBorder="1" applyFont="1">
      <alignment readingOrder="0"/>
    </xf>
    <xf borderId="9" fillId="0" fontId="4" numFmtId="0" xfId="0" applyBorder="1" applyFont="1"/>
    <xf borderId="9" fillId="4" fontId="1" numFmtId="0" xfId="0" applyAlignment="1" applyBorder="1" applyFont="1">
      <alignment horizontal="center" vertical="bottom"/>
    </xf>
    <xf borderId="5" fillId="19" fontId="11" numFmtId="0" xfId="0" applyAlignment="1" applyBorder="1" applyFont="1">
      <alignment readingOrder="0" shrinkToFit="0" vertical="center" wrapText="0"/>
    </xf>
    <xf borderId="8" fillId="4" fontId="1" numFmtId="0" xfId="0" applyAlignment="1" applyBorder="1" applyFont="1">
      <alignment horizontal="center"/>
    </xf>
    <xf borderId="6" fillId="4" fontId="2" numFmtId="0" xfId="0" applyAlignment="1" applyBorder="1" applyFont="1">
      <alignment vertical="bottom"/>
    </xf>
    <xf borderId="15" fillId="17" fontId="6" numFmtId="0" xfId="0" applyAlignment="1" applyBorder="1" applyFont="1">
      <alignment readingOrder="0"/>
    </xf>
    <xf borderId="15" fillId="0" fontId="5" numFmtId="0" xfId="0" applyBorder="1" applyFont="1"/>
    <xf borderId="16" fillId="0" fontId="5" numFmtId="0" xfId="0" applyAlignment="1" applyBorder="1" applyFont="1">
      <alignment horizontal="center" shrinkToFit="0" textRotation="90" vertical="center" wrapText="1"/>
    </xf>
    <xf borderId="17" fillId="13" fontId="6" numFmtId="0" xfId="0" applyAlignment="1" applyBorder="1" applyFont="1">
      <alignment readingOrder="0"/>
    </xf>
    <xf borderId="5" fillId="14" fontId="7" numFmtId="0" xfId="0" applyAlignment="1" applyBorder="1" applyFont="1">
      <alignment readingOrder="0" shrinkToFit="0" vertical="center" wrapText="0"/>
    </xf>
    <xf borderId="5" fillId="20" fontId="9" numFmtId="0" xfId="0" applyAlignment="1" applyBorder="1" applyFont="1">
      <alignment readingOrder="0"/>
    </xf>
    <xf borderId="5" fillId="0" fontId="2" numFmtId="0" xfId="0" applyAlignment="1" applyBorder="1" applyFont="1">
      <alignment vertical="bottom"/>
    </xf>
    <xf borderId="12" fillId="14" fontId="7" numFmtId="0" xfId="0" applyAlignment="1" applyBorder="1" applyFont="1">
      <alignment readingOrder="0"/>
    </xf>
    <xf borderId="5" fillId="0" fontId="2" numFmtId="0" xfId="0" applyAlignment="1" applyBorder="1" applyFont="1">
      <alignment horizontal="center" vertical="bottom"/>
    </xf>
    <xf borderId="7" fillId="14" fontId="7" numFmtId="0" xfId="0" applyAlignment="1" applyBorder="1" applyFont="1">
      <alignment readingOrder="0"/>
    </xf>
    <xf borderId="5" fillId="15" fontId="14" numFmtId="0" xfId="0" applyAlignment="1" applyBorder="1" applyFont="1">
      <alignment readingOrder="0"/>
    </xf>
    <xf borderId="7" fillId="20" fontId="9" numFmtId="0" xfId="0" applyAlignment="1" applyBorder="1" applyFont="1">
      <alignment readingOrder="0"/>
    </xf>
    <xf borderId="5" fillId="19" fontId="16" numFmtId="0" xfId="0" applyAlignment="1" applyBorder="1" applyFont="1">
      <alignment readingOrder="0" shrinkToFit="0" vertical="center" wrapText="0"/>
    </xf>
    <xf borderId="18" fillId="19" fontId="11" numFmtId="0" xfId="0" applyAlignment="1" applyBorder="1" applyFont="1">
      <alignment readingOrder="0"/>
    </xf>
    <xf borderId="19" fillId="13" fontId="6" numFmtId="0" xfId="0" applyAlignment="1" applyBorder="1" applyFont="1">
      <alignment readingOrder="0"/>
    </xf>
    <xf borderId="19" fillId="20" fontId="9" numFmtId="0" xfId="0" applyAlignment="1" applyBorder="1" applyFont="1">
      <alignment readingOrder="0"/>
    </xf>
    <xf borderId="5" fillId="0" fontId="20" numFmtId="0" xfId="0" applyAlignment="1" applyBorder="1" applyFont="1">
      <alignment readingOrder="0" shrinkToFit="0" vertical="center" wrapText="0"/>
    </xf>
    <xf borderId="5" fillId="18" fontId="10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horizontal="center" readingOrder="0" textRotation="90" vertical="center"/>
    </xf>
    <xf borderId="0" fillId="0" fontId="5" numFmtId="0" xfId="0" applyAlignment="1" applyFont="1">
      <alignment horizontal="center" readingOrder="0" shrinkToFit="0" textRotation="90" vertical="center" wrapText="1"/>
    </xf>
    <xf borderId="5" fillId="18" fontId="21" numFmtId="0" xfId="0" applyAlignment="1" applyBorder="1" applyFont="1">
      <alignment readingOrder="0"/>
    </xf>
    <xf borderId="5" fillId="16" fontId="9" numFmtId="0" xfId="0" applyAlignment="1" applyBorder="1" applyFont="1">
      <alignment readingOrder="0"/>
    </xf>
    <xf borderId="5" fillId="19" fontId="19" numFmtId="0" xfId="0" applyAlignment="1" applyBorder="1" applyFont="1">
      <alignment readingOrder="0"/>
    </xf>
    <xf borderId="5" fillId="15" fontId="22" numFmtId="0" xfId="0" applyAlignment="1" applyBorder="1" applyFont="1">
      <alignment readingOrder="0"/>
    </xf>
    <xf borderId="0" fillId="23" fontId="7" numFmtId="0" xfId="0" applyAlignment="1" applyFont="1">
      <alignment readingOrder="0"/>
    </xf>
    <xf borderId="0" fillId="21" fontId="17" numFmtId="0" xfId="0" applyAlignment="1" applyFont="1">
      <alignment readingOrder="0"/>
    </xf>
    <xf borderId="5" fillId="18" fontId="5" numFmtId="0" xfId="0" applyAlignment="1" applyBorder="1" applyFont="1">
      <alignment readingOrder="0" shrinkToFit="0" vertical="center" wrapText="0"/>
    </xf>
    <xf borderId="5" fillId="18" fontId="21" numFmtId="0" xfId="0" applyAlignment="1" applyBorder="1" applyFont="1">
      <alignment readingOrder="0" shrinkToFit="0" vertical="center" wrapText="0"/>
    </xf>
    <xf borderId="5" fillId="15" fontId="8" numFmtId="0" xfId="0" applyAlignment="1" applyBorder="1" applyFont="1">
      <alignment readingOrder="0" shrinkToFit="0" vertical="center" wrapText="0"/>
    </xf>
    <xf borderId="5" fillId="15" fontId="22" numFmtId="0" xfId="0" applyAlignment="1" applyBorder="1" applyFont="1">
      <alignment readingOrder="0" shrinkToFit="0" vertical="center" wrapText="0"/>
    </xf>
    <xf borderId="5" fillId="20" fontId="18" numFmtId="0" xfId="0" applyAlignment="1" applyBorder="1" applyFont="1">
      <alignment readingOrder="0" shrinkToFit="0" vertical="center" wrapText="0"/>
    </xf>
    <xf borderId="19" fillId="13" fontId="6" numFmtId="0" xfId="0" applyAlignment="1" applyBorder="1" applyFont="1">
      <alignment readingOrder="0" shrinkToFit="0" vertical="center" wrapText="0"/>
    </xf>
    <xf borderId="5" fillId="18" fontId="15" numFmtId="0" xfId="0" applyAlignment="1" applyBorder="1" applyFont="1">
      <alignment readingOrder="0" shrinkToFit="0" vertical="center" wrapText="0"/>
    </xf>
    <xf borderId="5" fillId="0" fontId="5" numFmtId="14" xfId="0" applyAlignment="1" applyBorder="1" applyFont="1" applyNumberFormat="1">
      <alignment readingOrder="0" shrinkToFit="0" vertical="center" wrapText="0"/>
    </xf>
    <xf borderId="5" fillId="23" fontId="5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8">
    <tableStyle count="2" pivot="0" name="DS-style">
      <tableStyleElement dxfId="1" type="firstRowStripe"/>
      <tableStyleElement dxfId="2" type="secondRowStripe"/>
    </tableStyle>
    <tableStyle count="2" pivot="0" name="DS-style 2">
      <tableStyleElement dxfId="1" type="firstRowStripe"/>
      <tableStyleElement dxfId="2" type="secondRowStripe"/>
    </tableStyle>
    <tableStyle count="2" pivot="0" name="DS-style 3">
      <tableStyleElement dxfId="2" type="firstRowStripe"/>
      <tableStyleElement dxfId="1" type="secondRowStripe"/>
    </tableStyle>
    <tableStyle count="2" pivot="0" name="DS-style 4">
      <tableStyleElement dxfId="2" type="firstRowStripe"/>
      <tableStyleElement dxfId="1" type="secondRowStripe"/>
    </tableStyle>
    <tableStyle count="2" pivot="0" name="DS-style 5">
      <tableStyleElement dxfId="2" type="firstRowStripe"/>
      <tableStyleElement dxfId="1" type="secondRowStripe"/>
    </tableStyle>
    <tableStyle count="4" pivot="0" name="Form responses 1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2" pivot="0" name="DS-style 6">
      <tableStyleElement dxfId="2" type="firstRowStripe"/>
      <tableStyleElement dxfId="1" type="secondRowStripe"/>
    </tableStyle>
    <tableStyle count="2" pivot="0" name="DS-style 7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marth Sir Office" id="{70fd345e-341e-4609-aa4b-21f5e93ea6ea}" providerId="google-sheets"/>
</x18tc:personList>
</file>

<file path=xl/tables/table1.xml><?xml version="1.0" encoding="utf-8"?>
<table xmlns="http://schemas.openxmlformats.org/spreadsheetml/2006/main" ref="A1:BE66" displayName="Form_Responses" name="Form_Responses" id="3">
  <tableColumns count="57">
    <tableColumn name="Timestamp" id="1"/>
    <tableColumn name="Email address" id="2"/>
    <tableColumn name="Surveyor Name" id="3"/>
    <tableColumn name="#" id="4"/>
    <tableColumn name="Road Name (Main)" id="5"/>
    <tableColumn name="Road Name (Cross)" id="6"/>
    <tableColumn name="Area Name" id="7"/>
    <tableColumn name="Dist. (m)" id="8"/>
    <tableColumn name="Location (Google Maps link)" id="9"/>
    <tableColumn name="Road Sign" id="10"/>
    <tableColumn name="Use" id="11"/>
    <tableColumn name="Material" id="12"/>
    <tableColumn name="Width (m)" id="13"/>
    <tableColumn name="Road Condition" id="14"/>
    <tableColumn name="Side (N/E)" id="15"/>
    <tableColumn name="Attachment 1 Type" id="16"/>
    <tableColumn name="Attachment 1 Width (m)" id="17"/>
    <tableColumn name="Attachment 1 Dated" id="18"/>
    <tableColumn name="Attachment 1 Condition" id="19"/>
    <tableColumn name="Attachment 1 Notes" id="20"/>
    <tableColumn name="Attachment 2 Type" id="21"/>
    <tableColumn name="Attachment 2 Width (m)" id="22"/>
    <tableColumn name="Attachment 2 Dated" id="23"/>
    <tableColumn name="Attachment 2 Condition" id="24"/>
    <tableColumn name="Attachment 2 Notes" id="25"/>
    <tableColumn name="Side (S/W)" id="26"/>
    <tableColumn name="Attachment 1 Type (S/W)" id="27"/>
    <tableColumn name="Attachment 1 Width (m) (S/W)" id="28"/>
    <tableColumn name="Attachment 1 Dated (S/W)" id="29"/>
    <tableColumn name="Attachment 1 Condition (S/W)" id="30"/>
    <tableColumn name="Attachment 1 Notes (S/W)" id="31"/>
    <tableColumn name="Attachment 2 Type (S/W)" id="32"/>
    <tableColumn name="Attachment 2 Width (m) (S/W)" id="33"/>
    <tableColumn name="Attachment 2 Dated (S/W)" id="34"/>
    <tableColumn name="Attachment 2 Condition (S/W)" id="35"/>
    <tableColumn name="Attachment 2 Notes (S/W)" id="36"/>
    <tableColumn name="SWG Side (N/E)" id="37"/>
    <tableColumn name="SWG Type (N/E)" id="38"/>
    <tableColumn name="SWG Width (m) (N/E)" id="39"/>
    <tableColumn name="SWG Dated (N/E)" id="40"/>
    <tableColumn name="SWG Condition (N/E)" id="41"/>
    <tableColumn name="SWG Notes (N/E)" id="42"/>
    <tableColumn name="SWG Side (S/W)" id="43"/>
    <tableColumn name="SWG Width (m) (S/W)" id="44"/>
    <tableColumn name="SWG Dated (S/W)" id="45"/>
    <tableColumn name="SWG Condition (S/W)" id="46"/>
    <tableColumn name="SWG Notes (S/W)" id="47"/>
    <tableColumn name="UGD Existing" id="48"/>
    <tableColumn name="UGD Type" id="49"/>
    <tableColumn name="UGD Date" id="50"/>
    <tableColumn name="UGD Pipe Dia (m)" id="51"/>
    <tableColumn name="UGD Condition" id="52"/>
    <tableColumn name="Jalasiri Existing" id="53"/>
    <tableColumn name="Jalasiri Condition" id="54"/>
    <tableColumn name="Jalasiri Note" id="55"/>
    <tableColumn name="Light Type" id="56"/>
    <tableColumn name="Electrical Condition" id="57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C7:D9" displayName="Table_1" name="Table_1" id="1">
  <tableColumns count="2">
    <tableColumn name="Column1" id="1"/>
    <tableColumn name="Column2" id="2"/>
  </tableColumns>
  <tableStyleInfo name="DS-style" showColumnStripes="0" showFirstColumn="1" showLastColumn="1" showRowStripes="1"/>
</table>
</file>

<file path=xl/tables/table3.xml><?xml version="1.0" encoding="utf-8"?>
<table xmlns="http://schemas.openxmlformats.org/spreadsheetml/2006/main" headerRowCount="0" ref="C12:C13" displayName="Table_2" name="Table_2" id="2">
  <tableColumns count="1">
    <tableColumn name="Column1" id="1"/>
  </tableColumns>
  <tableStyleInfo name="D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19:C23" displayName="Table_3" name="Table_3" id="4">
  <tableColumns count="1">
    <tableColumn name="Column1" id="1"/>
  </tableColumns>
  <tableStyleInfo name="D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24:D29" displayName="Table_4" name="Table_4" id="5">
  <tableColumns count="2">
    <tableColumn name="Column1" id="1"/>
    <tableColumn name="Column2" id="2"/>
  </tableColumns>
  <tableStyleInfo name="D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4:C40" displayName="Table_5" name="Table_5" id="6">
  <tableColumns count="1">
    <tableColumn name="Column1" id="1"/>
  </tableColumns>
  <tableStyleInfo name="D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41:C76" displayName="Table_6" name="Table_6" id="7">
  <tableColumns count="1">
    <tableColumn name="Column1" id="1"/>
  </tableColumns>
  <tableStyleInfo name="DS-style 6" showColumnStripes="0" showFirstColumn="1" showLastColumn="1" showRowStripes="1"/>
</table>
</file>

<file path=xl/tables/table8.xml><?xml version="1.0" encoding="utf-8"?>
<table xmlns="http://schemas.openxmlformats.org/spreadsheetml/2006/main" headerRowCount="0" ref="C78:C90" displayName="Table_7" name="Table_7" id="8">
  <tableColumns count="1">
    <tableColumn name="Column1" id="1"/>
  </tableColumns>
  <tableStyleInfo name="DS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45" dT="2026-07-26T23:26:26.00" personId="{70fd345e-341e-4609-aa4b-21f5e93ea6ea}" id="{c99f2fe8-d802-4810-9357-b5d5a5f6609a}" done="0">
    <x18tc:text xml:space="preserve">Ward Surveyor: you are doing double entry of a single attachment. Attachment 1 is what comes right next to the road. Attachment 2 is what comes next to attachment 1  (away from the road).</x18tc:text>
  </x18tc:threadedComment>
  <x18tc:threadedComment ref="N21" dT="2026-07-26T23:17:39.00" personId="{70fd345e-341e-4609-aa4b-21f5e93ea6ea}" id="{c04a5d81-2d73-4b2c-9ebf-b2ebe9440bc1}" done="0">
    <x18tc:text xml:space="preserve">Ward Surveyor: What is required? if a concrete road is required then you need to put material as mud road.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rVwicWkmu7coX3sJ8" TargetMode="External"/><Relationship Id="rId42" Type="http://schemas.openxmlformats.org/officeDocument/2006/relationships/hyperlink" Target="https://maps.app.goo.gl/CkDETsaDE7rkc2nDA" TargetMode="External"/><Relationship Id="rId41" Type="http://schemas.openxmlformats.org/officeDocument/2006/relationships/hyperlink" Target="https://maps.app.goo.gl/s7EyEHXTbCUQtuaY9" TargetMode="External"/><Relationship Id="rId44" Type="http://schemas.openxmlformats.org/officeDocument/2006/relationships/hyperlink" Target="https://maps.app.goo.gl/nei5gFu9hXRtGPrz8" TargetMode="External"/><Relationship Id="rId43" Type="http://schemas.openxmlformats.org/officeDocument/2006/relationships/hyperlink" Target="https://maps.app.goo.gl/PRKgFMTsEchGfg1b6" TargetMode="External"/><Relationship Id="rId46" Type="http://schemas.openxmlformats.org/officeDocument/2006/relationships/hyperlink" Target="https://maps.app.goo.gl/TDx4UdCiKzWpVats7" TargetMode="External"/><Relationship Id="rId45" Type="http://schemas.openxmlformats.org/officeDocument/2006/relationships/hyperlink" Target="https://maps.app.goo.gl/oUuNLVYmr7BzRtc5A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maps.app.goo.gl/mxE4o9STtDhyka2b7?g_st=aw" TargetMode="External"/><Relationship Id="rId9" Type="http://schemas.openxmlformats.org/officeDocument/2006/relationships/hyperlink" Target="https://maps.app.goo.gl/oYVUYtE6eFVzzrxg8" TargetMode="External"/><Relationship Id="rId48" Type="http://schemas.openxmlformats.org/officeDocument/2006/relationships/hyperlink" Target="https://maps.app.goo.gl/ioiAjZp9cu7Xnuv2A?g_st=ac" TargetMode="External"/><Relationship Id="rId47" Type="http://schemas.openxmlformats.org/officeDocument/2006/relationships/hyperlink" Target="https://maps.app.goo.gl/4rXz7RTQMaoCcx8X6" TargetMode="External"/><Relationship Id="rId49" Type="http://schemas.openxmlformats.org/officeDocument/2006/relationships/hyperlink" Target="https://maps.app.goo.gl/TQDVKMdgSczKyDBe9" TargetMode="External"/><Relationship Id="rId5" Type="http://schemas.openxmlformats.org/officeDocument/2006/relationships/hyperlink" Target="https://maps.app.goo.gl/CApNN92h5Pi4NkJE6" TargetMode="External"/><Relationship Id="rId6" Type="http://schemas.openxmlformats.org/officeDocument/2006/relationships/hyperlink" Target="https://maps.app.goo.gl/b7h4mcPkXaou9izX9" TargetMode="External"/><Relationship Id="rId7" Type="http://schemas.openxmlformats.org/officeDocument/2006/relationships/hyperlink" Target="https://maps.app.goo.gl/WUp8PACcDBvqhDtaA" TargetMode="External"/><Relationship Id="rId8" Type="http://schemas.openxmlformats.org/officeDocument/2006/relationships/hyperlink" Target="https://maps.app.goo.gl/69w3HfwXuikMUw6X7" TargetMode="External"/><Relationship Id="rId31" Type="http://schemas.openxmlformats.org/officeDocument/2006/relationships/hyperlink" Target="https://maps.app.goo.gl/gDdzSpekbsgNGsqv5" TargetMode="External"/><Relationship Id="rId30" Type="http://schemas.openxmlformats.org/officeDocument/2006/relationships/hyperlink" Target="https://maps.app.goo.gl/uzEbAXVVVa2JGCaR9" TargetMode="External"/><Relationship Id="rId33" Type="http://schemas.openxmlformats.org/officeDocument/2006/relationships/hyperlink" Target="https://maps.app.goo.gl/okFmjjqcHEpmv1Y59" TargetMode="External"/><Relationship Id="rId32" Type="http://schemas.openxmlformats.org/officeDocument/2006/relationships/hyperlink" Target="https://maps.app.goo.gl/qWaz9isBDBbfn2947" TargetMode="External"/><Relationship Id="rId35" Type="http://schemas.openxmlformats.org/officeDocument/2006/relationships/hyperlink" Target="https://maps.app.goo.gl/QKUspwEBHmT3Ui3E7" TargetMode="External"/><Relationship Id="rId34" Type="http://schemas.openxmlformats.org/officeDocument/2006/relationships/hyperlink" Target="https://maps.app.goo.gl/jz68ZBmrh9c5XrCf6" TargetMode="External"/><Relationship Id="rId37" Type="http://schemas.openxmlformats.org/officeDocument/2006/relationships/hyperlink" Target="https://maps.app.goo.gl/ufXuNoc6xztFeKiw5" TargetMode="External"/><Relationship Id="rId36" Type="http://schemas.openxmlformats.org/officeDocument/2006/relationships/hyperlink" Target="https://maps.app.goo.gl/vF7CQ84ZF5eNU62b7" TargetMode="External"/><Relationship Id="rId39" Type="http://schemas.openxmlformats.org/officeDocument/2006/relationships/hyperlink" Target="https://maps.app.goo.gl/NQd4FW1gRy9iRDTP8" TargetMode="External"/><Relationship Id="rId38" Type="http://schemas.openxmlformats.org/officeDocument/2006/relationships/hyperlink" Target="https://maps.app.goo.gl/UzXM1hZP7kR96JFA8" TargetMode="External"/><Relationship Id="rId20" Type="http://schemas.openxmlformats.org/officeDocument/2006/relationships/hyperlink" Target="https://maps.app.goo.gl/k8LZ4yzTRXVxi5bZ9" TargetMode="External"/><Relationship Id="rId22" Type="http://schemas.openxmlformats.org/officeDocument/2006/relationships/hyperlink" Target="https://maps.app.goo.gl/hNJkY7S78Ma8LfgK6" TargetMode="External"/><Relationship Id="rId21" Type="http://schemas.openxmlformats.org/officeDocument/2006/relationships/hyperlink" Target="https://maps.app.goo.gl/dFNah6QdayAczUxUA" TargetMode="External"/><Relationship Id="rId24" Type="http://schemas.openxmlformats.org/officeDocument/2006/relationships/hyperlink" Target="https://maps.app.goo.gl/tytLHBa9fwA5bv1G8" TargetMode="External"/><Relationship Id="rId23" Type="http://schemas.openxmlformats.org/officeDocument/2006/relationships/hyperlink" Target="https://maps.app.goo.gl/PjCkiC98eEdD7def8" TargetMode="External"/><Relationship Id="rId26" Type="http://schemas.openxmlformats.org/officeDocument/2006/relationships/hyperlink" Target="https://maps.app.goo.gl/Aeu7812fCdSqRFZs6" TargetMode="External"/><Relationship Id="rId25" Type="http://schemas.openxmlformats.org/officeDocument/2006/relationships/hyperlink" Target="https://maps.app.goo.gl/w4PJvbEgpdR16FVVA" TargetMode="External"/><Relationship Id="rId28" Type="http://schemas.openxmlformats.org/officeDocument/2006/relationships/hyperlink" Target="https://maps.app.goo.gl/vYhAqxEhfC7ZD7337" TargetMode="External"/><Relationship Id="rId27" Type="http://schemas.openxmlformats.org/officeDocument/2006/relationships/hyperlink" Target="https://maps.app.goo.gl/zQPRrcHSCE8FiGS6A" TargetMode="External"/><Relationship Id="rId29" Type="http://schemas.openxmlformats.org/officeDocument/2006/relationships/hyperlink" Target="https://maps.app.goo.gl/ShCGozSThnVHSQGfA" TargetMode="External"/><Relationship Id="rId51" Type="http://schemas.openxmlformats.org/officeDocument/2006/relationships/hyperlink" Target="https://maps.app.goo.gl/nW9oGVoNRU63YAq38" TargetMode="External"/><Relationship Id="rId50" Type="http://schemas.openxmlformats.org/officeDocument/2006/relationships/hyperlink" Target="https://maps.app.goo.gl/QCKmQHaafG49HrVK9" TargetMode="External"/><Relationship Id="rId53" Type="http://schemas.openxmlformats.org/officeDocument/2006/relationships/hyperlink" Target="https://maps.app.goo.gl/X9DKYF4V6CeyksrX6?g_st=ac" TargetMode="External"/><Relationship Id="rId52" Type="http://schemas.openxmlformats.org/officeDocument/2006/relationships/hyperlink" Target="https://maps.app.goo.gl/X9DKYF4V6CeyksrX6?g_st=ac" TargetMode="External"/><Relationship Id="rId11" Type="http://schemas.openxmlformats.org/officeDocument/2006/relationships/hyperlink" Target="https://maps.app.goo.gl/3dXNpRKLRkSq9vgC7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maps.app.goo.gl/Sr1NdrbpHWtEqMVq9" TargetMode="External"/><Relationship Id="rId54" Type="http://schemas.openxmlformats.org/officeDocument/2006/relationships/hyperlink" Target="https://maps.app.goo.gl/MSpzmoNbZgB14viw8?g_st=aw" TargetMode="External"/><Relationship Id="rId13" Type="http://schemas.openxmlformats.org/officeDocument/2006/relationships/hyperlink" Target="https://maps.app.goo.gl/pi6SdbnLCfeUuBo5A" TargetMode="External"/><Relationship Id="rId12" Type="http://schemas.openxmlformats.org/officeDocument/2006/relationships/hyperlink" Target="https://maps.app.goo.gl/qnTpXJGR4zsX4hXb9" TargetMode="External"/><Relationship Id="rId56" Type="http://schemas.openxmlformats.org/officeDocument/2006/relationships/vmlDrawing" Target="../drawings/vmlDrawing1.vml"/><Relationship Id="rId15" Type="http://schemas.openxmlformats.org/officeDocument/2006/relationships/hyperlink" Target="https://maps.app.goo.gl/qfibaJgXLshCvNdK6" TargetMode="External"/><Relationship Id="rId14" Type="http://schemas.openxmlformats.org/officeDocument/2006/relationships/hyperlink" Target="https://maps.app.goo.gl/QZMzoPb65GitNhTG8" TargetMode="External"/><Relationship Id="rId58" Type="http://schemas.openxmlformats.org/officeDocument/2006/relationships/table" Target="../tables/table1.xml"/><Relationship Id="rId17" Type="http://schemas.openxmlformats.org/officeDocument/2006/relationships/hyperlink" Target="https://maps.app.goo.gl/xfonzVaccnm5PCbh8" TargetMode="External"/><Relationship Id="rId16" Type="http://schemas.openxmlformats.org/officeDocument/2006/relationships/hyperlink" Target="https://maps.app.goo.gl/s9jLVbWhzWMZ9VYC9" TargetMode="External"/><Relationship Id="rId19" Type="http://schemas.openxmlformats.org/officeDocument/2006/relationships/hyperlink" Target="https://maps.app.goo.gl/ycmehGTEE2Tz9mks7" TargetMode="External"/><Relationship Id="rId18" Type="http://schemas.openxmlformats.org/officeDocument/2006/relationships/hyperlink" Target="https://maps.app.goo.gl/XhW37LbXb2z7fuep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2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15" Type="http://schemas.openxmlformats.org/officeDocument/2006/relationships/table" Target="../tables/table8.xml"/><Relationship Id="rId14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3" width="18.88"/>
    <col customWidth="1" min="4" max="4" width="6.5"/>
    <col customWidth="1" min="5" max="5" width="19.0"/>
    <col customWidth="1" min="6" max="6" width="14.63"/>
    <col customWidth="1" min="7" max="7" width="18.88"/>
    <col customWidth="1" min="8" max="8" width="9.0"/>
    <col customWidth="1" min="9" max="9" width="12.5"/>
    <col customWidth="1" min="10" max="10" width="9.88"/>
    <col customWidth="1" min="11" max="11" width="10.5"/>
    <col customWidth="1" min="12" max="12" width="11.75"/>
    <col customWidth="1" min="13" max="13" width="10.13"/>
    <col customWidth="1" min="14" max="14" width="12.88"/>
    <col customWidth="1" min="15" max="15" width="10.13"/>
    <col customWidth="1" min="16" max="16" width="15.63"/>
    <col customWidth="1" min="17" max="25" width="16.5"/>
    <col customWidth="1" min="26" max="26" width="9.88"/>
    <col customWidth="1" min="27" max="36" width="16.0"/>
    <col customWidth="1" min="37" max="37" width="13.0"/>
    <col customWidth="1" min="38" max="38" width="13.88"/>
    <col customWidth="1" min="39" max="47" width="14.13"/>
    <col customWidth="1" min="48" max="52" width="12.5"/>
    <col customWidth="1" min="53" max="55" width="13.38"/>
    <col customWidth="1" min="56" max="57" width="14.25"/>
    <col customWidth="1" hidden="1" min="58" max="63" width="18.88"/>
  </cols>
  <sheetData>
    <row r="1" ht="27.75" customHeight="1">
      <c r="A1" s="11" t="s">
        <v>3</v>
      </c>
      <c r="B1" s="11" t="s">
        <v>8</v>
      </c>
      <c r="C1" s="11" t="s">
        <v>11</v>
      </c>
      <c r="D1" s="11" t="s">
        <v>12</v>
      </c>
      <c r="E1" s="11" t="s">
        <v>14</v>
      </c>
      <c r="F1" s="11" t="s">
        <v>16</v>
      </c>
      <c r="G1" s="11" t="s">
        <v>19</v>
      </c>
      <c r="H1" s="11" t="s">
        <v>20</v>
      </c>
      <c r="I1" s="11" t="s">
        <v>22</v>
      </c>
      <c r="J1" s="11" t="s">
        <v>24</v>
      </c>
      <c r="K1" s="11" t="s">
        <v>26</v>
      </c>
      <c r="L1" s="11" t="s">
        <v>28</v>
      </c>
      <c r="M1" s="11" t="s">
        <v>31</v>
      </c>
      <c r="N1" s="11" t="s">
        <v>34</v>
      </c>
      <c r="O1" s="11" t="s">
        <v>35</v>
      </c>
      <c r="P1" s="11" t="s">
        <v>38</v>
      </c>
      <c r="Q1" s="11" t="s">
        <v>40</v>
      </c>
      <c r="R1" s="11" t="s">
        <v>42</v>
      </c>
      <c r="S1" s="11" t="s">
        <v>46</v>
      </c>
      <c r="T1" s="11" t="s">
        <v>51</v>
      </c>
      <c r="U1" s="11" t="s">
        <v>52</v>
      </c>
      <c r="V1" s="11" t="s">
        <v>57</v>
      </c>
      <c r="W1" s="11" t="s">
        <v>60</v>
      </c>
      <c r="X1" s="11" t="s">
        <v>63</v>
      </c>
      <c r="Y1" s="11" t="s">
        <v>66</v>
      </c>
      <c r="Z1" s="11" t="s">
        <v>70</v>
      </c>
      <c r="AA1" s="11" t="s">
        <v>72</v>
      </c>
      <c r="AB1" s="11" t="s">
        <v>74</v>
      </c>
      <c r="AC1" s="11" t="s">
        <v>75</v>
      </c>
      <c r="AD1" s="11" t="s">
        <v>77</v>
      </c>
      <c r="AE1" s="11" t="s">
        <v>78</v>
      </c>
      <c r="AF1" s="11" t="s">
        <v>81</v>
      </c>
      <c r="AG1" s="11" t="s">
        <v>85</v>
      </c>
      <c r="AH1" s="11" t="s">
        <v>86</v>
      </c>
      <c r="AI1" s="11" t="s">
        <v>88</v>
      </c>
      <c r="AJ1" s="11" t="s">
        <v>90</v>
      </c>
      <c r="AK1" s="11" t="s">
        <v>92</v>
      </c>
      <c r="AL1" s="11" t="s">
        <v>93</v>
      </c>
      <c r="AM1" s="11" t="s">
        <v>95</v>
      </c>
      <c r="AN1" s="11" t="s">
        <v>97</v>
      </c>
      <c r="AO1" s="11" t="s">
        <v>98</v>
      </c>
      <c r="AP1" s="11" t="s">
        <v>99</v>
      </c>
      <c r="AQ1" s="11" t="s">
        <v>100</v>
      </c>
      <c r="AR1" s="11" t="s">
        <v>101</v>
      </c>
      <c r="AS1" s="11" t="s">
        <v>102</v>
      </c>
      <c r="AT1" s="11" t="s">
        <v>103</v>
      </c>
      <c r="AU1" s="11" t="s">
        <v>104</v>
      </c>
      <c r="AV1" s="11" t="s">
        <v>105</v>
      </c>
      <c r="AW1" s="11" t="s">
        <v>106</v>
      </c>
      <c r="AX1" s="11" t="s">
        <v>107</v>
      </c>
      <c r="AY1" s="11" t="s">
        <v>109</v>
      </c>
      <c r="AZ1" s="11" t="s">
        <v>110</v>
      </c>
      <c r="BA1" s="11" t="s">
        <v>111</v>
      </c>
      <c r="BB1" s="11" t="s">
        <v>112</v>
      </c>
      <c r="BC1" s="11" t="s">
        <v>113</v>
      </c>
      <c r="BD1" s="11" t="s">
        <v>73</v>
      </c>
      <c r="BE1" s="11" t="s">
        <v>114</v>
      </c>
      <c r="BF1" s="52"/>
      <c r="BG1" s="52"/>
      <c r="BH1" s="52"/>
      <c r="BI1" s="52"/>
      <c r="BJ1" s="52"/>
      <c r="BK1" s="52"/>
    </row>
    <row r="2" ht="13.5" customHeight="1">
      <c r="A2" s="54">
        <v>46224.52112101852</v>
      </c>
      <c r="B2" s="55" t="s">
        <v>116</v>
      </c>
      <c r="C2" s="55" t="s">
        <v>117</v>
      </c>
      <c r="D2" s="55">
        <v>1.0</v>
      </c>
      <c r="E2" s="55" t="s">
        <v>118</v>
      </c>
      <c r="F2" s="55" t="s">
        <v>120</v>
      </c>
      <c r="G2" s="55" t="s">
        <v>121</v>
      </c>
      <c r="H2" s="55">
        <v>1000.0</v>
      </c>
      <c r="I2" s="55" t="s">
        <v>118</v>
      </c>
      <c r="J2" s="58" t="s">
        <v>68</v>
      </c>
      <c r="K2" s="59" t="s">
        <v>96</v>
      </c>
      <c r="L2" s="60" t="s">
        <v>122</v>
      </c>
      <c r="M2" s="55">
        <v>7.0</v>
      </c>
      <c r="N2" s="60" t="s">
        <v>124</v>
      </c>
      <c r="O2" s="63" t="s">
        <v>125</v>
      </c>
      <c r="P2" s="64" t="s">
        <v>126</v>
      </c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38"/>
      <c r="BG2" s="38"/>
      <c r="BH2" s="38"/>
      <c r="BI2" s="38"/>
      <c r="BJ2" s="38"/>
      <c r="BK2" s="38"/>
    </row>
    <row r="3" ht="13.5" customHeight="1">
      <c r="A3" s="75">
        <v>46224.537978761575</v>
      </c>
      <c r="B3" s="76" t="s">
        <v>116</v>
      </c>
      <c r="C3" s="76" t="s">
        <v>117</v>
      </c>
      <c r="D3" s="76">
        <v>2.0</v>
      </c>
      <c r="E3" s="76" t="s">
        <v>134</v>
      </c>
      <c r="F3" s="76" t="s">
        <v>136</v>
      </c>
      <c r="G3" s="76" t="s">
        <v>137</v>
      </c>
      <c r="H3" s="76">
        <v>1000.0</v>
      </c>
      <c r="I3" s="76" t="s">
        <v>139</v>
      </c>
      <c r="J3" s="58" t="s">
        <v>68</v>
      </c>
      <c r="K3" s="59" t="s">
        <v>96</v>
      </c>
      <c r="L3" s="60" t="s">
        <v>122</v>
      </c>
      <c r="M3" s="76">
        <v>7.0</v>
      </c>
      <c r="N3" s="60" t="s">
        <v>124</v>
      </c>
      <c r="O3" s="63" t="s">
        <v>125</v>
      </c>
      <c r="P3" s="86" t="s">
        <v>142</v>
      </c>
      <c r="Q3" s="76">
        <v>2.0</v>
      </c>
      <c r="R3" s="87">
        <v>46224.0</v>
      </c>
      <c r="S3" s="60" t="s">
        <v>124</v>
      </c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63" t="s">
        <v>125</v>
      </c>
      <c r="AL3" s="91" t="s">
        <v>148</v>
      </c>
      <c r="AM3" s="76">
        <v>1.5</v>
      </c>
      <c r="AN3" s="87">
        <v>46224.0</v>
      </c>
      <c r="AO3" s="60" t="s">
        <v>124</v>
      </c>
      <c r="AP3" s="89"/>
      <c r="AQ3" s="93" t="s">
        <v>150</v>
      </c>
      <c r="AR3" s="76">
        <v>1.5</v>
      </c>
      <c r="AS3" s="87">
        <v>46224.0</v>
      </c>
      <c r="AT3" s="60" t="s">
        <v>124</v>
      </c>
      <c r="AU3" s="89"/>
      <c r="AV3" s="58" t="s">
        <v>68</v>
      </c>
      <c r="AW3" s="60" t="s">
        <v>122</v>
      </c>
      <c r="AX3" s="87">
        <v>46224.0</v>
      </c>
      <c r="AY3" s="76">
        <v>0.3</v>
      </c>
      <c r="AZ3" s="60" t="s">
        <v>124</v>
      </c>
      <c r="BA3" s="76" t="s">
        <v>68</v>
      </c>
      <c r="BB3" s="60" t="s">
        <v>124</v>
      </c>
      <c r="BC3" s="89"/>
      <c r="BD3" s="98" t="s">
        <v>152</v>
      </c>
      <c r="BE3" s="60" t="s">
        <v>124</v>
      </c>
      <c r="BF3" s="38"/>
      <c r="BG3" s="38"/>
      <c r="BH3" s="38"/>
      <c r="BI3" s="38"/>
      <c r="BJ3" s="38"/>
      <c r="BK3" s="38"/>
    </row>
    <row r="4" ht="13.5" customHeight="1">
      <c r="A4" s="75">
        <v>46224.54721211806</v>
      </c>
      <c r="B4" s="76" t="s">
        <v>116</v>
      </c>
      <c r="C4" s="76" t="s">
        <v>117</v>
      </c>
      <c r="D4" s="76">
        <v>3.0</v>
      </c>
      <c r="E4" s="76" t="s">
        <v>155</v>
      </c>
      <c r="F4" s="89"/>
      <c r="G4" s="76" t="s">
        <v>156</v>
      </c>
      <c r="H4" s="76">
        <v>19.0</v>
      </c>
      <c r="I4" s="89"/>
      <c r="J4" s="105" t="s">
        <v>79</v>
      </c>
      <c r="K4" s="98" t="s">
        <v>115</v>
      </c>
      <c r="L4" s="60" t="s">
        <v>122</v>
      </c>
      <c r="M4" s="76">
        <v>3.0</v>
      </c>
      <c r="N4" s="60" t="s">
        <v>124</v>
      </c>
      <c r="O4" s="63" t="s">
        <v>125</v>
      </c>
      <c r="P4" s="64" t="s">
        <v>126</v>
      </c>
      <c r="Q4" s="76">
        <v>1.0</v>
      </c>
      <c r="R4" s="87">
        <v>46224.0</v>
      </c>
      <c r="S4" s="76" t="s">
        <v>162</v>
      </c>
      <c r="T4" s="76" t="s">
        <v>79</v>
      </c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63" t="s">
        <v>125</v>
      </c>
      <c r="AL4" s="76" t="s">
        <v>168</v>
      </c>
      <c r="AM4" s="89"/>
      <c r="AN4" s="87">
        <v>46224.0</v>
      </c>
      <c r="AO4" s="89"/>
      <c r="AP4" s="89"/>
      <c r="AQ4" s="89"/>
      <c r="AR4" s="89"/>
      <c r="AS4" s="89"/>
      <c r="AT4" s="89"/>
      <c r="AU4" s="89"/>
      <c r="AV4" s="58" t="s">
        <v>68</v>
      </c>
      <c r="AW4" s="60" t="s">
        <v>122</v>
      </c>
      <c r="AX4" s="87">
        <v>46224.0</v>
      </c>
      <c r="AY4" s="76">
        <v>0.3</v>
      </c>
      <c r="AZ4" s="60" t="s">
        <v>124</v>
      </c>
      <c r="BA4" s="76" t="s">
        <v>68</v>
      </c>
      <c r="BB4" s="113" t="s">
        <v>135</v>
      </c>
      <c r="BC4" s="89"/>
      <c r="BD4" s="98" t="s">
        <v>152</v>
      </c>
      <c r="BE4" s="60" t="s">
        <v>124</v>
      </c>
      <c r="BF4" s="38"/>
      <c r="BG4" s="38"/>
      <c r="BH4" s="38"/>
      <c r="BI4" s="38"/>
      <c r="BJ4" s="38"/>
      <c r="BK4" s="38"/>
    </row>
    <row r="5" ht="13.5" customHeight="1">
      <c r="A5" s="75">
        <v>46225.44918681713</v>
      </c>
      <c r="B5" s="76" t="s">
        <v>172</v>
      </c>
      <c r="C5" s="76" t="s">
        <v>117</v>
      </c>
      <c r="D5" s="55">
        <v>4.0</v>
      </c>
      <c r="E5" s="76" t="s">
        <v>173</v>
      </c>
      <c r="F5" s="89"/>
      <c r="G5" s="76" t="s">
        <v>174</v>
      </c>
      <c r="H5" s="76">
        <v>370.0</v>
      </c>
      <c r="I5" s="117" t="s">
        <v>176</v>
      </c>
      <c r="J5" s="58" t="s">
        <v>68</v>
      </c>
      <c r="K5" s="118" t="s">
        <v>108</v>
      </c>
      <c r="L5" s="60" t="s">
        <v>122</v>
      </c>
      <c r="M5" s="76">
        <v>6.0</v>
      </c>
      <c r="N5" s="60" t="s">
        <v>124</v>
      </c>
      <c r="O5" s="63" t="s">
        <v>125</v>
      </c>
      <c r="P5" s="64" t="s">
        <v>126</v>
      </c>
      <c r="Q5" s="76">
        <v>2.0</v>
      </c>
      <c r="R5" s="87">
        <v>46225.0</v>
      </c>
      <c r="S5" s="60" t="s">
        <v>124</v>
      </c>
      <c r="T5" s="89"/>
      <c r="U5" s="64" t="s">
        <v>126</v>
      </c>
      <c r="V5" s="76">
        <v>1.5</v>
      </c>
      <c r="W5" s="87">
        <v>46225.0</v>
      </c>
      <c r="X5" s="60" t="s">
        <v>124</v>
      </c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63" t="s">
        <v>125</v>
      </c>
      <c r="AL5" s="91" t="s">
        <v>148</v>
      </c>
      <c r="AM5" s="76">
        <v>1.5</v>
      </c>
      <c r="AN5" s="87">
        <v>46225.0</v>
      </c>
      <c r="AO5" s="60" t="s">
        <v>124</v>
      </c>
      <c r="AP5" s="89"/>
      <c r="AQ5" s="93" t="s">
        <v>150</v>
      </c>
      <c r="AR5" s="76">
        <v>1.5</v>
      </c>
      <c r="AS5" s="87">
        <v>46225.0</v>
      </c>
      <c r="AT5" s="60" t="s">
        <v>124</v>
      </c>
      <c r="AU5" s="89"/>
      <c r="AV5" s="58" t="s">
        <v>68</v>
      </c>
      <c r="AW5" s="60" t="s">
        <v>122</v>
      </c>
      <c r="AX5" s="87">
        <v>46225.0</v>
      </c>
      <c r="AY5" s="76">
        <v>0.3</v>
      </c>
      <c r="AZ5" s="60" t="s">
        <v>124</v>
      </c>
      <c r="BA5" s="76" t="s">
        <v>68</v>
      </c>
      <c r="BB5" s="60" t="s">
        <v>124</v>
      </c>
      <c r="BC5" s="89"/>
      <c r="BD5" s="98" t="s">
        <v>152</v>
      </c>
      <c r="BE5" s="60" t="s">
        <v>124</v>
      </c>
      <c r="BF5" s="38"/>
      <c r="BG5" s="38"/>
      <c r="BH5" s="38"/>
      <c r="BI5" s="38"/>
      <c r="BJ5" s="38"/>
      <c r="BK5" s="38"/>
    </row>
    <row r="6" ht="13.5" customHeight="1">
      <c r="A6" s="75">
        <v>46225.460285023146</v>
      </c>
      <c r="B6" s="76" t="s">
        <v>172</v>
      </c>
      <c r="C6" s="89"/>
      <c r="D6" s="76">
        <v>5.0</v>
      </c>
      <c r="E6" s="76" t="s">
        <v>182</v>
      </c>
      <c r="F6" s="76" t="s">
        <v>183</v>
      </c>
      <c r="G6" s="76" t="s">
        <v>184</v>
      </c>
      <c r="H6" s="76">
        <v>40.0</v>
      </c>
      <c r="I6" s="117" t="s">
        <v>185</v>
      </c>
      <c r="J6" s="105" t="s">
        <v>79</v>
      </c>
      <c r="K6" s="98" t="s">
        <v>115</v>
      </c>
      <c r="L6" s="60" t="s">
        <v>122</v>
      </c>
      <c r="M6" s="76">
        <v>4.0</v>
      </c>
      <c r="N6" s="60" t="s">
        <v>124</v>
      </c>
      <c r="O6" s="63" t="s">
        <v>125</v>
      </c>
      <c r="P6" s="127" t="s">
        <v>144</v>
      </c>
      <c r="Q6" s="76">
        <v>0.7</v>
      </c>
      <c r="R6" s="87">
        <v>46225.0</v>
      </c>
      <c r="S6" s="60" t="s">
        <v>124</v>
      </c>
      <c r="T6" s="89"/>
      <c r="U6" s="127" t="s">
        <v>144</v>
      </c>
      <c r="V6" s="76">
        <v>0.7</v>
      </c>
      <c r="W6" s="87">
        <v>46225.0</v>
      </c>
      <c r="X6" s="60" t="s">
        <v>124</v>
      </c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63" t="s">
        <v>125</v>
      </c>
      <c r="AL6" s="58" t="s">
        <v>158</v>
      </c>
      <c r="AM6" s="76">
        <v>0.7</v>
      </c>
      <c r="AN6" s="87">
        <v>46225.0</v>
      </c>
      <c r="AO6" s="60" t="s">
        <v>124</v>
      </c>
      <c r="AP6" s="89"/>
      <c r="AQ6" s="93" t="s">
        <v>150</v>
      </c>
      <c r="AR6" s="76">
        <v>0.7</v>
      </c>
      <c r="AS6" s="87">
        <v>46225.0</v>
      </c>
      <c r="AT6" s="60" t="s">
        <v>124</v>
      </c>
      <c r="AU6" s="89"/>
      <c r="AV6" s="58" t="s">
        <v>68</v>
      </c>
      <c r="AW6" s="60" t="s">
        <v>122</v>
      </c>
      <c r="AX6" s="87">
        <v>46225.0</v>
      </c>
      <c r="AY6" s="76">
        <v>0.3</v>
      </c>
      <c r="AZ6" s="60" t="s">
        <v>124</v>
      </c>
      <c r="BA6" s="76" t="s">
        <v>68</v>
      </c>
      <c r="BB6" s="60" t="s">
        <v>124</v>
      </c>
      <c r="BC6" s="89"/>
      <c r="BD6" s="98" t="s">
        <v>152</v>
      </c>
      <c r="BE6" s="60" t="s">
        <v>124</v>
      </c>
      <c r="BF6" s="38"/>
      <c r="BG6" s="38"/>
      <c r="BH6" s="38"/>
      <c r="BI6" s="38"/>
      <c r="BJ6" s="38"/>
      <c r="BK6" s="38"/>
    </row>
    <row r="7" ht="13.5" customHeight="1">
      <c r="A7" s="75">
        <v>46225.46282261574</v>
      </c>
      <c r="B7" s="76" t="s">
        <v>172</v>
      </c>
      <c r="C7" s="76" t="s">
        <v>186</v>
      </c>
      <c r="D7" s="76">
        <v>6.0</v>
      </c>
      <c r="E7" s="76" t="s">
        <v>187</v>
      </c>
      <c r="F7" s="76" t="s">
        <v>188</v>
      </c>
      <c r="G7" s="76" t="s">
        <v>188</v>
      </c>
      <c r="H7" s="76">
        <v>113.0</v>
      </c>
      <c r="I7" s="117" t="s">
        <v>189</v>
      </c>
      <c r="J7" s="105" t="s">
        <v>79</v>
      </c>
      <c r="K7" s="98" t="s">
        <v>115</v>
      </c>
      <c r="L7" s="60" t="s">
        <v>122</v>
      </c>
      <c r="M7" s="76">
        <v>4.0</v>
      </c>
      <c r="N7" s="60" t="s">
        <v>124</v>
      </c>
      <c r="O7" s="128" t="s">
        <v>161</v>
      </c>
      <c r="P7" s="64" t="s">
        <v>126</v>
      </c>
      <c r="Q7" s="76">
        <v>2.0</v>
      </c>
      <c r="R7" s="87">
        <v>46225.0</v>
      </c>
      <c r="S7" s="113" t="s">
        <v>135</v>
      </c>
      <c r="T7" s="89"/>
      <c r="U7" s="64" t="s">
        <v>126</v>
      </c>
      <c r="V7" s="76">
        <v>2.0</v>
      </c>
      <c r="W7" s="87">
        <v>46225.0</v>
      </c>
      <c r="X7" s="60" t="s">
        <v>124</v>
      </c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128" t="s">
        <v>161</v>
      </c>
      <c r="AL7" s="58" t="s">
        <v>158</v>
      </c>
      <c r="AM7" s="89"/>
      <c r="AN7" s="87">
        <v>46225.0</v>
      </c>
      <c r="AO7" s="113" t="s">
        <v>135</v>
      </c>
      <c r="AP7" s="89"/>
      <c r="AQ7" s="93" t="s">
        <v>150</v>
      </c>
      <c r="AR7" s="76">
        <v>0.5</v>
      </c>
      <c r="AS7" s="87">
        <v>46225.0</v>
      </c>
      <c r="AT7" s="113" t="s">
        <v>135</v>
      </c>
      <c r="AU7" s="89"/>
      <c r="AV7" s="58" t="s">
        <v>68</v>
      </c>
      <c r="AW7" s="60" t="s">
        <v>122</v>
      </c>
      <c r="AX7" s="87">
        <v>46225.0</v>
      </c>
      <c r="AY7" s="76">
        <v>0.3</v>
      </c>
      <c r="AZ7" s="60" t="s">
        <v>124</v>
      </c>
      <c r="BA7" s="76" t="s">
        <v>68</v>
      </c>
      <c r="BB7" s="60" t="s">
        <v>124</v>
      </c>
      <c r="BC7" s="89"/>
      <c r="BD7" s="98" t="s">
        <v>152</v>
      </c>
      <c r="BE7" s="60" t="s">
        <v>124</v>
      </c>
      <c r="BF7" s="38"/>
      <c r="BG7" s="38"/>
      <c r="BH7" s="38"/>
      <c r="BI7" s="38"/>
      <c r="BJ7" s="38"/>
      <c r="BK7" s="38"/>
    </row>
    <row r="8" ht="13.5" customHeight="1">
      <c r="A8" s="75">
        <v>46225.47041380787</v>
      </c>
      <c r="B8" s="76" t="s">
        <v>172</v>
      </c>
      <c r="C8" s="89"/>
      <c r="D8" s="55">
        <v>7.0</v>
      </c>
      <c r="E8" s="76" t="s">
        <v>190</v>
      </c>
      <c r="F8" s="89"/>
      <c r="G8" s="76" t="s">
        <v>191</v>
      </c>
      <c r="H8" s="76">
        <v>41.0</v>
      </c>
      <c r="I8" s="117" t="s">
        <v>192</v>
      </c>
      <c r="J8" s="105" t="s">
        <v>79</v>
      </c>
      <c r="K8" s="98" t="s">
        <v>115</v>
      </c>
      <c r="L8" s="60" t="s">
        <v>122</v>
      </c>
      <c r="M8" s="76">
        <v>2.5</v>
      </c>
      <c r="N8" s="60" t="s">
        <v>124</v>
      </c>
      <c r="O8" s="128" t="s">
        <v>161</v>
      </c>
      <c r="P8" s="64" t="s">
        <v>126</v>
      </c>
      <c r="Q8" s="76">
        <v>1.2</v>
      </c>
      <c r="R8" s="87">
        <v>46225.0</v>
      </c>
      <c r="S8" s="60" t="s">
        <v>124</v>
      </c>
      <c r="T8" s="89"/>
      <c r="U8" s="64" t="s">
        <v>126</v>
      </c>
      <c r="V8" s="76">
        <v>1.2</v>
      </c>
      <c r="W8" s="87">
        <v>46225.0</v>
      </c>
      <c r="X8" s="60" t="s">
        <v>124</v>
      </c>
      <c r="Y8" s="89"/>
      <c r="Z8" s="93" t="s">
        <v>150</v>
      </c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128" t="s">
        <v>161</v>
      </c>
      <c r="AL8" s="58" t="s">
        <v>158</v>
      </c>
      <c r="AM8" s="76">
        <v>1.0</v>
      </c>
      <c r="AN8" s="87">
        <v>46225.0</v>
      </c>
      <c r="AO8" s="60" t="s">
        <v>124</v>
      </c>
      <c r="AP8" s="89"/>
      <c r="AQ8" s="93" t="s">
        <v>150</v>
      </c>
      <c r="AR8" s="76">
        <v>1.0</v>
      </c>
      <c r="AS8" s="87">
        <v>46225.0</v>
      </c>
      <c r="AT8" s="60" t="s">
        <v>124</v>
      </c>
      <c r="AU8" s="89"/>
      <c r="AV8" s="58" t="s">
        <v>68</v>
      </c>
      <c r="AW8" s="60" t="s">
        <v>122</v>
      </c>
      <c r="AX8" s="87">
        <v>46225.0</v>
      </c>
      <c r="AY8" s="76">
        <v>0.3</v>
      </c>
      <c r="AZ8" s="60" t="s">
        <v>124</v>
      </c>
      <c r="BA8" s="76" t="s">
        <v>68</v>
      </c>
      <c r="BB8" s="113" t="s">
        <v>135</v>
      </c>
      <c r="BC8" s="89"/>
      <c r="BD8" s="98" t="s">
        <v>152</v>
      </c>
      <c r="BE8" s="60" t="s">
        <v>124</v>
      </c>
      <c r="BF8" s="38"/>
      <c r="BG8" s="38"/>
      <c r="BH8" s="38"/>
      <c r="BI8" s="38"/>
      <c r="BJ8" s="38"/>
      <c r="BK8" s="38"/>
    </row>
    <row r="9" ht="13.5" customHeight="1">
      <c r="A9" s="75">
        <v>46225.47154024306</v>
      </c>
      <c r="B9" s="76" t="s">
        <v>172</v>
      </c>
      <c r="C9" s="89"/>
      <c r="D9" s="76">
        <v>8.0</v>
      </c>
      <c r="E9" s="76" t="s">
        <v>193</v>
      </c>
      <c r="F9" s="89"/>
      <c r="G9" s="89"/>
      <c r="H9" s="76">
        <v>300.0</v>
      </c>
      <c r="I9" s="117" t="s">
        <v>194</v>
      </c>
      <c r="J9" s="89"/>
      <c r="K9" s="118" t="s">
        <v>108</v>
      </c>
      <c r="L9" s="60" t="s">
        <v>122</v>
      </c>
      <c r="M9" s="76">
        <v>5.8</v>
      </c>
      <c r="N9" s="60" t="s">
        <v>124</v>
      </c>
      <c r="O9" s="63" t="s">
        <v>125</v>
      </c>
      <c r="P9" s="64" t="s">
        <v>126</v>
      </c>
      <c r="Q9" s="76">
        <v>2.0</v>
      </c>
      <c r="R9" s="87">
        <v>46225.0</v>
      </c>
      <c r="S9" s="60" t="s">
        <v>124</v>
      </c>
      <c r="T9" s="89"/>
      <c r="U9" s="64" t="s">
        <v>126</v>
      </c>
      <c r="V9" s="89"/>
      <c r="W9" s="87">
        <v>46225.0</v>
      </c>
      <c r="X9" s="60" t="s">
        <v>124</v>
      </c>
      <c r="Y9" s="89"/>
      <c r="Z9" s="89"/>
      <c r="AA9" s="64" t="s">
        <v>126</v>
      </c>
      <c r="AB9" s="89"/>
      <c r="AC9" s="87">
        <v>46225.0</v>
      </c>
      <c r="AD9" s="60" t="s">
        <v>124</v>
      </c>
      <c r="AE9" s="89"/>
      <c r="AF9" s="64" t="s">
        <v>126</v>
      </c>
      <c r="AG9" s="89"/>
      <c r="AH9" s="87">
        <v>46225.0</v>
      </c>
      <c r="AI9" s="60" t="s">
        <v>124</v>
      </c>
      <c r="AJ9" s="89"/>
      <c r="AK9" s="63" t="s">
        <v>125</v>
      </c>
      <c r="AL9" s="58" t="s">
        <v>158</v>
      </c>
      <c r="AM9" s="76">
        <v>2.0</v>
      </c>
      <c r="AN9" s="87">
        <v>46225.0</v>
      </c>
      <c r="AO9" s="60" t="s">
        <v>124</v>
      </c>
      <c r="AP9" s="89"/>
      <c r="AQ9" s="93" t="s">
        <v>150</v>
      </c>
      <c r="AR9" s="89"/>
      <c r="AS9" s="87">
        <v>46225.0</v>
      </c>
      <c r="AT9" s="60" t="s">
        <v>124</v>
      </c>
      <c r="AU9" s="89"/>
      <c r="AV9" s="58" t="s">
        <v>68</v>
      </c>
      <c r="AW9" s="60" t="s">
        <v>122</v>
      </c>
      <c r="AX9" s="87">
        <v>46225.0</v>
      </c>
      <c r="AY9" s="89"/>
      <c r="AZ9" s="60" t="s">
        <v>124</v>
      </c>
      <c r="BA9" s="76" t="s">
        <v>68</v>
      </c>
      <c r="BB9" s="60" t="s">
        <v>124</v>
      </c>
      <c r="BC9" s="76" t="s">
        <v>68</v>
      </c>
      <c r="BD9" s="98" t="s">
        <v>152</v>
      </c>
      <c r="BE9" s="60" t="s">
        <v>124</v>
      </c>
      <c r="BF9" s="38"/>
      <c r="BG9" s="38"/>
      <c r="BH9" s="38"/>
      <c r="BI9" s="38"/>
      <c r="BJ9" s="38"/>
      <c r="BK9" s="38"/>
    </row>
    <row r="10" ht="13.5" customHeight="1">
      <c r="A10" s="75">
        <v>46225.475190578705</v>
      </c>
      <c r="B10" s="76" t="s">
        <v>172</v>
      </c>
      <c r="C10" s="89"/>
      <c r="D10" s="76">
        <v>9.0</v>
      </c>
      <c r="E10" s="76" t="s">
        <v>195</v>
      </c>
      <c r="F10" s="89"/>
      <c r="G10" s="89"/>
      <c r="H10" s="76">
        <v>130.0</v>
      </c>
      <c r="I10" s="117" t="s">
        <v>196</v>
      </c>
      <c r="J10" s="105" t="s">
        <v>79</v>
      </c>
      <c r="K10" s="98" t="s">
        <v>115</v>
      </c>
      <c r="L10" s="60" t="s">
        <v>122</v>
      </c>
      <c r="M10" s="76">
        <v>5.5</v>
      </c>
      <c r="N10" s="60" t="s">
        <v>124</v>
      </c>
      <c r="O10" s="128" t="s">
        <v>161</v>
      </c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128" t="s">
        <v>161</v>
      </c>
      <c r="AL10" s="91" t="s">
        <v>148</v>
      </c>
      <c r="AM10" s="76">
        <v>2.0</v>
      </c>
      <c r="AN10" s="87">
        <v>46225.0</v>
      </c>
      <c r="AO10" s="60" t="s">
        <v>124</v>
      </c>
      <c r="AP10" s="89"/>
      <c r="AQ10" s="93" t="s">
        <v>150</v>
      </c>
      <c r="AR10" s="76">
        <v>2.0</v>
      </c>
      <c r="AS10" s="87">
        <v>46225.0</v>
      </c>
      <c r="AT10" s="60" t="s">
        <v>124</v>
      </c>
      <c r="AU10" s="89"/>
      <c r="AV10" s="58" t="s">
        <v>68</v>
      </c>
      <c r="AW10" s="60" t="s">
        <v>122</v>
      </c>
      <c r="AX10" s="87">
        <v>46225.0</v>
      </c>
      <c r="AY10" s="76">
        <v>0.3</v>
      </c>
      <c r="AZ10" s="60" t="s">
        <v>124</v>
      </c>
      <c r="BA10" s="76" t="s">
        <v>68</v>
      </c>
      <c r="BB10" s="60" t="s">
        <v>124</v>
      </c>
      <c r="BC10" s="89"/>
      <c r="BD10" s="98" t="s">
        <v>152</v>
      </c>
      <c r="BE10" s="60" t="s">
        <v>124</v>
      </c>
      <c r="BF10" s="38"/>
      <c r="BG10" s="38"/>
      <c r="BH10" s="38"/>
      <c r="BI10" s="38"/>
      <c r="BJ10" s="38"/>
      <c r="BK10" s="38"/>
    </row>
    <row r="11" ht="13.5" customHeight="1">
      <c r="A11" s="75">
        <v>46225.476536585644</v>
      </c>
      <c r="B11" s="76" t="s">
        <v>172</v>
      </c>
      <c r="C11" s="89"/>
      <c r="D11" s="55">
        <v>10.0</v>
      </c>
      <c r="E11" s="76" t="s">
        <v>197</v>
      </c>
      <c r="F11" s="76">
        <v>3.0</v>
      </c>
      <c r="G11" s="76" t="s">
        <v>188</v>
      </c>
      <c r="H11" s="76">
        <v>56.0</v>
      </c>
      <c r="I11" s="117" t="s">
        <v>198</v>
      </c>
      <c r="J11" s="129" t="s">
        <v>89</v>
      </c>
      <c r="K11" s="98" t="s">
        <v>115</v>
      </c>
      <c r="L11" s="60" t="s">
        <v>122</v>
      </c>
      <c r="M11" s="76">
        <v>3.6</v>
      </c>
      <c r="N11" s="60" t="s">
        <v>124</v>
      </c>
      <c r="O11" s="63" t="s">
        <v>125</v>
      </c>
      <c r="P11" s="64" t="s">
        <v>126</v>
      </c>
      <c r="Q11" s="76">
        <v>2.0</v>
      </c>
      <c r="R11" s="87">
        <v>46225.0</v>
      </c>
      <c r="S11" s="60" t="s">
        <v>124</v>
      </c>
      <c r="T11" s="89"/>
      <c r="U11" s="86" t="s">
        <v>142</v>
      </c>
      <c r="V11" s="89"/>
      <c r="W11" s="87">
        <v>46225.0</v>
      </c>
      <c r="X11" s="60" t="s">
        <v>124</v>
      </c>
      <c r="Y11" s="89"/>
      <c r="Z11" s="93" t="s">
        <v>150</v>
      </c>
      <c r="AA11" s="86" t="s">
        <v>142</v>
      </c>
      <c r="AB11" s="89"/>
      <c r="AC11" s="87">
        <v>46225.0</v>
      </c>
      <c r="AD11" s="60" t="s">
        <v>124</v>
      </c>
      <c r="AE11" s="89"/>
      <c r="AF11" s="86" t="s">
        <v>142</v>
      </c>
      <c r="AG11" s="89"/>
      <c r="AH11" s="87">
        <v>46225.0</v>
      </c>
      <c r="AI11" s="89"/>
      <c r="AJ11" s="89"/>
      <c r="AK11" s="63" t="s">
        <v>125</v>
      </c>
      <c r="AL11" s="58" t="s">
        <v>158</v>
      </c>
      <c r="AM11" s="89"/>
      <c r="AN11" s="87">
        <v>46225.0</v>
      </c>
      <c r="AO11" s="60" t="s">
        <v>124</v>
      </c>
      <c r="AP11" s="89"/>
      <c r="AQ11" s="130" t="s">
        <v>180</v>
      </c>
      <c r="AR11" s="89"/>
      <c r="AS11" s="87">
        <v>46225.0</v>
      </c>
      <c r="AT11" s="60" t="s">
        <v>124</v>
      </c>
      <c r="AU11" s="89"/>
      <c r="AV11" s="58" t="s">
        <v>68</v>
      </c>
      <c r="AW11" s="60" t="s">
        <v>122</v>
      </c>
      <c r="AX11" s="87">
        <v>46225.0</v>
      </c>
      <c r="AY11" s="76">
        <v>0.3</v>
      </c>
      <c r="AZ11" s="60" t="s">
        <v>124</v>
      </c>
      <c r="BA11" s="76" t="s">
        <v>68</v>
      </c>
      <c r="BB11" s="60" t="s">
        <v>124</v>
      </c>
      <c r="BC11" s="89"/>
      <c r="BD11" s="98" t="s">
        <v>152</v>
      </c>
      <c r="BE11" s="60" t="s">
        <v>124</v>
      </c>
      <c r="BF11" s="38"/>
      <c r="BG11" s="38"/>
      <c r="BH11" s="38"/>
      <c r="BI11" s="38"/>
      <c r="BJ11" s="38"/>
      <c r="BK11" s="38"/>
    </row>
    <row r="12" ht="13.5" customHeight="1">
      <c r="A12" s="75">
        <v>46225.48136148148</v>
      </c>
      <c r="B12" s="76" t="s">
        <v>172</v>
      </c>
      <c r="C12" s="89"/>
      <c r="D12" s="76">
        <v>11.0</v>
      </c>
      <c r="E12" s="76" t="s">
        <v>199</v>
      </c>
      <c r="F12" s="76" t="s">
        <v>200</v>
      </c>
      <c r="G12" s="89"/>
      <c r="H12" s="76">
        <v>71.0</v>
      </c>
      <c r="I12" s="117" t="s">
        <v>201</v>
      </c>
      <c r="J12" s="58" t="s">
        <v>68</v>
      </c>
      <c r="K12" s="98" t="s">
        <v>115</v>
      </c>
      <c r="L12" s="60" t="s">
        <v>122</v>
      </c>
      <c r="M12" s="76">
        <v>3.0</v>
      </c>
      <c r="N12" s="60" t="s">
        <v>124</v>
      </c>
      <c r="O12" s="128" t="s">
        <v>161</v>
      </c>
      <c r="P12" s="64" t="s">
        <v>126</v>
      </c>
      <c r="Q12" s="76">
        <v>1.0</v>
      </c>
      <c r="R12" s="87">
        <v>46225.0</v>
      </c>
      <c r="S12" s="60" t="s">
        <v>124</v>
      </c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128" t="s">
        <v>161</v>
      </c>
      <c r="AL12" s="58" t="s">
        <v>158</v>
      </c>
      <c r="AM12" s="76">
        <v>0.8</v>
      </c>
      <c r="AN12" s="87">
        <v>46225.0</v>
      </c>
      <c r="AO12" s="113" t="s">
        <v>135</v>
      </c>
      <c r="AP12" s="89"/>
      <c r="AQ12" s="93" t="s">
        <v>150</v>
      </c>
      <c r="AR12" s="76">
        <v>0.8</v>
      </c>
      <c r="AS12" s="87">
        <v>46225.0</v>
      </c>
      <c r="AT12" s="60" t="s">
        <v>124</v>
      </c>
      <c r="AU12" s="89"/>
      <c r="AV12" s="58" t="s">
        <v>68</v>
      </c>
      <c r="AW12" s="60" t="s">
        <v>122</v>
      </c>
      <c r="AX12" s="87">
        <v>46225.0</v>
      </c>
      <c r="AY12" s="76">
        <v>0.3</v>
      </c>
      <c r="AZ12" s="60" t="s">
        <v>124</v>
      </c>
      <c r="BA12" s="76" t="s">
        <v>68</v>
      </c>
      <c r="BB12" s="60" t="s">
        <v>124</v>
      </c>
      <c r="BC12" s="89"/>
      <c r="BD12" s="98" t="s">
        <v>152</v>
      </c>
      <c r="BE12" s="60" t="s">
        <v>124</v>
      </c>
      <c r="BF12" s="38"/>
      <c r="BG12" s="38"/>
      <c r="BH12" s="38"/>
      <c r="BI12" s="38"/>
      <c r="BJ12" s="38"/>
      <c r="BK12" s="38"/>
    </row>
    <row r="13" ht="13.5" customHeight="1">
      <c r="A13" s="75">
        <v>46225.48231157407</v>
      </c>
      <c r="B13" s="76" t="s">
        <v>172</v>
      </c>
      <c r="C13" s="89"/>
      <c r="D13" s="76">
        <v>12.0</v>
      </c>
      <c r="E13" s="76" t="s">
        <v>197</v>
      </c>
      <c r="F13" s="76">
        <v>5.0</v>
      </c>
      <c r="G13" s="76" t="s">
        <v>197</v>
      </c>
      <c r="H13" s="76">
        <v>56.0</v>
      </c>
      <c r="I13" s="117" t="s">
        <v>202</v>
      </c>
      <c r="J13" s="129" t="s">
        <v>89</v>
      </c>
      <c r="K13" s="98" t="s">
        <v>115</v>
      </c>
      <c r="L13" s="60" t="s">
        <v>122</v>
      </c>
      <c r="M13" s="76">
        <v>4.0</v>
      </c>
      <c r="N13" s="60" t="s">
        <v>124</v>
      </c>
      <c r="O13" s="128" t="s">
        <v>161</v>
      </c>
      <c r="P13" s="64" t="s">
        <v>126</v>
      </c>
      <c r="Q13" s="76">
        <v>3.0</v>
      </c>
      <c r="R13" s="87">
        <v>46225.0</v>
      </c>
      <c r="S13" s="60" t="s">
        <v>124</v>
      </c>
      <c r="T13" s="89"/>
      <c r="U13" s="64" t="s">
        <v>126</v>
      </c>
      <c r="V13" s="76">
        <v>1.0</v>
      </c>
      <c r="W13" s="87">
        <v>46225.0</v>
      </c>
      <c r="X13" s="60" t="s">
        <v>124</v>
      </c>
      <c r="Y13" s="89"/>
      <c r="Z13" s="93" t="s">
        <v>150</v>
      </c>
      <c r="AA13" s="64" t="s">
        <v>126</v>
      </c>
      <c r="AB13" s="76">
        <v>1.3</v>
      </c>
      <c r="AC13" s="87">
        <v>46225.0</v>
      </c>
      <c r="AD13" s="60" t="s">
        <v>124</v>
      </c>
      <c r="AE13" s="89"/>
      <c r="AF13" s="64" t="s">
        <v>126</v>
      </c>
      <c r="AG13" s="76">
        <v>1.3</v>
      </c>
      <c r="AH13" s="87">
        <v>46225.0</v>
      </c>
      <c r="AI13" s="60" t="s">
        <v>124</v>
      </c>
      <c r="AJ13" s="89"/>
      <c r="AK13" s="128" t="s">
        <v>161</v>
      </c>
      <c r="AL13" s="58" t="s">
        <v>158</v>
      </c>
      <c r="AM13" s="76">
        <v>1.0</v>
      </c>
      <c r="AN13" s="87">
        <v>46225.0</v>
      </c>
      <c r="AO13" s="60" t="s">
        <v>124</v>
      </c>
      <c r="AP13" s="89"/>
      <c r="AQ13" s="93" t="s">
        <v>150</v>
      </c>
      <c r="AR13" s="76">
        <v>1.0</v>
      </c>
      <c r="AS13" s="87">
        <v>46225.0</v>
      </c>
      <c r="AT13" s="60" t="s">
        <v>124</v>
      </c>
      <c r="AU13" s="89"/>
      <c r="AV13" s="58" t="s">
        <v>68</v>
      </c>
      <c r="AW13" s="60" t="s">
        <v>122</v>
      </c>
      <c r="AX13" s="87">
        <v>46225.0</v>
      </c>
      <c r="AY13" s="76">
        <v>0.3</v>
      </c>
      <c r="AZ13" s="113" t="s">
        <v>135</v>
      </c>
      <c r="BA13" s="76" t="s">
        <v>68</v>
      </c>
      <c r="BB13" s="60" t="s">
        <v>124</v>
      </c>
      <c r="BC13" s="89"/>
      <c r="BD13" s="98" t="s">
        <v>152</v>
      </c>
      <c r="BE13" s="60" t="s">
        <v>124</v>
      </c>
      <c r="BF13" s="38"/>
      <c r="BG13" s="38"/>
      <c r="BH13" s="38"/>
      <c r="BI13" s="38"/>
      <c r="BJ13" s="38"/>
      <c r="BK13" s="38"/>
    </row>
    <row r="14" ht="13.5" customHeight="1">
      <c r="A14" s="75">
        <v>46225.48713196759</v>
      </c>
      <c r="B14" s="76" t="s">
        <v>172</v>
      </c>
      <c r="C14" s="89"/>
      <c r="D14" s="55">
        <v>13.0</v>
      </c>
      <c r="E14" s="76" t="s">
        <v>199</v>
      </c>
      <c r="F14" s="76" t="s">
        <v>203</v>
      </c>
      <c r="G14" s="76" t="s">
        <v>204</v>
      </c>
      <c r="H14" s="76">
        <v>70.0</v>
      </c>
      <c r="I14" s="117" t="s">
        <v>205</v>
      </c>
      <c r="J14" s="105" t="s">
        <v>79</v>
      </c>
      <c r="K14" s="98" t="s">
        <v>115</v>
      </c>
      <c r="L14" s="60" t="s">
        <v>122</v>
      </c>
      <c r="M14" s="76">
        <v>3.5</v>
      </c>
      <c r="N14" s="60" t="s">
        <v>124</v>
      </c>
      <c r="O14" s="63" t="s">
        <v>125</v>
      </c>
      <c r="P14" s="89"/>
      <c r="Q14" s="89"/>
      <c r="R14" s="89"/>
      <c r="S14" s="89"/>
      <c r="T14" s="89"/>
      <c r="U14" s="89"/>
      <c r="V14" s="89"/>
      <c r="W14" s="89"/>
      <c r="X14" s="89"/>
      <c r="Y14" s="76" t="s">
        <v>206</v>
      </c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63" t="s">
        <v>125</v>
      </c>
      <c r="AL14" s="58" t="s">
        <v>158</v>
      </c>
      <c r="AM14" s="76">
        <v>0.8</v>
      </c>
      <c r="AN14" s="87">
        <v>46225.0</v>
      </c>
      <c r="AO14" s="105" t="s">
        <v>132</v>
      </c>
      <c r="AP14" s="89"/>
      <c r="AQ14" s="130" t="s">
        <v>180</v>
      </c>
      <c r="AR14" s="76">
        <v>0.8</v>
      </c>
      <c r="AS14" s="87">
        <v>46225.0</v>
      </c>
      <c r="AT14" s="105" t="s">
        <v>132</v>
      </c>
      <c r="AU14" s="89"/>
      <c r="AV14" s="58" t="s">
        <v>68</v>
      </c>
      <c r="AW14" s="60" t="s">
        <v>122</v>
      </c>
      <c r="AX14" s="87">
        <v>46225.0</v>
      </c>
      <c r="AY14" s="76">
        <v>0.3</v>
      </c>
      <c r="AZ14" s="60" t="s">
        <v>124</v>
      </c>
      <c r="BA14" s="76" t="s">
        <v>68</v>
      </c>
      <c r="BB14" s="60" t="s">
        <v>124</v>
      </c>
      <c r="BC14" s="89"/>
      <c r="BD14" s="98" t="s">
        <v>152</v>
      </c>
      <c r="BE14" s="113" t="s">
        <v>135</v>
      </c>
      <c r="BF14" s="38"/>
      <c r="BG14" s="38"/>
      <c r="BH14" s="38"/>
      <c r="BI14" s="38"/>
      <c r="BJ14" s="38"/>
      <c r="BK14" s="38"/>
    </row>
    <row r="15" ht="13.5" customHeight="1">
      <c r="A15" s="75">
        <v>46225.488456122686</v>
      </c>
      <c r="B15" s="76" t="s">
        <v>172</v>
      </c>
      <c r="C15" s="89"/>
      <c r="D15" s="76">
        <v>14.0</v>
      </c>
      <c r="E15" s="76" t="s">
        <v>197</v>
      </c>
      <c r="F15" s="89"/>
      <c r="G15" s="76" t="s">
        <v>197</v>
      </c>
      <c r="H15" s="76">
        <v>387.0</v>
      </c>
      <c r="I15" s="117" t="s">
        <v>207</v>
      </c>
      <c r="J15" s="129" t="s">
        <v>89</v>
      </c>
      <c r="K15" s="118" t="s">
        <v>108</v>
      </c>
      <c r="L15" s="60" t="s">
        <v>122</v>
      </c>
      <c r="M15" s="76">
        <v>4.0</v>
      </c>
      <c r="N15" s="60" t="s">
        <v>124</v>
      </c>
      <c r="O15" s="128" t="s">
        <v>161</v>
      </c>
      <c r="P15" s="64" t="s">
        <v>126</v>
      </c>
      <c r="Q15" s="76">
        <v>1.0</v>
      </c>
      <c r="R15" s="87">
        <v>46225.0</v>
      </c>
      <c r="S15" s="113" t="s">
        <v>135</v>
      </c>
      <c r="T15" s="89"/>
      <c r="U15" s="64" t="s">
        <v>126</v>
      </c>
      <c r="V15" s="76">
        <v>1.0</v>
      </c>
      <c r="W15" s="87">
        <v>46225.0</v>
      </c>
      <c r="X15" s="113" t="s">
        <v>135</v>
      </c>
      <c r="Y15" s="89"/>
      <c r="Z15" s="93" t="s">
        <v>150</v>
      </c>
      <c r="AA15" s="64" t="s">
        <v>126</v>
      </c>
      <c r="AB15" s="76">
        <v>1.0</v>
      </c>
      <c r="AC15" s="87">
        <v>46225.0</v>
      </c>
      <c r="AD15" s="113" t="s">
        <v>135</v>
      </c>
      <c r="AE15" s="89"/>
      <c r="AF15" s="64" t="s">
        <v>126</v>
      </c>
      <c r="AG15" s="76">
        <v>1.0</v>
      </c>
      <c r="AH15" s="87">
        <v>46225.0</v>
      </c>
      <c r="AI15" s="113" t="s">
        <v>135</v>
      </c>
      <c r="AJ15" s="89"/>
      <c r="AK15" s="128" t="s">
        <v>161</v>
      </c>
      <c r="AL15" s="91" t="s">
        <v>148</v>
      </c>
      <c r="AM15" s="76">
        <v>1.0</v>
      </c>
      <c r="AN15" s="87">
        <v>46225.0</v>
      </c>
      <c r="AO15" s="105" t="s">
        <v>132</v>
      </c>
      <c r="AP15" s="89"/>
      <c r="AQ15" s="93" t="s">
        <v>150</v>
      </c>
      <c r="AR15" s="76">
        <v>1.0</v>
      </c>
      <c r="AS15" s="87">
        <v>46225.0</v>
      </c>
      <c r="AT15" s="105" t="s">
        <v>132</v>
      </c>
      <c r="AU15" s="89"/>
      <c r="AV15" s="58" t="s">
        <v>68</v>
      </c>
      <c r="AW15" s="60" t="s">
        <v>122</v>
      </c>
      <c r="AX15" s="87">
        <v>46225.0</v>
      </c>
      <c r="AY15" s="76">
        <v>0.3</v>
      </c>
      <c r="AZ15" s="60" t="s">
        <v>124</v>
      </c>
      <c r="BA15" s="76" t="s">
        <v>68</v>
      </c>
      <c r="BB15" s="60" t="s">
        <v>124</v>
      </c>
      <c r="BC15" s="89"/>
      <c r="BD15" s="98" t="s">
        <v>152</v>
      </c>
      <c r="BE15" s="60" t="s">
        <v>124</v>
      </c>
      <c r="BF15" s="38"/>
      <c r="BG15" s="38"/>
      <c r="BH15" s="38"/>
      <c r="BI15" s="38"/>
      <c r="BJ15" s="38"/>
      <c r="BK15" s="38"/>
    </row>
    <row r="16" ht="13.5" customHeight="1">
      <c r="A16" s="75">
        <v>46225.49164065972</v>
      </c>
      <c r="B16" s="76" t="s">
        <v>172</v>
      </c>
      <c r="C16" s="89"/>
      <c r="D16" s="76">
        <v>15.0</v>
      </c>
      <c r="E16" s="76" t="s">
        <v>199</v>
      </c>
      <c r="F16" s="76" t="s">
        <v>208</v>
      </c>
      <c r="G16" s="89"/>
      <c r="H16" s="76">
        <v>75.0</v>
      </c>
      <c r="I16" s="117" t="s">
        <v>209</v>
      </c>
      <c r="J16" s="105" t="s">
        <v>79</v>
      </c>
      <c r="K16" s="98" t="s">
        <v>115</v>
      </c>
      <c r="L16" s="60" t="s">
        <v>122</v>
      </c>
      <c r="M16" s="76">
        <v>2.5</v>
      </c>
      <c r="N16" s="60" t="s">
        <v>124</v>
      </c>
      <c r="O16" s="63" t="s">
        <v>125</v>
      </c>
      <c r="P16" s="89"/>
      <c r="Q16" s="89"/>
      <c r="R16" s="89"/>
      <c r="S16" s="89"/>
      <c r="T16" s="89"/>
      <c r="U16" s="89"/>
      <c r="V16" s="89"/>
      <c r="W16" s="89"/>
      <c r="X16" s="89"/>
      <c r="Y16" s="76" t="s">
        <v>210</v>
      </c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63" t="s">
        <v>125</v>
      </c>
      <c r="AL16" s="91" t="s">
        <v>148</v>
      </c>
      <c r="AM16" s="76">
        <v>1.2</v>
      </c>
      <c r="AN16" s="87">
        <v>46225.0</v>
      </c>
      <c r="AO16" s="113" t="s">
        <v>135</v>
      </c>
      <c r="AP16" s="89"/>
      <c r="AQ16" s="130" t="s">
        <v>180</v>
      </c>
      <c r="AR16" s="76">
        <v>1.2</v>
      </c>
      <c r="AS16" s="87">
        <v>46225.0</v>
      </c>
      <c r="AT16" s="105" t="s">
        <v>132</v>
      </c>
      <c r="AU16" s="89"/>
      <c r="AV16" s="58" t="s">
        <v>68</v>
      </c>
      <c r="AW16" s="60" t="s">
        <v>122</v>
      </c>
      <c r="AX16" s="87">
        <v>46225.0</v>
      </c>
      <c r="AY16" s="76">
        <v>0.3</v>
      </c>
      <c r="AZ16" s="60" t="s">
        <v>124</v>
      </c>
      <c r="BA16" s="76" t="s">
        <v>68</v>
      </c>
      <c r="BB16" s="60" t="s">
        <v>124</v>
      </c>
      <c r="BC16" s="89"/>
      <c r="BD16" s="98" t="s">
        <v>152</v>
      </c>
      <c r="BE16" s="60" t="s">
        <v>124</v>
      </c>
      <c r="BF16" s="38"/>
      <c r="BG16" s="38"/>
      <c r="BH16" s="38"/>
      <c r="BI16" s="38"/>
      <c r="BJ16" s="38"/>
      <c r="BK16" s="38"/>
    </row>
    <row r="17" ht="13.5" customHeight="1">
      <c r="A17" s="75">
        <v>46225.49322704861</v>
      </c>
      <c r="B17" s="76" t="s">
        <v>172</v>
      </c>
      <c r="C17" s="89"/>
      <c r="D17" s="55">
        <v>16.0</v>
      </c>
      <c r="E17" s="76" t="s">
        <v>197</v>
      </c>
      <c r="F17" s="76">
        <v>7.0</v>
      </c>
      <c r="G17" s="76" t="s">
        <v>197</v>
      </c>
      <c r="H17" s="76">
        <v>100.0</v>
      </c>
      <c r="I17" s="117" t="s">
        <v>211</v>
      </c>
      <c r="J17" s="129" t="s">
        <v>89</v>
      </c>
      <c r="K17" s="118" t="s">
        <v>108</v>
      </c>
      <c r="L17" s="60" t="s">
        <v>122</v>
      </c>
      <c r="M17" s="76">
        <v>4.0</v>
      </c>
      <c r="N17" s="60" t="s">
        <v>124</v>
      </c>
      <c r="O17" s="128" t="s">
        <v>161</v>
      </c>
      <c r="P17" s="64" t="s">
        <v>126</v>
      </c>
      <c r="Q17" s="76">
        <v>1.0</v>
      </c>
      <c r="R17" s="87">
        <v>46225.0</v>
      </c>
      <c r="S17" s="113" t="s">
        <v>135</v>
      </c>
      <c r="T17" s="89"/>
      <c r="U17" s="64" t="s">
        <v>126</v>
      </c>
      <c r="V17" s="76">
        <v>1.0</v>
      </c>
      <c r="W17" s="87">
        <v>46225.0</v>
      </c>
      <c r="X17" s="113" t="s">
        <v>135</v>
      </c>
      <c r="Y17" s="89"/>
      <c r="Z17" s="93" t="s">
        <v>150</v>
      </c>
      <c r="AA17" s="64" t="s">
        <v>126</v>
      </c>
      <c r="AB17" s="76">
        <v>1.0</v>
      </c>
      <c r="AC17" s="87">
        <v>46225.0</v>
      </c>
      <c r="AD17" s="113" t="s">
        <v>135</v>
      </c>
      <c r="AE17" s="89"/>
      <c r="AF17" s="64" t="s">
        <v>126</v>
      </c>
      <c r="AG17" s="76">
        <v>1.0</v>
      </c>
      <c r="AH17" s="87">
        <v>46225.0</v>
      </c>
      <c r="AI17" s="113" t="s">
        <v>135</v>
      </c>
      <c r="AJ17" s="89"/>
      <c r="AK17" s="128" t="s">
        <v>161</v>
      </c>
      <c r="AL17" s="91" t="s">
        <v>148</v>
      </c>
      <c r="AM17" s="76">
        <v>1.0</v>
      </c>
      <c r="AN17" s="87">
        <v>46225.0</v>
      </c>
      <c r="AO17" s="60" t="s">
        <v>124</v>
      </c>
      <c r="AP17" s="89"/>
      <c r="AQ17" s="93" t="s">
        <v>150</v>
      </c>
      <c r="AR17" s="76">
        <v>1.0</v>
      </c>
      <c r="AS17" s="87">
        <v>46225.0</v>
      </c>
      <c r="AT17" s="60" t="s">
        <v>124</v>
      </c>
      <c r="AU17" s="89"/>
      <c r="AV17" s="58" t="s">
        <v>68</v>
      </c>
      <c r="AW17" s="60" t="s">
        <v>122</v>
      </c>
      <c r="AX17" s="87">
        <v>46225.0</v>
      </c>
      <c r="AY17" s="76">
        <v>0.3</v>
      </c>
      <c r="AZ17" s="60" t="s">
        <v>124</v>
      </c>
      <c r="BA17" s="76" t="s">
        <v>68</v>
      </c>
      <c r="BB17" s="60" t="s">
        <v>124</v>
      </c>
      <c r="BC17" s="89"/>
      <c r="BD17" s="98" t="s">
        <v>152</v>
      </c>
      <c r="BE17" s="60" t="s">
        <v>124</v>
      </c>
      <c r="BF17" s="38"/>
      <c r="BG17" s="38"/>
      <c r="BH17" s="38"/>
      <c r="BI17" s="38"/>
      <c r="BJ17" s="38"/>
      <c r="BK17" s="38"/>
    </row>
    <row r="18" ht="13.5" customHeight="1">
      <c r="A18" s="75">
        <v>46225.49562476852</v>
      </c>
      <c r="B18" s="76" t="s">
        <v>172</v>
      </c>
      <c r="C18" s="89"/>
      <c r="D18" s="76">
        <v>17.0</v>
      </c>
      <c r="E18" s="76" t="s">
        <v>199</v>
      </c>
      <c r="F18" s="76" t="s">
        <v>212</v>
      </c>
      <c r="G18" s="76" t="s">
        <v>200</v>
      </c>
      <c r="H18" s="76">
        <v>90.0</v>
      </c>
      <c r="I18" s="117" t="s">
        <v>213</v>
      </c>
      <c r="J18" s="58" t="s">
        <v>68</v>
      </c>
      <c r="K18" s="98" t="s">
        <v>115</v>
      </c>
      <c r="L18" s="60" t="s">
        <v>122</v>
      </c>
      <c r="M18" s="76">
        <v>3.0</v>
      </c>
      <c r="N18" s="60" t="s">
        <v>124</v>
      </c>
      <c r="O18" s="63" t="s">
        <v>125</v>
      </c>
      <c r="P18" s="64" t="s">
        <v>126</v>
      </c>
      <c r="Q18" s="76">
        <v>0.4</v>
      </c>
      <c r="R18" s="87">
        <v>46225.0</v>
      </c>
      <c r="S18" s="60" t="s">
        <v>124</v>
      </c>
      <c r="T18" s="89"/>
      <c r="U18" s="64" t="s">
        <v>126</v>
      </c>
      <c r="V18" s="76">
        <v>0.4</v>
      </c>
      <c r="W18" s="87">
        <v>46225.0</v>
      </c>
      <c r="X18" s="60" t="s">
        <v>124</v>
      </c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63" t="s">
        <v>125</v>
      </c>
      <c r="AL18" s="58" t="s">
        <v>158</v>
      </c>
      <c r="AM18" s="76">
        <v>0.7</v>
      </c>
      <c r="AN18" s="87">
        <v>46225.0</v>
      </c>
      <c r="AO18" s="113" t="s">
        <v>135</v>
      </c>
      <c r="AP18" s="89"/>
      <c r="AQ18" s="130" t="s">
        <v>180</v>
      </c>
      <c r="AR18" s="76">
        <v>0.7</v>
      </c>
      <c r="AS18" s="87">
        <v>46225.0</v>
      </c>
      <c r="AT18" s="113" t="s">
        <v>135</v>
      </c>
      <c r="AU18" s="89"/>
      <c r="AV18" s="58" t="s">
        <v>68</v>
      </c>
      <c r="AW18" s="60" t="s">
        <v>122</v>
      </c>
      <c r="AX18" s="87">
        <v>46225.0</v>
      </c>
      <c r="AY18" s="76">
        <v>0.3</v>
      </c>
      <c r="AZ18" s="60" t="s">
        <v>124</v>
      </c>
      <c r="BA18" s="76" t="s">
        <v>68</v>
      </c>
      <c r="BB18" s="60" t="s">
        <v>124</v>
      </c>
      <c r="BC18" s="89"/>
      <c r="BD18" s="98" t="s">
        <v>152</v>
      </c>
      <c r="BE18" s="60" t="s">
        <v>124</v>
      </c>
      <c r="BF18" s="38"/>
      <c r="BG18" s="38"/>
      <c r="BH18" s="38"/>
      <c r="BI18" s="38"/>
      <c r="BJ18" s="38"/>
      <c r="BK18" s="38"/>
    </row>
    <row r="19" ht="13.5" customHeight="1">
      <c r="A19" s="75">
        <v>46225.49987666667</v>
      </c>
      <c r="B19" s="76" t="s">
        <v>172</v>
      </c>
      <c r="C19" s="89"/>
      <c r="D19" s="76">
        <v>18.0</v>
      </c>
      <c r="E19" s="76" t="s">
        <v>214</v>
      </c>
      <c r="F19" s="76" t="s">
        <v>200</v>
      </c>
      <c r="G19" s="89"/>
      <c r="H19" s="76">
        <v>75.0</v>
      </c>
      <c r="I19" s="117" t="s">
        <v>215</v>
      </c>
      <c r="J19" s="105" t="s">
        <v>79</v>
      </c>
      <c r="K19" s="98" t="s">
        <v>115</v>
      </c>
      <c r="L19" s="60" t="s">
        <v>122</v>
      </c>
      <c r="M19" s="76">
        <v>3.5</v>
      </c>
      <c r="N19" s="60" t="s">
        <v>124</v>
      </c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58" t="s">
        <v>68</v>
      </c>
      <c r="AW19" s="60" t="s">
        <v>122</v>
      </c>
      <c r="AX19" s="87">
        <v>46225.0</v>
      </c>
      <c r="AY19" s="76">
        <v>0.3</v>
      </c>
      <c r="AZ19" s="60" t="s">
        <v>124</v>
      </c>
      <c r="BA19" s="76" t="s">
        <v>68</v>
      </c>
      <c r="BB19" s="60" t="s">
        <v>124</v>
      </c>
      <c r="BC19" s="89"/>
      <c r="BD19" s="105" t="s">
        <v>132</v>
      </c>
      <c r="BE19" s="89"/>
      <c r="BF19" s="38"/>
      <c r="BG19" s="38"/>
      <c r="BH19" s="38"/>
      <c r="BI19" s="38"/>
      <c r="BJ19" s="38"/>
      <c r="BK19" s="38"/>
    </row>
    <row r="20" ht="13.5" customHeight="1">
      <c r="A20" s="75">
        <v>46225.505288622684</v>
      </c>
      <c r="B20" s="76" t="s">
        <v>172</v>
      </c>
      <c r="C20" s="89"/>
      <c r="D20" s="55">
        <v>19.0</v>
      </c>
      <c r="E20" s="76" t="s">
        <v>187</v>
      </c>
      <c r="F20" s="76" t="s">
        <v>216</v>
      </c>
      <c r="G20" s="76" t="s">
        <v>197</v>
      </c>
      <c r="H20" s="76">
        <v>440.0</v>
      </c>
      <c r="I20" s="117" t="s">
        <v>217</v>
      </c>
      <c r="J20" s="105" t="s">
        <v>79</v>
      </c>
      <c r="K20" s="89"/>
      <c r="L20" s="60" t="s">
        <v>122</v>
      </c>
      <c r="M20" s="76">
        <v>5.5</v>
      </c>
      <c r="N20" s="60" t="s">
        <v>124</v>
      </c>
      <c r="O20" s="128" t="s">
        <v>161</v>
      </c>
      <c r="P20" s="64" t="s">
        <v>126</v>
      </c>
      <c r="Q20" s="76">
        <v>1.8</v>
      </c>
      <c r="R20" s="87">
        <v>46225.0</v>
      </c>
      <c r="S20" s="60" t="s">
        <v>124</v>
      </c>
      <c r="T20" s="89"/>
      <c r="U20" s="89"/>
      <c r="V20" s="89"/>
      <c r="W20" s="89"/>
      <c r="X20" s="89"/>
      <c r="Y20" s="89"/>
      <c r="Z20" s="93" t="s">
        <v>150</v>
      </c>
      <c r="AA20" s="64" t="s">
        <v>126</v>
      </c>
      <c r="AB20" s="76">
        <v>2.0</v>
      </c>
      <c r="AC20" s="87">
        <v>46225.0</v>
      </c>
      <c r="AD20" s="60" t="s">
        <v>124</v>
      </c>
      <c r="AE20" s="89"/>
      <c r="AF20" s="86" t="s">
        <v>142</v>
      </c>
      <c r="AG20" s="76">
        <v>1.8</v>
      </c>
      <c r="AH20" s="87">
        <v>46225.0</v>
      </c>
      <c r="AI20" s="60" t="s">
        <v>124</v>
      </c>
      <c r="AJ20" s="89"/>
      <c r="AK20" s="128" t="s">
        <v>161</v>
      </c>
      <c r="AL20" s="91" t="s">
        <v>148</v>
      </c>
      <c r="AM20" s="76">
        <v>1.8</v>
      </c>
      <c r="AN20" s="87">
        <v>46225.0</v>
      </c>
      <c r="AO20" s="60" t="s">
        <v>124</v>
      </c>
      <c r="AP20" s="89"/>
      <c r="AQ20" s="93" t="s">
        <v>150</v>
      </c>
      <c r="AR20" s="76">
        <v>1.3</v>
      </c>
      <c r="AS20" s="87">
        <v>46225.0</v>
      </c>
      <c r="AT20" s="60" t="s">
        <v>124</v>
      </c>
      <c r="AU20" s="89"/>
      <c r="AV20" s="58" t="s">
        <v>68</v>
      </c>
      <c r="AW20" s="60" t="s">
        <v>122</v>
      </c>
      <c r="AX20" s="87">
        <v>46225.0</v>
      </c>
      <c r="AY20" s="89"/>
      <c r="AZ20" s="60" t="s">
        <v>124</v>
      </c>
      <c r="BA20" s="89"/>
      <c r="BB20" s="89"/>
      <c r="BC20" s="89"/>
      <c r="BD20" s="98" t="s">
        <v>152</v>
      </c>
      <c r="BE20" s="113" t="s">
        <v>135</v>
      </c>
      <c r="BF20" s="38"/>
      <c r="BG20" s="38"/>
      <c r="BH20" s="38"/>
      <c r="BI20" s="38"/>
      <c r="BJ20" s="38"/>
      <c r="BK20" s="38"/>
    </row>
    <row r="21" ht="13.5" customHeight="1">
      <c r="A21" s="75">
        <v>46225.5125524537</v>
      </c>
      <c r="B21" s="76" t="s">
        <v>172</v>
      </c>
      <c r="C21" s="89"/>
      <c r="D21" s="76">
        <v>20.0</v>
      </c>
      <c r="E21" s="76" t="s">
        <v>193</v>
      </c>
      <c r="F21" s="76" t="s">
        <v>218</v>
      </c>
      <c r="G21" s="76" t="s">
        <v>219</v>
      </c>
      <c r="H21" s="76">
        <v>100.0</v>
      </c>
      <c r="I21" s="117" t="s">
        <v>220</v>
      </c>
      <c r="J21" s="89"/>
      <c r="K21" s="98" t="s">
        <v>115</v>
      </c>
      <c r="L21" s="60" t="s">
        <v>122</v>
      </c>
      <c r="M21" s="76">
        <v>2.0</v>
      </c>
      <c r="N21" s="105" t="s">
        <v>132</v>
      </c>
      <c r="O21" s="89"/>
      <c r="P21" s="89"/>
      <c r="Q21" s="89"/>
      <c r="R21" s="89"/>
      <c r="S21" s="76" t="s">
        <v>162</v>
      </c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128" t="s">
        <v>161</v>
      </c>
      <c r="AL21" s="58" t="s">
        <v>158</v>
      </c>
      <c r="AM21" s="76">
        <v>1.0</v>
      </c>
      <c r="AN21" s="87">
        <v>46225.0</v>
      </c>
      <c r="AO21" s="105" t="s">
        <v>132</v>
      </c>
      <c r="AP21" s="89"/>
      <c r="AQ21" s="89"/>
      <c r="AR21" s="89"/>
      <c r="AS21" s="89"/>
      <c r="AT21" s="89"/>
      <c r="AU21" s="89"/>
      <c r="AV21" s="58" t="s">
        <v>68</v>
      </c>
      <c r="AW21" s="60" t="s">
        <v>122</v>
      </c>
      <c r="AX21" s="87">
        <v>46225.0</v>
      </c>
      <c r="AY21" s="76">
        <v>0.3</v>
      </c>
      <c r="AZ21" s="131" t="s">
        <v>153</v>
      </c>
      <c r="BA21" s="76" t="s">
        <v>79</v>
      </c>
      <c r="BB21" s="89"/>
      <c r="BC21" s="89"/>
      <c r="BD21" s="89"/>
      <c r="BE21" s="89"/>
      <c r="BF21" s="38"/>
      <c r="BG21" s="38"/>
      <c r="BH21" s="38"/>
      <c r="BI21" s="38"/>
      <c r="BJ21" s="38"/>
      <c r="BK21" s="38"/>
    </row>
    <row r="22" ht="13.5" customHeight="1">
      <c r="A22" s="75">
        <v>46225.52391625</v>
      </c>
      <c r="B22" s="76" t="s">
        <v>172</v>
      </c>
      <c r="C22" s="89"/>
      <c r="D22" s="76">
        <v>21.0</v>
      </c>
      <c r="E22" s="76" t="s">
        <v>221</v>
      </c>
      <c r="F22" s="89"/>
      <c r="G22" s="89"/>
      <c r="H22" s="76">
        <v>325.0</v>
      </c>
      <c r="I22" s="117" t="s">
        <v>222</v>
      </c>
      <c r="J22" s="58" t="s">
        <v>68</v>
      </c>
      <c r="K22" s="118" t="s">
        <v>108</v>
      </c>
      <c r="L22" s="60" t="s">
        <v>122</v>
      </c>
      <c r="M22" s="76">
        <v>8.5</v>
      </c>
      <c r="N22" s="60" t="s">
        <v>124</v>
      </c>
      <c r="O22" s="128" t="s">
        <v>161</v>
      </c>
      <c r="P22" s="64" t="s">
        <v>126</v>
      </c>
      <c r="Q22" s="76">
        <v>2.5</v>
      </c>
      <c r="R22" s="87">
        <v>46225.0</v>
      </c>
      <c r="S22" s="60" t="s">
        <v>124</v>
      </c>
      <c r="T22" s="89"/>
      <c r="U22" s="86" t="s">
        <v>142</v>
      </c>
      <c r="V22" s="76">
        <v>1.5</v>
      </c>
      <c r="W22" s="87">
        <v>46225.0</v>
      </c>
      <c r="X22" s="60" t="s">
        <v>124</v>
      </c>
      <c r="Y22" s="89"/>
      <c r="Z22" s="130" t="s">
        <v>180</v>
      </c>
      <c r="AA22" s="64" t="s">
        <v>126</v>
      </c>
      <c r="AB22" s="76">
        <v>2.5</v>
      </c>
      <c r="AC22" s="87">
        <v>46225.0</v>
      </c>
      <c r="AD22" s="60" t="s">
        <v>124</v>
      </c>
      <c r="AE22" s="89"/>
      <c r="AF22" s="86" t="s">
        <v>142</v>
      </c>
      <c r="AG22" s="76">
        <v>1.5</v>
      </c>
      <c r="AH22" s="87">
        <v>46225.0</v>
      </c>
      <c r="AI22" s="60" t="s">
        <v>124</v>
      </c>
      <c r="AJ22" s="89"/>
      <c r="AK22" s="63" t="s">
        <v>125</v>
      </c>
      <c r="AL22" s="91" t="s">
        <v>148</v>
      </c>
      <c r="AM22" s="76">
        <v>1.5</v>
      </c>
      <c r="AN22" s="87">
        <v>46225.0</v>
      </c>
      <c r="AO22" s="60" t="s">
        <v>124</v>
      </c>
      <c r="AP22" s="89"/>
      <c r="AQ22" s="130" t="s">
        <v>180</v>
      </c>
      <c r="AR22" s="76">
        <v>1.5</v>
      </c>
      <c r="AS22" s="87">
        <v>46225.0</v>
      </c>
      <c r="AT22" s="60" t="s">
        <v>124</v>
      </c>
      <c r="AU22" s="89"/>
      <c r="AV22" s="89"/>
      <c r="AW22" s="89"/>
      <c r="AX22" s="89"/>
      <c r="AY22" s="89"/>
      <c r="AZ22" s="89"/>
      <c r="BA22" s="89"/>
      <c r="BB22" s="89"/>
      <c r="BC22" s="89"/>
      <c r="BD22" s="132" t="s">
        <v>177</v>
      </c>
      <c r="BE22" s="131" t="s">
        <v>153</v>
      </c>
      <c r="BF22" s="38"/>
      <c r="BG22" s="38"/>
      <c r="BH22" s="38"/>
      <c r="BI22" s="38"/>
      <c r="BJ22" s="38"/>
      <c r="BK22" s="38"/>
    </row>
    <row r="23" ht="13.5" customHeight="1">
      <c r="A23" s="75">
        <v>46225.53130527778</v>
      </c>
      <c r="B23" s="76" t="s">
        <v>172</v>
      </c>
      <c r="C23" s="89"/>
      <c r="D23" s="55">
        <v>22.0</v>
      </c>
      <c r="E23" s="76" t="s">
        <v>223</v>
      </c>
      <c r="F23" s="76" t="s">
        <v>224</v>
      </c>
      <c r="G23" s="76" t="s">
        <v>225</v>
      </c>
      <c r="H23" s="76">
        <v>300.0</v>
      </c>
      <c r="I23" s="117" t="s">
        <v>226</v>
      </c>
      <c r="J23" s="105" t="s">
        <v>79</v>
      </c>
      <c r="K23" s="118" t="s">
        <v>108</v>
      </c>
      <c r="L23" s="60" t="s">
        <v>122</v>
      </c>
      <c r="M23" s="76">
        <v>4.0</v>
      </c>
      <c r="N23" s="60" t="s">
        <v>124</v>
      </c>
      <c r="O23" s="63" t="s">
        <v>125</v>
      </c>
      <c r="P23" s="64" t="s">
        <v>126</v>
      </c>
      <c r="Q23" s="76">
        <v>0.8</v>
      </c>
      <c r="R23" s="87">
        <v>46225.0</v>
      </c>
      <c r="S23" s="60" t="s">
        <v>124</v>
      </c>
      <c r="T23" s="89"/>
      <c r="U23" s="64" t="s">
        <v>126</v>
      </c>
      <c r="V23" s="76">
        <v>0.8</v>
      </c>
      <c r="W23" s="87">
        <v>46225.0</v>
      </c>
      <c r="X23" s="60" t="s">
        <v>124</v>
      </c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63" t="s">
        <v>125</v>
      </c>
      <c r="AL23" s="89"/>
      <c r="AM23" s="89"/>
      <c r="AN23" s="87">
        <v>46225.0</v>
      </c>
      <c r="AO23" s="60" t="s">
        <v>124</v>
      </c>
      <c r="AP23" s="89"/>
      <c r="AQ23" s="130" t="s">
        <v>180</v>
      </c>
      <c r="AR23" s="89"/>
      <c r="AS23" s="87">
        <v>46225.0</v>
      </c>
      <c r="AT23" s="89"/>
      <c r="AU23" s="89"/>
      <c r="AV23" s="58" t="s">
        <v>68</v>
      </c>
      <c r="AW23" s="60" t="s">
        <v>122</v>
      </c>
      <c r="AX23" s="87">
        <v>46225.0</v>
      </c>
      <c r="AY23" s="76">
        <v>0.3</v>
      </c>
      <c r="AZ23" s="60" t="s">
        <v>124</v>
      </c>
      <c r="BA23" s="76" t="s">
        <v>79</v>
      </c>
      <c r="BB23" s="89"/>
      <c r="BC23" s="89"/>
      <c r="BD23" s="98" t="s">
        <v>152</v>
      </c>
      <c r="BE23" s="60" t="s">
        <v>124</v>
      </c>
      <c r="BF23" s="38"/>
      <c r="BG23" s="38"/>
      <c r="BH23" s="38"/>
      <c r="BI23" s="38"/>
      <c r="BJ23" s="38"/>
      <c r="BK23" s="38"/>
    </row>
    <row r="24" ht="13.5" customHeight="1">
      <c r="A24" s="75">
        <v>46225.534213923616</v>
      </c>
      <c r="B24" s="76" t="s">
        <v>172</v>
      </c>
      <c r="C24" s="89"/>
      <c r="D24" s="76">
        <v>23.0</v>
      </c>
      <c r="E24" s="76" t="s">
        <v>227</v>
      </c>
      <c r="F24" s="76" t="s">
        <v>228</v>
      </c>
      <c r="G24" s="89"/>
      <c r="H24" s="76">
        <v>25.0</v>
      </c>
      <c r="I24" s="117" t="s">
        <v>229</v>
      </c>
      <c r="J24" s="89"/>
      <c r="K24" s="89"/>
      <c r="L24" s="60" t="s">
        <v>122</v>
      </c>
      <c r="M24" s="76">
        <v>2.5</v>
      </c>
      <c r="N24" s="60" t="s">
        <v>124</v>
      </c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58" t="s">
        <v>68</v>
      </c>
      <c r="AW24" s="60" t="s">
        <v>122</v>
      </c>
      <c r="AX24" s="87">
        <v>46225.0</v>
      </c>
      <c r="AY24" s="76">
        <v>0.3</v>
      </c>
      <c r="AZ24" s="113" t="s">
        <v>135</v>
      </c>
      <c r="BA24" s="76" t="s">
        <v>79</v>
      </c>
      <c r="BB24" s="89"/>
      <c r="BC24" s="89"/>
      <c r="BD24" s="98" t="s">
        <v>152</v>
      </c>
      <c r="BE24" s="60" t="s">
        <v>124</v>
      </c>
      <c r="BF24" s="38"/>
      <c r="BG24" s="38"/>
      <c r="BH24" s="38"/>
      <c r="BI24" s="38"/>
      <c r="BJ24" s="38"/>
      <c r="BK24" s="38"/>
    </row>
    <row r="25" ht="13.5" customHeight="1">
      <c r="A25" s="75">
        <v>46225.53733755787</v>
      </c>
      <c r="B25" s="76" t="s">
        <v>172</v>
      </c>
      <c r="C25" s="89"/>
      <c r="D25" s="76">
        <v>24.0</v>
      </c>
      <c r="E25" s="76" t="s">
        <v>230</v>
      </c>
      <c r="F25" s="89"/>
      <c r="G25" s="76" t="s">
        <v>231</v>
      </c>
      <c r="H25" s="76">
        <v>50.0</v>
      </c>
      <c r="I25" s="117" t="s">
        <v>232</v>
      </c>
      <c r="J25" s="105" t="s">
        <v>79</v>
      </c>
      <c r="K25" s="98" t="s">
        <v>115</v>
      </c>
      <c r="L25" s="60" t="s">
        <v>122</v>
      </c>
      <c r="M25" s="76">
        <v>4.0</v>
      </c>
      <c r="N25" s="60" t="s">
        <v>124</v>
      </c>
      <c r="O25" s="63" t="s">
        <v>125</v>
      </c>
      <c r="P25" s="64" t="s">
        <v>126</v>
      </c>
      <c r="Q25" s="76">
        <v>0.7</v>
      </c>
      <c r="R25" s="87">
        <v>46225.0</v>
      </c>
      <c r="S25" s="60" t="s">
        <v>124</v>
      </c>
      <c r="T25" s="89"/>
      <c r="U25" s="89"/>
      <c r="V25" s="89"/>
      <c r="W25" s="89"/>
      <c r="X25" s="89"/>
      <c r="Y25" s="76" t="s">
        <v>210</v>
      </c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63" t="s">
        <v>125</v>
      </c>
      <c r="AL25" s="91" t="s">
        <v>148</v>
      </c>
      <c r="AM25" s="76">
        <v>0.7</v>
      </c>
      <c r="AN25" s="87">
        <v>46225.0</v>
      </c>
      <c r="AO25" s="113" t="s">
        <v>135</v>
      </c>
      <c r="AP25" s="89"/>
      <c r="AQ25" s="130" t="s">
        <v>180</v>
      </c>
      <c r="AR25" s="76">
        <v>0.7</v>
      </c>
      <c r="AS25" s="87">
        <v>46225.0</v>
      </c>
      <c r="AT25" s="113" t="s">
        <v>135</v>
      </c>
      <c r="AU25" s="89"/>
      <c r="AV25" s="58" t="s">
        <v>68</v>
      </c>
      <c r="AW25" s="60" t="s">
        <v>122</v>
      </c>
      <c r="AX25" s="87">
        <v>46225.0</v>
      </c>
      <c r="AY25" s="76">
        <v>0.3</v>
      </c>
      <c r="AZ25" s="60" t="s">
        <v>124</v>
      </c>
      <c r="BA25" s="76" t="s">
        <v>68</v>
      </c>
      <c r="BB25" s="60" t="s">
        <v>124</v>
      </c>
      <c r="BC25" s="89"/>
      <c r="BD25" s="98" t="s">
        <v>152</v>
      </c>
      <c r="BE25" s="105" t="s">
        <v>132</v>
      </c>
      <c r="BF25" s="38"/>
      <c r="BG25" s="38"/>
      <c r="BH25" s="38"/>
      <c r="BI25" s="38"/>
      <c r="BJ25" s="38"/>
      <c r="BK25" s="38"/>
    </row>
    <row r="26" ht="13.5" customHeight="1">
      <c r="A26" s="75">
        <v>46225.560607997686</v>
      </c>
      <c r="B26" s="76" t="s">
        <v>172</v>
      </c>
      <c r="C26" s="89"/>
      <c r="D26" s="55">
        <v>25.0</v>
      </c>
      <c r="E26" s="76" t="s">
        <v>233</v>
      </c>
      <c r="F26" s="89"/>
      <c r="G26" s="89"/>
      <c r="H26" s="76">
        <v>485.0</v>
      </c>
      <c r="I26" s="117" t="s">
        <v>234</v>
      </c>
      <c r="J26" s="58" t="s">
        <v>68</v>
      </c>
      <c r="K26" s="118" t="s">
        <v>108</v>
      </c>
      <c r="L26" s="60" t="s">
        <v>122</v>
      </c>
      <c r="M26" s="76">
        <v>7.2</v>
      </c>
      <c r="N26" s="60" t="s">
        <v>124</v>
      </c>
      <c r="O26" s="128" t="s">
        <v>161</v>
      </c>
      <c r="P26" s="64" t="s">
        <v>126</v>
      </c>
      <c r="Q26" s="76">
        <v>2.8</v>
      </c>
      <c r="R26" s="87">
        <v>46225.0</v>
      </c>
      <c r="S26" s="113" t="s">
        <v>135</v>
      </c>
      <c r="T26" s="89"/>
      <c r="U26" s="89"/>
      <c r="V26" s="89"/>
      <c r="W26" s="89"/>
      <c r="X26" s="89"/>
      <c r="Y26" s="89"/>
      <c r="Z26" s="93" t="s">
        <v>150</v>
      </c>
      <c r="AA26" s="64" t="s">
        <v>126</v>
      </c>
      <c r="AB26" s="76">
        <v>2.8</v>
      </c>
      <c r="AC26" s="87">
        <v>46225.0</v>
      </c>
      <c r="AD26" s="113" t="s">
        <v>135</v>
      </c>
      <c r="AE26" s="89"/>
      <c r="AF26" s="89"/>
      <c r="AG26" s="89"/>
      <c r="AH26" s="89"/>
      <c r="AI26" s="89"/>
      <c r="AJ26" s="89"/>
      <c r="AK26" s="128" t="s">
        <v>161</v>
      </c>
      <c r="AL26" s="58" t="s">
        <v>158</v>
      </c>
      <c r="AM26" s="76">
        <v>2.0</v>
      </c>
      <c r="AN26" s="87">
        <v>46225.0</v>
      </c>
      <c r="AO26" s="113" t="s">
        <v>135</v>
      </c>
      <c r="AP26" s="89"/>
      <c r="AQ26" s="89"/>
      <c r="AR26" s="89"/>
      <c r="AS26" s="89"/>
      <c r="AT26" s="89"/>
      <c r="AU26" s="89"/>
      <c r="AV26" s="58" t="s">
        <v>68</v>
      </c>
      <c r="AW26" s="60" t="s">
        <v>122</v>
      </c>
      <c r="AX26" s="87">
        <v>46225.0</v>
      </c>
      <c r="AY26" s="76">
        <v>0.3</v>
      </c>
      <c r="AZ26" s="113" t="s">
        <v>135</v>
      </c>
      <c r="BA26" s="89"/>
      <c r="BB26" s="89"/>
      <c r="BC26" s="89"/>
      <c r="BD26" s="132" t="s">
        <v>177</v>
      </c>
      <c r="BE26" s="113" t="s">
        <v>135</v>
      </c>
      <c r="BF26" s="38"/>
      <c r="BG26" s="38"/>
      <c r="BH26" s="38"/>
      <c r="BI26" s="38"/>
      <c r="BJ26" s="38"/>
      <c r="BK26" s="38"/>
    </row>
    <row r="27" ht="13.5" customHeight="1">
      <c r="A27" s="75">
        <v>46225.56079949074</v>
      </c>
      <c r="B27" s="76" t="s">
        <v>172</v>
      </c>
      <c r="C27" s="89"/>
      <c r="D27" s="76">
        <v>26.0</v>
      </c>
      <c r="E27" s="76" t="s">
        <v>235</v>
      </c>
      <c r="F27" s="76" t="s">
        <v>236</v>
      </c>
      <c r="G27" s="76" t="s">
        <v>237</v>
      </c>
      <c r="H27" s="76">
        <v>550.0</v>
      </c>
      <c r="I27" s="117" t="s">
        <v>238</v>
      </c>
      <c r="J27" s="105" t="s">
        <v>79</v>
      </c>
      <c r="K27" s="98" t="s">
        <v>115</v>
      </c>
      <c r="L27" s="60" t="s">
        <v>122</v>
      </c>
      <c r="M27" s="76">
        <v>4.2</v>
      </c>
      <c r="N27" s="60" t="s">
        <v>124</v>
      </c>
      <c r="O27" s="63" t="s">
        <v>125</v>
      </c>
      <c r="P27" s="64" t="s">
        <v>126</v>
      </c>
      <c r="Q27" s="76">
        <v>1.6</v>
      </c>
      <c r="R27" s="87">
        <v>46225.0</v>
      </c>
      <c r="S27" s="60" t="s">
        <v>124</v>
      </c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63" t="s">
        <v>125</v>
      </c>
      <c r="AL27" s="91" t="s">
        <v>148</v>
      </c>
      <c r="AM27" s="76">
        <v>0.8</v>
      </c>
      <c r="AN27" s="87">
        <v>46225.0</v>
      </c>
      <c r="AO27" s="60" t="s">
        <v>124</v>
      </c>
      <c r="AP27" s="89"/>
      <c r="AQ27" s="130" t="s">
        <v>180</v>
      </c>
      <c r="AR27" s="76">
        <v>0.8</v>
      </c>
      <c r="AS27" s="87">
        <v>46225.0</v>
      </c>
      <c r="AT27" s="60" t="s">
        <v>124</v>
      </c>
      <c r="AU27" s="89"/>
      <c r="AV27" s="58" t="s">
        <v>68</v>
      </c>
      <c r="AW27" s="60" t="s">
        <v>122</v>
      </c>
      <c r="AX27" s="87">
        <v>46225.0</v>
      </c>
      <c r="AY27" s="76">
        <v>0.3</v>
      </c>
      <c r="AZ27" s="60" t="s">
        <v>124</v>
      </c>
      <c r="BA27" s="76" t="s">
        <v>68</v>
      </c>
      <c r="BB27" s="60" t="s">
        <v>124</v>
      </c>
      <c r="BC27" s="89"/>
      <c r="BD27" s="98" t="s">
        <v>152</v>
      </c>
      <c r="BE27" s="60" t="s">
        <v>124</v>
      </c>
      <c r="BF27" s="38"/>
      <c r="BG27" s="38"/>
      <c r="BH27" s="38"/>
      <c r="BI27" s="38"/>
      <c r="BJ27" s="38"/>
      <c r="BK27" s="38"/>
    </row>
    <row r="28" ht="13.5" customHeight="1">
      <c r="A28" s="75">
        <v>46225.56841795139</v>
      </c>
      <c r="B28" s="76" t="s">
        <v>172</v>
      </c>
      <c r="C28" s="89"/>
      <c r="D28" s="76">
        <v>27.0</v>
      </c>
      <c r="E28" s="76" t="s">
        <v>239</v>
      </c>
      <c r="F28" s="76" t="s">
        <v>240</v>
      </c>
      <c r="G28" s="76" t="s">
        <v>241</v>
      </c>
      <c r="H28" s="76">
        <v>200.0</v>
      </c>
      <c r="I28" s="117" t="s">
        <v>242</v>
      </c>
      <c r="J28" s="105" t="s">
        <v>79</v>
      </c>
      <c r="K28" s="98" t="s">
        <v>115</v>
      </c>
      <c r="L28" s="60" t="s">
        <v>122</v>
      </c>
      <c r="M28" s="76">
        <v>4.0</v>
      </c>
      <c r="N28" s="60" t="s">
        <v>124</v>
      </c>
      <c r="O28" s="128" t="s">
        <v>161</v>
      </c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128" t="s">
        <v>161</v>
      </c>
      <c r="AL28" s="58" t="s">
        <v>158</v>
      </c>
      <c r="AM28" s="76">
        <v>1.0</v>
      </c>
      <c r="AN28" s="87">
        <v>46225.0</v>
      </c>
      <c r="AO28" s="113" t="s">
        <v>135</v>
      </c>
      <c r="AP28" s="89"/>
      <c r="AQ28" s="93" t="s">
        <v>150</v>
      </c>
      <c r="AR28" s="76">
        <v>1.0</v>
      </c>
      <c r="AS28" s="87">
        <v>46225.0</v>
      </c>
      <c r="AT28" s="113" t="s">
        <v>135</v>
      </c>
      <c r="AU28" s="89"/>
      <c r="AV28" s="58" t="s">
        <v>68</v>
      </c>
      <c r="AW28" s="60" t="s">
        <v>122</v>
      </c>
      <c r="AX28" s="87">
        <v>46225.0</v>
      </c>
      <c r="AY28" s="76">
        <v>0.3</v>
      </c>
      <c r="AZ28" s="60" t="s">
        <v>124</v>
      </c>
      <c r="BA28" s="76" t="s">
        <v>68</v>
      </c>
      <c r="BB28" s="113" t="s">
        <v>135</v>
      </c>
      <c r="BC28" s="89"/>
      <c r="BD28" s="98" t="s">
        <v>152</v>
      </c>
      <c r="BE28" s="60" t="s">
        <v>124</v>
      </c>
      <c r="BF28" s="38"/>
      <c r="BG28" s="38"/>
      <c r="BH28" s="38"/>
      <c r="BI28" s="38"/>
      <c r="BJ28" s="38"/>
      <c r="BK28" s="38"/>
    </row>
    <row r="29" ht="13.5" customHeight="1">
      <c r="A29" s="75">
        <v>46226.42954329861</v>
      </c>
      <c r="B29" s="76" t="s">
        <v>172</v>
      </c>
      <c r="C29" s="89"/>
      <c r="D29" s="55">
        <v>28.0</v>
      </c>
      <c r="E29" s="76" t="s">
        <v>243</v>
      </c>
      <c r="F29" s="89"/>
      <c r="G29" s="76" t="s">
        <v>239</v>
      </c>
      <c r="H29" s="76">
        <v>250.0</v>
      </c>
      <c r="I29" s="117" t="s">
        <v>244</v>
      </c>
      <c r="J29" s="105" t="s">
        <v>79</v>
      </c>
      <c r="K29" s="98" t="s">
        <v>115</v>
      </c>
      <c r="L29" s="60" t="s">
        <v>122</v>
      </c>
      <c r="M29" s="76">
        <v>4.0</v>
      </c>
      <c r="N29" s="60" t="s">
        <v>124</v>
      </c>
      <c r="O29" s="63" t="s">
        <v>125</v>
      </c>
      <c r="P29" s="64" t="s">
        <v>126</v>
      </c>
      <c r="Q29" s="76">
        <v>1.0</v>
      </c>
      <c r="R29" s="87">
        <v>46226.0</v>
      </c>
      <c r="S29" s="60" t="s">
        <v>124</v>
      </c>
      <c r="T29" s="89"/>
      <c r="U29" s="64" t="s">
        <v>126</v>
      </c>
      <c r="V29" s="76">
        <v>1.0</v>
      </c>
      <c r="W29" s="87">
        <v>46226.0</v>
      </c>
      <c r="X29" s="60" t="s">
        <v>124</v>
      </c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63" t="s">
        <v>125</v>
      </c>
      <c r="AL29" s="58" t="s">
        <v>158</v>
      </c>
      <c r="AM29" s="76">
        <v>1.0</v>
      </c>
      <c r="AN29" s="87">
        <v>46226.0</v>
      </c>
      <c r="AO29" s="60" t="s">
        <v>124</v>
      </c>
      <c r="AP29" s="89"/>
      <c r="AQ29" s="130" t="s">
        <v>180</v>
      </c>
      <c r="AR29" s="76">
        <v>1.0</v>
      </c>
      <c r="AS29" s="87">
        <v>46226.0</v>
      </c>
      <c r="AT29" s="60" t="s">
        <v>124</v>
      </c>
      <c r="AU29" s="89"/>
      <c r="AV29" s="58" t="s">
        <v>68</v>
      </c>
      <c r="AW29" s="60" t="s">
        <v>122</v>
      </c>
      <c r="AX29" s="87">
        <v>46226.0</v>
      </c>
      <c r="AY29" s="76">
        <v>0.3</v>
      </c>
      <c r="AZ29" s="60" t="s">
        <v>124</v>
      </c>
      <c r="BA29" s="76" t="s">
        <v>68</v>
      </c>
      <c r="BB29" s="113" t="s">
        <v>135</v>
      </c>
      <c r="BC29" s="89"/>
      <c r="BD29" s="98" t="s">
        <v>152</v>
      </c>
      <c r="BE29" s="105" t="s">
        <v>132</v>
      </c>
      <c r="BF29" s="38"/>
      <c r="BG29" s="38"/>
      <c r="BH29" s="38"/>
      <c r="BI29" s="38"/>
      <c r="BJ29" s="38"/>
      <c r="BK29" s="38"/>
    </row>
    <row r="30" ht="13.5" customHeight="1">
      <c r="A30" s="75">
        <v>46226.43261027778</v>
      </c>
      <c r="B30" s="76" t="s">
        <v>172</v>
      </c>
      <c r="C30" s="89"/>
      <c r="D30" s="76">
        <v>29.0</v>
      </c>
      <c r="E30" s="76" t="s">
        <v>245</v>
      </c>
      <c r="F30" s="89"/>
      <c r="G30" s="76" t="s">
        <v>246</v>
      </c>
      <c r="H30" s="76">
        <v>200.0</v>
      </c>
      <c r="I30" s="117" t="s">
        <v>247</v>
      </c>
      <c r="J30" s="58" t="s">
        <v>68</v>
      </c>
      <c r="K30" s="118" t="s">
        <v>108</v>
      </c>
      <c r="L30" s="60" t="s">
        <v>122</v>
      </c>
      <c r="M30" s="76">
        <v>6.0</v>
      </c>
      <c r="N30" s="60" t="s">
        <v>124</v>
      </c>
      <c r="O30" s="63" t="s">
        <v>125</v>
      </c>
      <c r="P30" s="86" t="s">
        <v>142</v>
      </c>
      <c r="Q30" s="76">
        <v>1.0</v>
      </c>
      <c r="R30" s="87">
        <v>46226.0</v>
      </c>
      <c r="S30" s="113" t="s">
        <v>135</v>
      </c>
      <c r="T30" s="89"/>
      <c r="U30" s="89"/>
      <c r="V30" s="89"/>
      <c r="W30" s="89"/>
      <c r="X30" s="89"/>
      <c r="Y30" s="89"/>
      <c r="Z30" s="130" t="s">
        <v>180</v>
      </c>
      <c r="AA30" s="86" t="s">
        <v>142</v>
      </c>
      <c r="AB30" s="76">
        <v>1.0</v>
      </c>
      <c r="AC30" s="87">
        <v>46226.0</v>
      </c>
      <c r="AD30" s="113" t="s">
        <v>135</v>
      </c>
      <c r="AE30" s="89"/>
      <c r="AF30" s="89"/>
      <c r="AG30" s="89"/>
      <c r="AH30" s="89"/>
      <c r="AI30" s="89"/>
      <c r="AJ30" s="89"/>
      <c r="AK30" s="63" t="s">
        <v>125</v>
      </c>
      <c r="AL30" s="91" t="s">
        <v>148</v>
      </c>
      <c r="AM30" s="76">
        <v>1.0</v>
      </c>
      <c r="AN30" s="87">
        <v>46226.0</v>
      </c>
      <c r="AO30" s="113" t="s">
        <v>135</v>
      </c>
      <c r="AP30" s="89"/>
      <c r="AQ30" s="130" t="s">
        <v>180</v>
      </c>
      <c r="AR30" s="76">
        <v>1.0</v>
      </c>
      <c r="AS30" s="87">
        <v>46226.0</v>
      </c>
      <c r="AT30" s="113" t="s">
        <v>135</v>
      </c>
      <c r="AU30" s="89"/>
      <c r="AV30" s="58" t="s">
        <v>68</v>
      </c>
      <c r="AW30" s="60" t="s">
        <v>122</v>
      </c>
      <c r="AX30" s="87">
        <v>46226.0</v>
      </c>
      <c r="AY30" s="76">
        <v>0.3</v>
      </c>
      <c r="AZ30" s="60" t="s">
        <v>124</v>
      </c>
      <c r="BA30" s="76" t="s">
        <v>68</v>
      </c>
      <c r="BB30" s="60" t="s">
        <v>124</v>
      </c>
      <c r="BC30" s="89"/>
      <c r="BD30" s="98" t="s">
        <v>152</v>
      </c>
      <c r="BE30" s="113" t="s">
        <v>135</v>
      </c>
      <c r="BF30" s="38"/>
      <c r="BG30" s="38"/>
      <c r="BH30" s="38"/>
      <c r="BI30" s="38"/>
      <c r="BJ30" s="38"/>
      <c r="BK30" s="38"/>
    </row>
    <row r="31" ht="13.5" customHeight="1">
      <c r="A31" s="75">
        <v>46226.43922530093</v>
      </c>
      <c r="B31" s="76" t="s">
        <v>172</v>
      </c>
      <c r="C31" s="89"/>
      <c r="D31" s="76">
        <v>30.0</v>
      </c>
      <c r="E31" s="76" t="s">
        <v>243</v>
      </c>
      <c r="F31" s="76" t="s">
        <v>248</v>
      </c>
      <c r="G31" s="76" t="s">
        <v>239</v>
      </c>
      <c r="H31" s="76">
        <v>70.0</v>
      </c>
      <c r="I31" s="117" t="s">
        <v>249</v>
      </c>
      <c r="J31" s="105" t="s">
        <v>79</v>
      </c>
      <c r="K31" s="98" t="s">
        <v>115</v>
      </c>
      <c r="L31" s="60" t="s">
        <v>122</v>
      </c>
      <c r="M31" s="76">
        <v>3.5</v>
      </c>
      <c r="N31" s="60" t="s">
        <v>124</v>
      </c>
      <c r="O31" s="128" t="s">
        <v>161</v>
      </c>
      <c r="P31" s="64" t="s">
        <v>126</v>
      </c>
      <c r="Q31" s="76">
        <v>1.0</v>
      </c>
      <c r="R31" s="87">
        <v>46226.0</v>
      </c>
      <c r="S31" s="113" t="s">
        <v>135</v>
      </c>
      <c r="T31" s="89"/>
      <c r="U31" s="64" t="s">
        <v>126</v>
      </c>
      <c r="V31" s="76">
        <v>1.0</v>
      </c>
      <c r="W31" s="87">
        <v>46226.0</v>
      </c>
      <c r="X31" s="60" t="s">
        <v>124</v>
      </c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128" t="s">
        <v>161</v>
      </c>
      <c r="AL31" s="58" t="s">
        <v>158</v>
      </c>
      <c r="AM31" s="76">
        <v>1.0</v>
      </c>
      <c r="AN31" s="87">
        <v>46226.0</v>
      </c>
      <c r="AO31" s="113" t="s">
        <v>135</v>
      </c>
      <c r="AP31" s="89"/>
      <c r="AQ31" s="93" t="s">
        <v>150</v>
      </c>
      <c r="AR31" s="76">
        <v>1.0</v>
      </c>
      <c r="AS31" s="87">
        <v>46226.0</v>
      </c>
      <c r="AT31" s="113" t="s">
        <v>135</v>
      </c>
      <c r="AU31" s="89"/>
      <c r="AV31" s="58" t="s">
        <v>68</v>
      </c>
      <c r="AW31" s="60" t="s">
        <v>122</v>
      </c>
      <c r="AX31" s="87">
        <v>46226.0</v>
      </c>
      <c r="AY31" s="76">
        <v>0.3</v>
      </c>
      <c r="AZ31" s="113" t="s">
        <v>135</v>
      </c>
      <c r="BA31" s="76" t="s">
        <v>68</v>
      </c>
      <c r="BB31" s="113" t="s">
        <v>135</v>
      </c>
      <c r="BC31" s="89"/>
      <c r="BD31" s="98" t="s">
        <v>152</v>
      </c>
      <c r="BE31" s="105" t="s">
        <v>132</v>
      </c>
      <c r="BF31" s="38"/>
      <c r="BG31" s="38"/>
      <c r="BH31" s="38"/>
      <c r="BI31" s="38"/>
      <c r="BJ31" s="38"/>
      <c r="BK31" s="38"/>
    </row>
    <row r="32" ht="13.5" customHeight="1">
      <c r="A32" s="75">
        <v>46226.445733113425</v>
      </c>
      <c r="B32" s="76" t="s">
        <v>172</v>
      </c>
      <c r="C32" s="89"/>
      <c r="D32" s="55">
        <v>31.0</v>
      </c>
      <c r="E32" s="76" t="s">
        <v>250</v>
      </c>
      <c r="F32" s="76" t="s">
        <v>251</v>
      </c>
      <c r="G32" s="76" t="s">
        <v>239</v>
      </c>
      <c r="H32" s="76">
        <v>200.0</v>
      </c>
      <c r="I32" s="117" t="s">
        <v>252</v>
      </c>
      <c r="J32" s="105" t="s">
        <v>79</v>
      </c>
      <c r="K32" s="98" t="s">
        <v>115</v>
      </c>
      <c r="L32" s="60" t="s">
        <v>122</v>
      </c>
      <c r="M32" s="76">
        <v>4.0</v>
      </c>
      <c r="N32" s="60" t="s">
        <v>124</v>
      </c>
      <c r="O32" s="63" t="s">
        <v>125</v>
      </c>
      <c r="P32" s="64" t="s">
        <v>126</v>
      </c>
      <c r="Q32" s="76">
        <v>1.0</v>
      </c>
      <c r="R32" s="87">
        <v>46226.0</v>
      </c>
      <c r="S32" s="113" t="s">
        <v>135</v>
      </c>
      <c r="T32" s="89"/>
      <c r="U32" s="64" t="s">
        <v>126</v>
      </c>
      <c r="V32" s="76">
        <v>1.0</v>
      </c>
      <c r="W32" s="87">
        <v>46226.0</v>
      </c>
      <c r="X32" s="113" t="s">
        <v>135</v>
      </c>
      <c r="Y32" s="76" t="s">
        <v>253</v>
      </c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63" t="s">
        <v>125</v>
      </c>
      <c r="AL32" s="58" t="s">
        <v>158</v>
      </c>
      <c r="AM32" s="76">
        <v>0.5</v>
      </c>
      <c r="AN32" s="87">
        <v>46226.0</v>
      </c>
      <c r="AO32" s="113" t="s">
        <v>135</v>
      </c>
      <c r="AP32" s="89"/>
      <c r="AQ32" s="130" t="s">
        <v>180</v>
      </c>
      <c r="AR32" s="76">
        <v>0.5</v>
      </c>
      <c r="AS32" s="87">
        <v>46226.0</v>
      </c>
      <c r="AT32" s="113" t="s">
        <v>135</v>
      </c>
      <c r="AU32" s="89"/>
      <c r="AV32" s="58" t="s">
        <v>68</v>
      </c>
      <c r="AW32" s="60" t="s">
        <v>122</v>
      </c>
      <c r="AX32" s="87">
        <v>46226.0</v>
      </c>
      <c r="AY32" s="76">
        <v>0.3</v>
      </c>
      <c r="AZ32" s="133" t="s">
        <v>133</v>
      </c>
      <c r="BA32" s="76" t="s">
        <v>68</v>
      </c>
      <c r="BB32" s="60" t="s">
        <v>124</v>
      </c>
      <c r="BC32" s="89"/>
      <c r="BD32" s="98" t="s">
        <v>152</v>
      </c>
      <c r="BE32" s="113" t="s">
        <v>135</v>
      </c>
      <c r="BF32" s="38"/>
      <c r="BG32" s="38"/>
      <c r="BH32" s="38"/>
      <c r="BI32" s="38"/>
      <c r="BJ32" s="38"/>
      <c r="BK32" s="38"/>
    </row>
    <row r="33" ht="13.5" customHeight="1">
      <c r="A33" s="75">
        <v>46226.448030949075</v>
      </c>
      <c r="B33" s="76" t="s">
        <v>172</v>
      </c>
      <c r="C33" s="89"/>
      <c r="D33" s="76">
        <v>32.0</v>
      </c>
      <c r="E33" s="76" t="s">
        <v>254</v>
      </c>
      <c r="F33" s="76" t="s">
        <v>243</v>
      </c>
      <c r="G33" s="76" t="s">
        <v>255</v>
      </c>
      <c r="H33" s="76">
        <v>30.0</v>
      </c>
      <c r="I33" s="117" t="s">
        <v>256</v>
      </c>
      <c r="J33" s="129" t="s">
        <v>89</v>
      </c>
      <c r="K33" s="98" t="s">
        <v>115</v>
      </c>
      <c r="L33" s="60" t="s">
        <v>122</v>
      </c>
      <c r="M33" s="76">
        <v>3.0</v>
      </c>
      <c r="N33" s="113" t="s">
        <v>135</v>
      </c>
      <c r="O33" s="63" t="s">
        <v>125</v>
      </c>
      <c r="P33" s="86" t="s">
        <v>142</v>
      </c>
      <c r="Q33" s="76">
        <v>1.0</v>
      </c>
      <c r="R33" s="89"/>
      <c r="S33" s="113" t="s">
        <v>135</v>
      </c>
      <c r="T33" s="89"/>
      <c r="U33" s="89"/>
      <c r="V33" s="89"/>
      <c r="W33" s="89"/>
      <c r="X33" s="89"/>
      <c r="Y33" s="89"/>
      <c r="Z33" s="130" t="s">
        <v>180</v>
      </c>
      <c r="AA33" s="64" t="s">
        <v>126</v>
      </c>
      <c r="AB33" s="76">
        <v>0.6</v>
      </c>
      <c r="AC33" s="87">
        <v>46226.0</v>
      </c>
      <c r="AD33" s="60" t="s">
        <v>124</v>
      </c>
      <c r="AE33" s="89"/>
      <c r="AF33" s="86" t="s">
        <v>142</v>
      </c>
      <c r="AG33" s="76">
        <v>1.0</v>
      </c>
      <c r="AH33" s="87">
        <v>46226.0</v>
      </c>
      <c r="AI33" s="60" t="s">
        <v>124</v>
      </c>
      <c r="AJ33" s="89"/>
      <c r="AK33" s="63" t="s">
        <v>125</v>
      </c>
      <c r="AL33" s="91" t="s">
        <v>148</v>
      </c>
      <c r="AM33" s="76">
        <v>1.0</v>
      </c>
      <c r="AN33" s="87">
        <v>46226.0</v>
      </c>
      <c r="AO33" s="113" t="s">
        <v>135</v>
      </c>
      <c r="AP33" s="89"/>
      <c r="AQ33" s="130" t="s">
        <v>180</v>
      </c>
      <c r="AR33" s="76">
        <v>1.0</v>
      </c>
      <c r="AS33" s="87">
        <v>46226.0</v>
      </c>
      <c r="AT33" s="113" t="s">
        <v>135</v>
      </c>
      <c r="AU33" s="89"/>
      <c r="AV33" s="58" t="s">
        <v>68</v>
      </c>
      <c r="AW33" s="60" t="s">
        <v>122</v>
      </c>
      <c r="AX33" s="87">
        <v>46226.0</v>
      </c>
      <c r="AY33" s="76">
        <v>0.3</v>
      </c>
      <c r="AZ33" s="113" t="s">
        <v>135</v>
      </c>
      <c r="BA33" s="76" t="s">
        <v>68</v>
      </c>
      <c r="BB33" s="113" t="s">
        <v>135</v>
      </c>
      <c r="BC33" s="89"/>
      <c r="BD33" s="98" t="s">
        <v>152</v>
      </c>
      <c r="BE33" s="131" t="s">
        <v>153</v>
      </c>
      <c r="BF33" s="38"/>
      <c r="BG33" s="38"/>
      <c r="BH33" s="38"/>
      <c r="BI33" s="38"/>
      <c r="BJ33" s="38"/>
      <c r="BK33" s="38"/>
    </row>
    <row r="34" ht="13.5" customHeight="1">
      <c r="A34" s="75">
        <v>46226.449263692135</v>
      </c>
      <c r="B34" s="76" t="s">
        <v>172</v>
      </c>
      <c r="C34" s="89"/>
      <c r="D34" s="76">
        <v>33.0</v>
      </c>
      <c r="E34" s="76" t="s">
        <v>257</v>
      </c>
      <c r="F34" s="89"/>
      <c r="G34" s="76" t="s">
        <v>258</v>
      </c>
      <c r="H34" s="76">
        <v>30.0</v>
      </c>
      <c r="I34" s="117" t="s">
        <v>259</v>
      </c>
      <c r="J34" s="105" t="s">
        <v>79</v>
      </c>
      <c r="K34" s="98" t="s">
        <v>115</v>
      </c>
      <c r="L34" s="60" t="s">
        <v>122</v>
      </c>
      <c r="M34" s="76">
        <v>3.5</v>
      </c>
      <c r="N34" s="60" t="s">
        <v>124</v>
      </c>
      <c r="O34" s="128" t="s">
        <v>161</v>
      </c>
      <c r="P34" s="64" t="s">
        <v>126</v>
      </c>
      <c r="Q34" s="76">
        <v>1.0</v>
      </c>
      <c r="R34" s="87">
        <v>46226.0</v>
      </c>
      <c r="S34" s="60" t="s">
        <v>124</v>
      </c>
      <c r="T34" s="89"/>
      <c r="U34" s="64" t="s">
        <v>126</v>
      </c>
      <c r="V34" s="76">
        <v>1.0</v>
      </c>
      <c r="W34" s="87">
        <v>46226.0</v>
      </c>
      <c r="X34" s="60" t="s">
        <v>124</v>
      </c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128" t="s">
        <v>161</v>
      </c>
      <c r="AL34" s="58" t="s">
        <v>158</v>
      </c>
      <c r="AM34" s="76">
        <v>0.8</v>
      </c>
      <c r="AN34" s="87">
        <v>46226.0</v>
      </c>
      <c r="AO34" s="60" t="s">
        <v>124</v>
      </c>
      <c r="AP34" s="89"/>
      <c r="AQ34" s="93" t="s">
        <v>150</v>
      </c>
      <c r="AR34" s="76">
        <v>0.8</v>
      </c>
      <c r="AS34" s="87">
        <v>46226.0</v>
      </c>
      <c r="AT34" s="60" t="s">
        <v>124</v>
      </c>
      <c r="AU34" s="89"/>
      <c r="AV34" s="58" t="s">
        <v>68</v>
      </c>
      <c r="AW34" s="60" t="s">
        <v>122</v>
      </c>
      <c r="AX34" s="87">
        <v>46226.0</v>
      </c>
      <c r="AY34" s="76">
        <v>0.3</v>
      </c>
      <c r="AZ34" s="113" t="s">
        <v>135</v>
      </c>
      <c r="BA34" s="76" t="s">
        <v>68</v>
      </c>
      <c r="BB34" s="60" t="s">
        <v>124</v>
      </c>
      <c r="BC34" s="89"/>
      <c r="BD34" s="98" t="s">
        <v>152</v>
      </c>
      <c r="BE34" s="60" t="s">
        <v>124</v>
      </c>
      <c r="BF34" s="38"/>
      <c r="BG34" s="38"/>
      <c r="BH34" s="38"/>
      <c r="BI34" s="38"/>
      <c r="BJ34" s="38"/>
      <c r="BK34" s="38"/>
    </row>
    <row r="35" ht="13.5" customHeight="1">
      <c r="A35" s="75">
        <v>46226.45169185185</v>
      </c>
      <c r="B35" s="76" t="s">
        <v>172</v>
      </c>
      <c r="C35" s="89"/>
      <c r="D35" s="55">
        <v>34.0</v>
      </c>
      <c r="E35" s="76" t="s">
        <v>257</v>
      </c>
      <c r="F35" s="89"/>
      <c r="G35" s="76" t="s">
        <v>260</v>
      </c>
      <c r="H35" s="76">
        <v>40.0</v>
      </c>
      <c r="I35" s="117" t="s">
        <v>261</v>
      </c>
      <c r="J35" s="105" t="s">
        <v>79</v>
      </c>
      <c r="K35" s="98" t="s">
        <v>115</v>
      </c>
      <c r="L35" s="60" t="s">
        <v>122</v>
      </c>
      <c r="M35" s="76">
        <v>3.5</v>
      </c>
      <c r="N35" s="60" t="s">
        <v>124</v>
      </c>
      <c r="O35" s="128" t="s">
        <v>161</v>
      </c>
      <c r="P35" s="64" t="s">
        <v>126</v>
      </c>
      <c r="Q35" s="76">
        <v>1.0</v>
      </c>
      <c r="R35" s="87">
        <v>46226.0</v>
      </c>
      <c r="S35" s="60" t="s">
        <v>124</v>
      </c>
      <c r="T35" s="89"/>
      <c r="U35" s="64" t="s">
        <v>126</v>
      </c>
      <c r="V35" s="76">
        <v>1.0</v>
      </c>
      <c r="W35" s="87">
        <v>46226.0</v>
      </c>
      <c r="X35" s="60" t="s">
        <v>124</v>
      </c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128" t="s">
        <v>161</v>
      </c>
      <c r="AL35" s="58" t="s">
        <v>158</v>
      </c>
      <c r="AM35" s="76">
        <v>0.8</v>
      </c>
      <c r="AN35" s="87">
        <v>46226.0</v>
      </c>
      <c r="AO35" s="113" t="s">
        <v>135</v>
      </c>
      <c r="AP35" s="89"/>
      <c r="AQ35" s="93" t="s">
        <v>150</v>
      </c>
      <c r="AR35" s="76">
        <v>0.8</v>
      </c>
      <c r="AS35" s="87">
        <v>46226.0</v>
      </c>
      <c r="AT35" s="113" t="s">
        <v>135</v>
      </c>
      <c r="AU35" s="89"/>
      <c r="AV35" s="58" t="s">
        <v>68</v>
      </c>
      <c r="AW35" s="60" t="s">
        <v>122</v>
      </c>
      <c r="AX35" s="87">
        <v>46226.0</v>
      </c>
      <c r="AY35" s="76">
        <v>0.3</v>
      </c>
      <c r="AZ35" s="113" t="s">
        <v>135</v>
      </c>
      <c r="BA35" s="76" t="s">
        <v>68</v>
      </c>
      <c r="BB35" s="60" t="s">
        <v>124</v>
      </c>
      <c r="BC35" s="89"/>
      <c r="BD35" s="98" t="s">
        <v>152</v>
      </c>
      <c r="BE35" s="105" t="s">
        <v>132</v>
      </c>
      <c r="BF35" s="38"/>
      <c r="BG35" s="38"/>
      <c r="BH35" s="38"/>
      <c r="BI35" s="38"/>
      <c r="BJ35" s="38"/>
      <c r="BK35" s="38"/>
    </row>
    <row r="36" ht="13.5" customHeight="1">
      <c r="A36" s="75">
        <v>46226.453140300924</v>
      </c>
      <c r="B36" s="76" t="s">
        <v>172</v>
      </c>
      <c r="C36" s="89"/>
      <c r="D36" s="76">
        <v>35.0</v>
      </c>
      <c r="E36" s="76" t="s">
        <v>239</v>
      </c>
      <c r="F36" s="76" t="s">
        <v>262</v>
      </c>
      <c r="G36" s="76" t="s">
        <v>262</v>
      </c>
      <c r="H36" s="76">
        <v>140.0</v>
      </c>
      <c r="I36" s="117" t="s">
        <v>263</v>
      </c>
      <c r="J36" s="105" t="s">
        <v>79</v>
      </c>
      <c r="K36" s="98" t="s">
        <v>115</v>
      </c>
      <c r="L36" s="60" t="s">
        <v>122</v>
      </c>
      <c r="M36" s="76">
        <v>3.5</v>
      </c>
      <c r="N36" s="113" t="s">
        <v>135</v>
      </c>
      <c r="O36" s="128" t="s">
        <v>161</v>
      </c>
      <c r="P36" s="64" t="s">
        <v>126</v>
      </c>
      <c r="Q36" s="76">
        <v>1.7</v>
      </c>
      <c r="R36" s="87">
        <v>46226.0</v>
      </c>
      <c r="S36" s="60" t="s">
        <v>124</v>
      </c>
      <c r="T36" s="89"/>
      <c r="U36" s="86" t="s">
        <v>142</v>
      </c>
      <c r="V36" s="76">
        <v>1.0</v>
      </c>
      <c r="W36" s="87">
        <v>46226.0</v>
      </c>
      <c r="X36" s="113" t="s">
        <v>135</v>
      </c>
      <c r="Y36" s="89"/>
      <c r="Z36" s="93" t="s">
        <v>150</v>
      </c>
      <c r="AA36" s="64" t="s">
        <v>126</v>
      </c>
      <c r="AB36" s="76">
        <v>1.7</v>
      </c>
      <c r="AC36" s="87">
        <v>46226.0</v>
      </c>
      <c r="AD36" s="113" t="s">
        <v>135</v>
      </c>
      <c r="AE36" s="89"/>
      <c r="AF36" s="86" t="s">
        <v>142</v>
      </c>
      <c r="AG36" s="76">
        <v>1.0</v>
      </c>
      <c r="AH36" s="87">
        <v>46226.0</v>
      </c>
      <c r="AI36" s="113" t="s">
        <v>135</v>
      </c>
      <c r="AJ36" s="89"/>
      <c r="AK36" s="128" t="s">
        <v>161</v>
      </c>
      <c r="AL36" s="58" t="s">
        <v>158</v>
      </c>
      <c r="AM36" s="76">
        <v>1.0</v>
      </c>
      <c r="AN36" s="87">
        <v>46226.0</v>
      </c>
      <c r="AO36" s="113" t="s">
        <v>135</v>
      </c>
      <c r="AP36" s="89"/>
      <c r="AQ36" s="93" t="s">
        <v>150</v>
      </c>
      <c r="AR36" s="76">
        <v>1.0</v>
      </c>
      <c r="AS36" s="87">
        <v>46226.0</v>
      </c>
      <c r="AT36" s="113" t="s">
        <v>135</v>
      </c>
      <c r="AU36" s="89"/>
      <c r="AV36" s="58" t="s">
        <v>68</v>
      </c>
      <c r="AW36" s="60" t="s">
        <v>122</v>
      </c>
      <c r="AX36" s="87">
        <v>46226.0</v>
      </c>
      <c r="AY36" s="76">
        <v>0.3</v>
      </c>
      <c r="AZ36" s="113" t="s">
        <v>135</v>
      </c>
      <c r="BA36" s="76" t="s">
        <v>68</v>
      </c>
      <c r="BB36" s="113" t="s">
        <v>135</v>
      </c>
      <c r="BC36" s="89"/>
      <c r="BD36" s="98" t="s">
        <v>152</v>
      </c>
      <c r="BE36" s="113" t="s">
        <v>135</v>
      </c>
      <c r="BF36" s="38"/>
      <c r="BG36" s="38"/>
      <c r="BH36" s="38"/>
      <c r="BI36" s="38"/>
      <c r="BJ36" s="38"/>
      <c r="BK36" s="38"/>
    </row>
    <row r="37" ht="13.5" customHeight="1">
      <c r="A37" s="75">
        <v>46226.45721061343</v>
      </c>
      <c r="B37" s="76" t="s">
        <v>172</v>
      </c>
      <c r="C37" s="89"/>
      <c r="D37" s="76">
        <v>36.0</v>
      </c>
      <c r="E37" s="76" t="s">
        <v>254</v>
      </c>
      <c r="F37" s="76" t="s">
        <v>264</v>
      </c>
      <c r="G37" s="76" t="s">
        <v>264</v>
      </c>
      <c r="H37" s="76">
        <v>30.0</v>
      </c>
      <c r="I37" s="117" t="s">
        <v>265</v>
      </c>
      <c r="J37" s="105" t="s">
        <v>79</v>
      </c>
      <c r="K37" s="98" t="s">
        <v>115</v>
      </c>
      <c r="L37" s="60" t="s">
        <v>122</v>
      </c>
      <c r="M37" s="76">
        <v>2.0</v>
      </c>
      <c r="N37" s="60" t="s">
        <v>124</v>
      </c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130" t="s">
        <v>180</v>
      </c>
      <c r="AR37" s="76">
        <v>0.5</v>
      </c>
      <c r="AS37" s="87">
        <v>46226.0</v>
      </c>
      <c r="AT37" s="113" t="s">
        <v>135</v>
      </c>
      <c r="AU37" s="89"/>
      <c r="AV37" s="58" t="s">
        <v>68</v>
      </c>
      <c r="AW37" s="60" t="s">
        <v>122</v>
      </c>
      <c r="AX37" s="87">
        <v>46226.0</v>
      </c>
      <c r="AY37" s="76">
        <v>0.3</v>
      </c>
      <c r="AZ37" s="113" t="s">
        <v>135</v>
      </c>
      <c r="BA37" s="76" t="s">
        <v>68</v>
      </c>
      <c r="BB37" s="113" t="s">
        <v>135</v>
      </c>
      <c r="BC37" s="89"/>
      <c r="BD37" s="98" t="s">
        <v>152</v>
      </c>
      <c r="BE37" s="105" t="s">
        <v>132</v>
      </c>
      <c r="BF37" s="38"/>
      <c r="BG37" s="38"/>
      <c r="BH37" s="38"/>
      <c r="BI37" s="38"/>
      <c r="BJ37" s="38"/>
      <c r="BK37" s="38"/>
    </row>
    <row r="38" ht="13.5" customHeight="1">
      <c r="A38" s="75">
        <v>46226.4608709375</v>
      </c>
      <c r="B38" s="76" t="s">
        <v>172</v>
      </c>
      <c r="C38" s="89"/>
      <c r="D38" s="55">
        <v>37.0</v>
      </c>
      <c r="E38" s="76" t="s">
        <v>257</v>
      </c>
      <c r="F38" s="89"/>
      <c r="G38" s="76" t="s">
        <v>266</v>
      </c>
      <c r="H38" s="76">
        <v>30.0</v>
      </c>
      <c r="I38" s="117" t="s">
        <v>267</v>
      </c>
      <c r="J38" s="105" t="s">
        <v>79</v>
      </c>
      <c r="K38" s="98" t="s">
        <v>115</v>
      </c>
      <c r="L38" s="60" t="s">
        <v>122</v>
      </c>
      <c r="M38" s="76">
        <v>2.0</v>
      </c>
      <c r="N38" s="113" t="s">
        <v>135</v>
      </c>
      <c r="O38" s="128" t="s">
        <v>161</v>
      </c>
      <c r="P38" s="89"/>
      <c r="Q38" s="89"/>
      <c r="R38" s="89"/>
      <c r="S38" s="89"/>
      <c r="T38" s="89"/>
      <c r="U38" s="89"/>
      <c r="V38" s="89"/>
      <c r="W38" s="89"/>
      <c r="X38" s="89"/>
      <c r="Y38" s="76" t="s">
        <v>268</v>
      </c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128" t="s">
        <v>161</v>
      </c>
      <c r="AL38" s="91" t="s">
        <v>148</v>
      </c>
      <c r="AM38" s="76">
        <v>1.0</v>
      </c>
      <c r="AN38" s="87">
        <v>46226.0</v>
      </c>
      <c r="AO38" s="113" t="s">
        <v>135</v>
      </c>
      <c r="AP38" s="89"/>
      <c r="AQ38" s="93" t="s">
        <v>150</v>
      </c>
      <c r="AR38" s="76">
        <v>1.0</v>
      </c>
      <c r="AS38" s="87">
        <v>46226.0</v>
      </c>
      <c r="AT38" s="113" t="s">
        <v>135</v>
      </c>
      <c r="AU38" s="89"/>
      <c r="AV38" s="58" t="s">
        <v>68</v>
      </c>
      <c r="AW38" s="60" t="s">
        <v>122</v>
      </c>
      <c r="AX38" s="87">
        <v>46226.0</v>
      </c>
      <c r="AY38" s="76">
        <v>0.3</v>
      </c>
      <c r="AZ38" s="113" t="s">
        <v>135</v>
      </c>
      <c r="BA38" s="76" t="s">
        <v>68</v>
      </c>
      <c r="BB38" s="113" t="s">
        <v>135</v>
      </c>
      <c r="BC38" s="89"/>
      <c r="BD38" s="98" t="s">
        <v>152</v>
      </c>
      <c r="BE38" s="113" t="s">
        <v>135</v>
      </c>
      <c r="BF38" s="38"/>
      <c r="BG38" s="38"/>
      <c r="BH38" s="38"/>
      <c r="BI38" s="38"/>
      <c r="BJ38" s="38"/>
      <c r="BK38" s="38"/>
    </row>
    <row r="39" ht="13.5" customHeight="1">
      <c r="A39" s="75">
        <v>46226.4610991088</v>
      </c>
      <c r="B39" s="76" t="s">
        <v>172</v>
      </c>
      <c r="C39" s="89"/>
      <c r="D39" s="76">
        <v>38.0</v>
      </c>
      <c r="E39" s="76" t="s">
        <v>269</v>
      </c>
      <c r="F39" s="89"/>
      <c r="G39" s="89"/>
      <c r="H39" s="76">
        <v>155.0</v>
      </c>
      <c r="I39" s="117" t="s">
        <v>270</v>
      </c>
      <c r="J39" s="105" t="s">
        <v>79</v>
      </c>
      <c r="K39" s="98" t="s">
        <v>115</v>
      </c>
      <c r="L39" s="60" t="s">
        <v>122</v>
      </c>
      <c r="M39" s="76">
        <v>4.0</v>
      </c>
      <c r="N39" s="60" t="s">
        <v>124</v>
      </c>
      <c r="O39" s="128" t="s">
        <v>161</v>
      </c>
      <c r="P39" s="86" t="s">
        <v>142</v>
      </c>
      <c r="Q39" s="76">
        <v>1.0</v>
      </c>
      <c r="R39" s="87">
        <v>46226.0</v>
      </c>
      <c r="S39" s="113" t="s">
        <v>135</v>
      </c>
      <c r="T39" s="89"/>
      <c r="U39" s="89"/>
      <c r="V39" s="89"/>
      <c r="W39" s="89"/>
      <c r="X39" s="89"/>
      <c r="Y39" s="89"/>
      <c r="Z39" s="93" t="s">
        <v>150</v>
      </c>
      <c r="AA39" s="86" t="s">
        <v>142</v>
      </c>
      <c r="AB39" s="76">
        <v>1.0</v>
      </c>
      <c r="AC39" s="87">
        <v>46226.0</v>
      </c>
      <c r="AD39" s="113" t="s">
        <v>135</v>
      </c>
      <c r="AE39" s="89"/>
      <c r="AF39" s="89"/>
      <c r="AG39" s="89"/>
      <c r="AH39" s="89"/>
      <c r="AI39" s="89"/>
      <c r="AJ39" s="89"/>
      <c r="AK39" s="128" t="s">
        <v>161</v>
      </c>
      <c r="AL39" s="58" t="s">
        <v>158</v>
      </c>
      <c r="AM39" s="76">
        <v>1.0</v>
      </c>
      <c r="AN39" s="87">
        <v>46226.0</v>
      </c>
      <c r="AO39" s="113" t="s">
        <v>135</v>
      </c>
      <c r="AP39" s="89"/>
      <c r="AQ39" s="93" t="s">
        <v>150</v>
      </c>
      <c r="AR39" s="76">
        <v>1.0</v>
      </c>
      <c r="AS39" s="87">
        <v>46226.0</v>
      </c>
      <c r="AT39" s="113" t="s">
        <v>135</v>
      </c>
      <c r="AU39" s="89"/>
      <c r="AV39" s="58" t="s">
        <v>68</v>
      </c>
      <c r="AW39" s="60" t="s">
        <v>122</v>
      </c>
      <c r="AX39" s="87">
        <v>46226.0</v>
      </c>
      <c r="AY39" s="76">
        <v>0.3</v>
      </c>
      <c r="AZ39" s="113" t="s">
        <v>135</v>
      </c>
      <c r="BA39" s="76" t="s">
        <v>68</v>
      </c>
      <c r="BB39" s="113" t="s">
        <v>135</v>
      </c>
      <c r="BC39" s="89"/>
      <c r="BD39" s="98" t="s">
        <v>152</v>
      </c>
      <c r="BE39" s="113" t="s">
        <v>135</v>
      </c>
      <c r="BF39" s="38"/>
      <c r="BG39" s="38"/>
      <c r="BH39" s="38"/>
      <c r="BI39" s="38"/>
      <c r="BJ39" s="38"/>
      <c r="BK39" s="38"/>
    </row>
    <row r="40" ht="13.5" customHeight="1">
      <c r="A40" s="75">
        <v>46226.46711050926</v>
      </c>
      <c r="B40" s="76" t="s">
        <v>172</v>
      </c>
      <c r="C40" s="89"/>
      <c r="D40" s="76">
        <v>39.0</v>
      </c>
      <c r="E40" s="76" t="s">
        <v>271</v>
      </c>
      <c r="F40" s="76" t="s">
        <v>248</v>
      </c>
      <c r="G40" s="89"/>
      <c r="H40" s="76">
        <v>80.0</v>
      </c>
      <c r="I40" s="117" t="s">
        <v>272</v>
      </c>
      <c r="J40" s="105" t="s">
        <v>79</v>
      </c>
      <c r="K40" s="118" t="s">
        <v>108</v>
      </c>
      <c r="L40" s="60" t="s">
        <v>122</v>
      </c>
      <c r="M40" s="76">
        <v>4.0</v>
      </c>
      <c r="N40" s="113" t="s">
        <v>135</v>
      </c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130" t="s">
        <v>180</v>
      </c>
      <c r="AA40" s="86" t="s">
        <v>142</v>
      </c>
      <c r="AB40" s="76">
        <v>1.0</v>
      </c>
      <c r="AC40" s="87">
        <v>46226.0</v>
      </c>
      <c r="AD40" s="113" t="s">
        <v>135</v>
      </c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130" t="s">
        <v>180</v>
      </c>
      <c r="AR40" s="76">
        <v>1.0</v>
      </c>
      <c r="AS40" s="87">
        <v>46226.0</v>
      </c>
      <c r="AT40" s="113" t="s">
        <v>135</v>
      </c>
      <c r="AU40" s="89"/>
      <c r="AV40" s="58" t="s">
        <v>68</v>
      </c>
      <c r="AW40" s="60" t="s">
        <v>122</v>
      </c>
      <c r="AX40" s="87">
        <v>46226.0</v>
      </c>
      <c r="AY40" s="76">
        <v>0.3</v>
      </c>
      <c r="AZ40" s="113" t="s">
        <v>135</v>
      </c>
      <c r="BA40" s="76" t="s">
        <v>68</v>
      </c>
      <c r="BB40" s="113" t="s">
        <v>135</v>
      </c>
      <c r="BC40" s="89"/>
      <c r="BD40" s="98" t="s">
        <v>152</v>
      </c>
      <c r="BE40" s="105" t="s">
        <v>132</v>
      </c>
      <c r="BF40" s="38"/>
      <c r="BG40" s="38"/>
      <c r="BH40" s="38"/>
      <c r="BI40" s="38"/>
      <c r="BJ40" s="38"/>
      <c r="BK40" s="38"/>
    </row>
    <row r="41" ht="13.5" customHeight="1">
      <c r="A41" s="75">
        <v>46226.470479571755</v>
      </c>
      <c r="B41" s="76" t="s">
        <v>172</v>
      </c>
      <c r="C41" s="89"/>
      <c r="D41" s="55">
        <v>40.0</v>
      </c>
      <c r="E41" s="76" t="s">
        <v>273</v>
      </c>
      <c r="F41" s="89"/>
      <c r="G41" s="76" t="s">
        <v>274</v>
      </c>
      <c r="H41" s="76">
        <v>190.0</v>
      </c>
      <c r="I41" s="117" t="s">
        <v>275</v>
      </c>
      <c r="J41" s="105" t="s">
        <v>79</v>
      </c>
      <c r="K41" s="98" t="s">
        <v>115</v>
      </c>
      <c r="L41" s="60" t="s">
        <v>122</v>
      </c>
      <c r="M41" s="76">
        <v>3.5</v>
      </c>
      <c r="N41" s="60" t="s">
        <v>124</v>
      </c>
      <c r="O41" s="128" t="s">
        <v>161</v>
      </c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128" t="s">
        <v>161</v>
      </c>
      <c r="AL41" s="58" t="s">
        <v>158</v>
      </c>
      <c r="AM41" s="76">
        <v>0.8</v>
      </c>
      <c r="AN41" s="87">
        <v>46226.0</v>
      </c>
      <c r="AO41" s="113" t="s">
        <v>135</v>
      </c>
      <c r="AP41" s="89"/>
      <c r="AQ41" s="93" t="s">
        <v>150</v>
      </c>
      <c r="AR41" s="76">
        <v>0.8</v>
      </c>
      <c r="AS41" s="87">
        <v>46226.0</v>
      </c>
      <c r="AT41" s="113" t="s">
        <v>135</v>
      </c>
      <c r="AU41" s="89"/>
      <c r="AV41" s="58" t="s">
        <v>68</v>
      </c>
      <c r="AW41" s="60" t="s">
        <v>122</v>
      </c>
      <c r="AX41" s="87">
        <v>46226.0</v>
      </c>
      <c r="AY41" s="76">
        <v>0.3</v>
      </c>
      <c r="AZ41" s="113" t="s">
        <v>135</v>
      </c>
      <c r="BA41" s="76" t="s">
        <v>68</v>
      </c>
      <c r="BB41" s="113" t="s">
        <v>135</v>
      </c>
      <c r="BC41" s="89"/>
      <c r="BD41" s="98" t="s">
        <v>152</v>
      </c>
      <c r="BE41" s="113" t="s">
        <v>135</v>
      </c>
      <c r="BF41" s="38"/>
      <c r="BG41" s="38"/>
      <c r="BH41" s="38"/>
      <c r="BI41" s="38"/>
      <c r="BJ41" s="38"/>
      <c r="BK41" s="38"/>
    </row>
    <row r="42" ht="13.5" customHeight="1">
      <c r="A42" s="75">
        <v>46226.472676273144</v>
      </c>
      <c r="B42" s="76" t="s">
        <v>172</v>
      </c>
      <c r="C42" s="89"/>
      <c r="D42" s="76">
        <v>41.0</v>
      </c>
      <c r="E42" s="76" t="s">
        <v>276</v>
      </c>
      <c r="F42" s="76" t="s">
        <v>277</v>
      </c>
      <c r="G42" s="89"/>
      <c r="H42" s="76">
        <v>200.0</v>
      </c>
      <c r="I42" s="117" t="s">
        <v>278</v>
      </c>
      <c r="J42" s="129" t="s">
        <v>89</v>
      </c>
      <c r="K42" s="118" t="s">
        <v>108</v>
      </c>
      <c r="L42" s="60" t="s">
        <v>122</v>
      </c>
      <c r="M42" s="76">
        <v>4.0</v>
      </c>
      <c r="N42" s="113" t="s">
        <v>135</v>
      </c>
      <c r="O42" s="63" t="s">
        <v>125</v>
      </c>
      <c r="P42" s="86" t="s">
        <v>142</v>
      </c>
      <c r="Q42" s="76">
        <v>1.0</v>
      </c>
      <c r="R42" s="87">
        <v>46226.0</v>
      </c>
      <c r="S42" s="113" t="s">
        <v>135</v>
      </c>
      <c r="T42" s="89"/>
      <c r="U42" s="89"/>
      <c r="V42" s="89"/>
      <c r="W42" s="89"/>
      <c r="X42" s="89"/>
      <c r="Y42" s="89"/>
      <c r="Z42" s="130" t="s">
        <v>180</v>
      </c>
      <c r="AA42" s="86" t="s">
        <v>142</v>
      </c>
      <c r="AB42" s="76">
        <v>1.0</v>
      </c>
      <c r="AC42" s="87">
        <v>46226.0</v>
      </c>
      <c r="AD42" s="113" t="s">
        <v>135</v>
      </c>
      <c r="AE42" s="89"/>
      <c r="AF42" s="89"/>
      <c r="AG42" s="89"/>
      <c r="AH42" s="89"/>
      <c r="AI42" s="89"/>
      <c r="AJ42" s="89"/>
      <c r="AK42" s="63" t="s">
        <v>125</v>
      </c>
      <c r="AL42" s="58" t="s">
        <v>158</v>
      </c>
      <c r="AM42" s="76">
        <v>1.0</v>
      </c>
      <c r="AN42" s="87">
        <v>46226.0</v>
      </c>
      <c r="AO42" s="113" t="s">
        <v>135</v>
      </c>
      <c r="AP42" s="89"/>
      <c r="AQ42" s="130" t="s">
        <v>180</v>
      </c>
      <c r="AR42" s="76">
        <v>1.0</v>
      </c>
      <c r="AS42" s="87">
        <v>46226.0</v>
      </c>
      <c r="AT42" s="113" t="s">
        <v>135</v>
      </c>
      <c r="AU42" s="89"/>
      <c r="AV42" s="58" t="s">
        <v>68</v>
      </c>
      <c r="AW42" s="60" t="s">
        <v>122</v>
      </c>
      <c r="AX42" s="87">
        <v>46226.0</v>
      </c>
      <c r="AY42" s="76">
        <v>0.3</v>
      </c>
      <c r="AZ42" s="113" t="s">
        <v>135</v>
      </c>
      <c r="BA42" s="76" t="s">
        <v>68</v>
      </c>
      <c r="BB42" s="113" t="s">
        <v>135</v>
      </c>
      <c r="BC42" s="89"/>
      <c r="BD42" s="98" t="s">
        <v>152</v>
      </c>
      <c r="BE42" s="105" t="s">
        <v>132</v>
      </c>
      <c r="BF42" s="38"/>
      <c r="BG42" s="38"/>
      <c r="BH42" s="38"/>
      <c r="BI42" s="38"/>
      <c r="BJ42" s="38"/>
      <c r="BK42" s="38"/>
    </row>
    <row r="43" ht="13.5" customHeight="1">
      <c r="A43" s="75">
        <v>46226.48781746528</v>
      </c>
      <c r="B43" s="76" t="s">
        <v>172</v>
      </c>
      <c r="C43" s="89"/>
      <c r="D43" s="76">
        <v>42.0</v>
      </c>
      <c r="E43" s="76" t="s">
        <v>279</v>
      </c>
      <c r="F43" s="89"/>
      <c r="G43" s="76" t="s">
        <v>280</v>
      </c>
      <c r="H43" s="76">
        <v>200.0</v>
      </c>
      <c r="I43" s="117" t="s">
        <v>281</v>
      </c>
      <c r="J43" s="105" t="s">
        <v>79</v>
      </c>
      <c r="K43" s="118" t="s">
        <v>108</v>
      </c>
      <c r="L43" s="60" t="s">
        <v>122</v>
      </c>
      <c r="M43" s="76">
        <v>7.0</v>
      </c>
      <c r="N43" s="60" t="s">
        <v>124</v>
      </c>
      <c r="O43" s="128" t="s">
        <v>161</v>
      </c>
      <c r="P43" s="64" t="s">
        <v>126</v>
      </c>
      <c r="Q43" s="76">
        <v>1.5</v>
      </c>
      <c r="R43" s="87">
        <v>46226.0</v>
      </c>
      <c r="S43" s="60" t="s">
        <v>124</v>
      </c>
      <c r="T43" s="89"/>
      <c r="U43" s="64" t="s">
        <v>126</v>
      </c>
      <c r="V43" s="76">
        <v>1.5</v>
      </c>
      <c r="W43" s="87">
        <v>46226.0</v>
      </c>
      <c r="X43" s="60" t="s">
        <v>124</v>
      </c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128" t="s">
        <v>161</v>
      </c>
      <c r="AL43" s="58" t="s">
        <v>158</v>
      </c>
      <c r="AM43" s="76">
        <v>1.0</v>
      </c>
      <c r="AN43" s="87">
        <v>46226.0</v>
      </c>
      <c r="AO43" s="60" t="s">
        <v>124</v>
      </c>
      <c r="AP43" s="89"/>
      <c r="AQ43" s="93" t="s">
        <v>150</v>
      </c>
      <c r="AR43" s="76">
        <v>1.0</v>
      </c>
      <c r="AS43" s="87">
        <v>46226.0</v>
      </c>
      <c r="AT43" s="60" t="s">
        <v>124</v>
      </c>
      <c r="AU43" s="89"/>
      <c r="AV43" s="58" t="s">
        <v>68</v>
      </c>
      <c r="AW43" s="60" t="s">
        <v>122</v>
      </c>
      <c r="AX43" s="87">
        <v>46226.0</v>
      </c>
      <c r="AY43" s="76">
        <v>0.3</v>
      </c>
      <c r="AZ43" s="113" t="s">
        <v>135</v>
      </c>
      <c r="BA43" s="76" t="s">
        <v>68</v>
      </c>
      <c r="BB43" s="60" t="s">
        <v>124</v>
      </c>
      <c r="BC43" s="89"/>
      <c r="BD43" s="98" t="s">
        <v>152</v>
      </c>
      <c r="BE43" s="105" t="s">
        <v>132</v>
      </c>
      <c r="BF43" s="38"/>
      <c r="BG43" s="38"/>
      <c r="BH43" s="38"/>
      <c r="BI43" s="38"/>
      <c r="BJ43" s="38"/>
      <c r="BK43" s="38"/>
    </row>
    <row r="44" ht="13.5" customHeight="1">
      <c r="A44" s="75">
        <v>46226.49302521991</v>
      </c>
      <c r="B44" s="76" t="s">
        <v>172</v>
      </c>
      <c r="C44" s="89"/>
      <c r="D44" s="55">
        <v>43.0</v>
      </c>
      <c r="E44" s="76" t="s">
        <v>282</v>
      </c>
      <c r="F44" s="76" t="s">
        <v>283</v>
      </c>
      <c r="G44" s="89"/>
      <c r="H44" s="76">
        <v>200.0</v>
      </c>
      <c r="I44" s="117" t="s">
        <v>284</v>
      </c>
      <c r="J44" s="129" t="s">
        <v>89</v>
      </c>
      <c r="K44" s="58" t="s">
        <v>119</v>
      </c>
      <c r="L44" s="60" t="s">
        <v>122</v>
      </c>
      <c r="M44" s="76">
        <v>4.5</v>
      </c>
      <c r="N44" s="60" t="s">
        <v>124</v>
      </c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130" t="s">
        <v>180</v>
      </c>
      <c r="AA44" s="64" t="s">
        <v>126</v>
      </c>
      <c r="AB44" s="76">
        <v>0.7</v>
      </c>
      <c r="AC44" s="87">
        <v>46226.0</v>
      </c>
      <c r="AD44" s="60" t="s">
        <v>124</v>
      </c>
      <c r="AE44" s="89"/>
      <c r="AF44" s="89"/>
      <c r="AG44" s="89"/>
      <c r="AH44" s="89"/>
      <c r="AI44" s="89"/>
      <c r="AJ44" s="89"/>
      <c r="AK44" s="63" t="s">
        <v>125</v>
      </c>
      <c r="AL44" s="58" t="s">
        <v>158</v>
      </c>
      <c r="AM44" s="76">
        <v>0.5</v>
      </c>
      <c r="AN44" s="87">
        <v>46226.0</v>
      </c>
      <c r="AO44" s="89"/>
      <c r="AP44" s="89"/>
      <c r="AQ44" s="130" t="s">
        <v>180</v>
      </c>
      <c r="AR44" s="76">
        <v>0.5</v>
      </c>
      <c r="AS44" s="87">
        <v>46226.0</v>
      </c>
      <c r="AT44" s="60" t="s">
        <v>124</v>
      </c>
      <c r="AU44" s="89"/>
      <c r="AV44" s="58" t="s">
        <v>68</v>
      </c>
      <c r="AW44" s="60" t="s">
        <v>122</v>
      </c>
      <c r="AX44" s="87">
        <v>46226.0</v>
      </c>
      <c r="AY44" s="76">
        <v>0.3</v>
      </c>
      <c r="AZ44" s="60" t="s">
        <v>124</v>
      </c>
      <c r="BA44" s="76" t="s">
        <v>68</v>
      </c>
      <c r="BB44" s="60" t="s">
        <v>124</v>
      </c>
      <c r="BC44" s="89"/>
      <c r="BD44" s="98" t="s">
        <v>152</v>
      </c>
      <c r="BE44" s="113" t="s">
        <v>135</v>
      </c>
      <c r="BF44" s="38"/>
      <c r="BG44" s="38"/>
      <c r="BH44" s="38"/>
      <c r="BI44" s="38"/>
      <c r="BJ44" s="38"/>
      <c r="BK44" s="38"/>
    </row>
    <row r="45" ht="13.5" customHeight="1">
      <c r="A45" s="75">
        <v>46226.49468094908</v>
      </c>
      <c r="B45" s="76" t="s">
        <v>172</v>
      </c>
      <c r="C45" s="89"/>
      <c r="D45" s="76">
        <v>44.0</v>
      </c>
      <c r="E45" s="76" t="s">
        <v>285</v>
      </c>
      <c r="F45" s="89"/>
      <c r="G45" s="76" t="s">
        <v>286</v>
      </c>
      <c r="H45" s="76">
        <v>200.0</v>
      </c>
      <c r="I45" s="117" t="s">
        <v>287</v>
      </c>
      <c r="J45" s="105" t="s">
        <v>79</v>
      </c>
      <c r="K45" s="98" t="s">
        <v>115</v>
      </c>
      <c r="L45" s="60" t="s">
        <v>122</v>
      </c>
      <c r="M45" s="76">
        <v>6.0</v>
      </c>
      <c r="N45" s="60" t="s">
        <v>124</v>
      </c>
      <c r="O45" s="128" t="s">
        <v>161</v>
      </c>
      <c r="P45" s="64" t="s">
        <v>126</v>
      </c>
      <c r="Q45" s="76">
        <v>2.0</v>
      </c>
      <c r="R45" s="87">
        <v>46226.0</v>
      </c>
      <c r="S45" s="60" t="s">
        <v>124</v>
      </c>
      <c r="T45" s="89"/>
      <c r="U45" s="64" t="s">
        <v>126</v>
      </c>
      <c r="V45" s="76">
        <v>2.0</v>
      </c>
      <c r="W45" s="87">
        <v>46226.0</v>
      </c>
      <c r="X45" s="60" t="s">
        <v>124</v>
      </c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128" t="s">
        <v>161</v>
      </c>
      <c r="AL45" s="89"/>
      <c r="AM45" s="89"/>
      <c r="AN45" s="89"/>
      <c r="AO45" s="89"/>
      <c r="AP45" s="76" t="s">
        <v>288</v>
      </c>
      <c r="AQ45" s="89"/>
      <c r="AR45" s="89"/>
      <c r="AS45" s="89"/>
      <c r="AT45" s="89"/>
      <c r="AU45" s="89"/>
      <c r="AV45" s="58" t="s">
        <v>68</v>
      </c>
      <c r="AW45" s="60" t="s">
        <v>122</v>
      </c>
      <c r="AX45" s="87">
        <v>46226.0</v>
      </c>
      <c r="AY45" s="76">
        <v>0.3</v>
      </c>
      <c r="AZ45" s="60" t="s">
        <v>124</v>
      </c>
      <c r="BA45" s="76" t="s">
        <v>68</v>
      </c>
      <c r="BB45" s="60" t="s">
        <v>124</v>
      </c>
      <c r="BC45" s="89"/>
      <c r="BD45" s="98" t="s">
        <v>152</v>
      </c>
      <c r="BE45" s="113" t="s">
        <v>135</v>
      </c>
      <c r="BF45" s="38"/>
      <c r="BG45" s="38"/>
      <c r="BH45" s="38"/>
      <c r="BI45" s="38"/>
      <c r="BJ45" s="38"/>
      <c r="BK45" s="38"/>
    </row>
    <row r="46" ht="13.5" customHeight="1">
      <c r="A46" s="75">
        <v>46227.45034686342</v>
      </c>
      <c r="B46" s="76" t="s">
        <v>172</v>
      </c>
      <c r="C46" s="89"/>
      <c r="D46" s="76">
        <v>45.0</v>
      </c>
      <c r="E46" s="76" t="s">
        <v>289</v>
      </c>
      <c r="F46" s="76" t="s">
        <v>183</v>
      </c>
      <c r="G46" s="76" t="s">
        <v>290</v>
      </c>
      <c r="H46" s="76">
        <v>25.0</v>
      </c>
      <c r="I46" s="117" t="s">
        <v>291</v>
      </c>
      <c r="J46" s="105" t="s">
        <v>79</v>
      </c>
      <c r="K46" s="98" t="s">
        <v>115</v>
      </c>
      <c r="L46" s="60" t="s">
        <v>122</v>
      </c>
      <c r="M46" s="76">
        <v>4.0</v>
      </c>
      <c r="N46" s="113" t="s">
        <v>135</v>
      </c>
      <c r="O46" s="128" t="s">
        <v>161</v>
      </c>
      <c r="P46" s="89"/>
      <c r="Q46" s="89"/>
      <c r="R46" s="89"/>
      <c r="S46" s="89"/>
      <c r="T46" s="89"/>
      <c r="U46" s="89"/>
      <c r="V46" s="89"/>
      <c r="W46" s="89"/>
      <c r="X46" s="89"/>
      <c r="Y46" s="76" t="s">
        <v>292</v>
      </c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128" t="s">
        <v>161</v>
      </c>
      <c r="AL46" s="58" t="s">
        <v>158</v>
      </c>
      <c r="AM46" s="76">
        <v>1.0</v>
      </c>
      <c r="AN46" s="87">
        <v>46227.0</v>
      </c>
      <c r="AO46" s="113" t="s">
        <v>135</v>
      </c>
      <c r="AP46" s="89"/>
      <c r="AQ46" s="93" t="s">
        <v>150</v>
      </c>
      <c r="AR46" s="76">
        <v>1.0</v>
      </c>
      <c r="AS46" s="87">
        <v>46227.0</v>
      </c>
      <c r="AT46" s="113" t="s">
        <v>135</v>
      </c>
      <c r="AU46" s="89"/>
      <c r="AV46" s="58" t="s">
        <v>68</v>
      </c>
      <c r="AW46" s="60" t="s">
        <v>122</v>
      </c>
      <c r="AX46" s="87">
        <v>46227.0</v>
      </c>
      <c r="AY46" s="76">
        <v>0.3</v>
      </c>
      <c r="AZ46" s="60" t="s">
        <v>124</v>
      </c>
      <c r="BA46" s="76" t="s">
        <v>68</v>
      </c>
      <c r="BB46" s="113" t="s">
        <v>135</v>
      </c>
      <c r="BC46" s="89"/>
      <c r="BD46" s="98" t="s">
        <v>152</v>
      </c>
      <c r="BE46" s="113" t="s">
        <v>135</v>
      </c>
      <c r="BF46" s="38"/>
      <c r="BG46" s="38"/>
      <c r="BH46" s="38"/>
      <c r="BI46" s="38"/>
      <c r="BJ46" s="38"/>
      <c r="BK46" s="38"/>
    </row>
    <row r="47" ht="13.5" customHeight="1">
      <c r="A47" s="75">
        <v>46227.45302219907</v>
      </c>
      <c r="B47" s="76" t="s">
        <v>172</v>
      </c>
      <c r="C47" s="89"/>
      <c r="D47" s="55">
        <v>46.0</v>
      </c>
      <c r="E47" s="76" t="s">
        <v>289</v>
      </c>
      <c r="F47" s="76" t="s">
        <v>293</v>
      </c>
      <c r="G47" s="76" t="s">
        <v>294</v>
      </c>
      <c r="H47" s="76">
        <v>200.0</v>
      </c>
      <c r="I47" s="117" t="s">
        <v>295</v>
      </c>
      <c r="J47" s="105" t="s">
        <v>79</v>
      </c>
      <c r="K47" s="98" t="s">
        <v>115</v>
      </c>
      <c r="L47" s="60" t="s">
        <v>122</v>
      </c>
      <c r="M47" s="76">
        <v>2.0</v>
      </c>
      <c r="N47" s="113" t="s">
        <v>135</v>
      </c>
      <c r="O47" s="63" t="s">
        <v>125</v>
      </c>
      <c r="P47" s="89"/>
      <c r="Q47" s="89"/>
      <c r="R47" s="89"/>
      <c r="S47" s="89"/>
      <c r="T47" s="89"/>
      <c r="U47" s="89"/>
      <c r="V47" s="89"/>
      <c r="W47" s="89"/>
      <c r="X47" s="89"/>
      <c r="Y47" s="76" t="s">
        <v>210</v>
      </c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63" t="s">
        <v>125</v>
      </c>
      <c r="AL47" s="58" t="s">
        <v>158</v>
      </c>
      <c r="AM47" s="76">
        <v>0.5</v>
      </c>
      <c r="AN47" s="87">
        <v>46227.0</v>
      </c>
      <c r="AO47" s="113" t="s">
        <v>135</v>
      </c>
      <c r="AP47" s="89"/>
      <c r="AQ47" s="130" t="s">
        <v>180</v>
      </c>
      <c r="AR47" s="76">
        <v>0.5</v>
      </c>
      <c r="AS47" s="87">
        <v>46227.0</v>
      </c>
      <c r="AT47" s="113" t="s">
        <v>135</v>
      </c>
      <c r="AU47" s="89"/>
      <c r="AV47" s="58" t="s">
        <v>68</v>
      </c>
      <c r="AW47" s="60" t="s">
        <v>122</v>
      </c>
      <c r="AX47" s="87">
        <v>46227.0</v>
      </c>
      <c r="AY47" s="76">
        <v>0.3</v>
      </c>
      <c r="AZ47" s="113" t="s">
        <v>135</v>
      </c>
      <c r="BA47" s="76" t="s">
        <v>68</v>
      </c>
      <c r="BB47" s="113" t="s">
        <v>135</v>
      </c>
      <c r="BC47" s="89"/>
      <c r="BD47" s="98" t="s">
        <v>152</v>
      </c>
      <c r="BE47" s="113" t="s">
        <v>135</v>
      </c>
      <c r="BF47" s="38"/>
      <c r="BG47" s="38"/>
      <c r="BH47" s="38"/>
      <c r="BI47" s="38"/>
      <c r="BJ47" s="38"/>
      <c r="BK47" s="38"/>
    </row>
    <row r="48" ht="13.5" customHeight="1">
      <c r="A48" s="75">
        <v>46227.455082650464</v>
      </c>
      <c r="B48" s="76" t="s">
        <v>172</v>
      </c>
      <c r="C48" s="89"/>
      <c r="D48" s="76">
        <v>47.0</v>
      </c>
      <c r="E48" s="76" t="s">
        <v>289</v>
      </c>
      <c r="F48" s="76" t="s">
        <v>296</v>
      </c>
      <c r="G48" s="76" t="s">
        <v>297</v>
      </c>
      <c r="H48" s="76">
        <v>200.0</v>
      </c>
      <c r="I48" s="117" t="s">
        <v>298</v>
      </c>
      <c r="J48" s="105" t="s">
        <v>79</v>
      </c>
      <c r="K48" s="98" t="s">
        <v>115</v>
      </c>
      <c r="L48" s="60" t="s">
        <v>122</v>
      </c>
      <c r="M48" s="76">
        <v>2.0</v>
      </c>
      <c r="N48" s="113" t="s">
        <v>135</v>
      </c>
      <c r="O48" s="63" t="s">
        <v>125</v>
      </c>
      <c r="P48" s="89"/>
      <c r="Q48" s="89"/>
      <c r="R48" s="89"/>
      <c r="S48" s="89"/>
      <c r="T48" s="89"/>
      <c r="U48" s="89"/>
      <c r="V48" s="89"/>
      <c r="W48" s="89"/>
      <c r="X48" s="89"/>
      <c r="Y48" s="76" t="s">
        <v>210</v>
      </c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63" t="s">
        <v>125</v>
      </c>
      <c r="AL48" s="58" t="s">
        <v>158</v>
      </c>
      <c r="AM48" s="76">
        <v>0.5</v>
      </c>
      <c r="AN48" s="87">
        <v>46227.0</v>
      </c>
      <c r="AO48" s="113" t="s">
        <v>135</v>
      </c>
      <c r="AP48" s="89"/>
      <c r="AQ48" s="130" t="s">
        <v>180</v>
      </c>
      <c r="AR48" s="76">
        <v>0.5</v>
      </c>
      <c r="AS48" s="87">
        <v>46227.0</v>
      </c>
      <c r="AT48" s="113" t="s">
        <v>135</v>
      </c>
      <c r="AU48" s="89"/>
      <c r="AV48" s="58" t="s">
        <v>68</v>
      </c>
      <c r="AW48" s="60" t="s">
        <v>122</v>
      </c>
      <c r="AX48" s="87">
        <v>46227.0</v>
      </c>
      <c r="AY48" s="76">
        <v>0.5</v>
      </c>
      <c r="AZ48" s="113" t="s">
        <v>135</v>
      </c>
      <c r="BA48" s="76" t="s">
        <v>68</v>
      </c>
      <c r="BB48" s="113" t="s">
        <v>135</v>
      </c>
      <c r="BC48" s="89"/>
      <c r="BD48" s="98" t="s">
        <v>152</v>
      </c>
      <c r="BE48" s="113" t="s">
        <v>135</v>
      </c>
      <c r="BF48" s="38"/>
      <c r="BG48" s="38"/>
      <c r="BH48" s="38"/>
      <c r="BI48" s="38"/>
      <c r="BJ48" s="38"/>
      <c r="BK48" s="38"/>
    </row>
    <row r="49" ht="13.5" customHeight="1">
      <c r="A49" s="75">
        <v>46227.4551671875</v>
      </c>
      <c r="B49" s="76" t="s">
        <v>172</v>
      </c>
      <c r="C49" s="89"/>
      <c r="D49" s="76">
        <v>48.0</v>
      </c>
      <c r="E49" s="76" t="s">
        <v>299</v>
      </c>
      <c r="F49" s="76" t="s">
        <v>248</v>
      </c>
      <c r="G49" s="76" t="s">
        <v>300</v>
      </c>
      <c r="H49" s="76">
        <v>317.0</v>
      </c>
      <c r="I49" s="117" t="s">
        <v>301</v>
      </c>
      <c r="J49" s="105" t="s">
        <v>79</v>
      </c>
      <c r="K49" s="98" t="s">
        <v>115</v>
      </c>
      <c r="L49" s="60" t="s">
        <v>122</v>
      </c>
      <c r="M49" s="76">
        <v>3.0</v>
      </c>
      <c r="N49" s="60" t="s">
        <v>124</v>
      </c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128" t="s">
        <v>161</v>
      </c>
      <c r="AL49" s="58" t="s">
        <v>158</v>
      </c>
      <c r="AM49" s="76">
        <v>0.5</v>
      </c>
      <c r="AN49" s="87">
        <v>46227.0</v>
      </c>
      <c r="AO49" s="60" t="s">
        <v>124</v>
      </c>
      <c r="AP49" s="89"/>
      <c r="AQ49" s="89"/>
      <c r="AR49" s="89"/>
      <c r="AS49" s="89"/>
      <c r="AT49" s="89"/>
      <c r="AU49" s="89"/>
      <c r="AV49" s="58" t="s">
        <v>68</v>
      </c>
      <c r="AW49" s="60" t="s">
        <v>122</v>
      </c>
      <c r="AX49" s="87">
        <v>46227.0</v>
      </c>
      <c r="AY49" s="76">
        <v>0.3</v>
      </c>
      <c r="AZ49" s="60" t="s">
        <v>124</v>
      </c>
      <c r="BA49" s="76" t="s">
        <v>68</v>
      </c>
      <c r="BB49" s="60" t="s">
        <v>124</v>
      </c>
      <c r="BC49" s="89"/>
      <c r="BD49" s="98" t="s">
        <v>152</v>
      </c>
      <c r="BE49" s="60" t="s">
        <v>124</v>
      </c>
      <c r="BF49" s="38"/>
      <c r="BG49" s="38"/>
      <c r="BH49" s="38"/>
      <c r="BI49" s="38"/>
      <c r="BJ49" s="38"/>
      <c r="BK49" s="38"/>
    </row>
    <row r="50" ht="13.5" customHeight="1">
      <c r="A50" s="75">
        <v>46227.459936168976</v>
      </c>
      <c r="B50" s="76" t="s">
        <v>172</v>
      </c>
      <c r="C50" s="89"/>
      <c r="D50" s="55">
        <v>49.0</v>
      </c>
      <c r="E50" s="76" t="s">
        <v>302</v>
      </c>
      <c r="F50" s="89"/>
      <c r="G50" s="76" t="s">
        <v>303</v>
      </c>
      <c r="H50" s="76">
        <v>70.0</v>
      </c>
      <c r="I50" s="117" t="s">
        <v>304</v>
      </c>
      <c r="J50" s="105" t="s">
        <v>79</v>
      </c>
      <c r="K50" s="98" t="s">
        <v>115</v>
      </c>
      <c r="L50" s="60" t="s">
        <v>122</v>
      </c>
      <c r="M50" s="76">
        <v>3.0</v>
      </c>
      <c r="N50" s="113" t="s">
        <v>135</v>
      </c>
      <c r="O50" s="128" t="s">
        <v>161</v>
      </c>
      <c r="P50" s="89"/>
      <c r="Q50" s="89"/>
      <c r="R50" s="89"/>
      <c r="S50" s="89"/>
      <c r="T50" s="89"/>
      <c r="U50" s="89"/>
      <c r="V50" s="89"/>
      <c r="W50" s="89"/>
      <c r="X50" s="89"/>
      <c r="Y50" s="76" t="s">
        <v>210</v>
      </c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128" t="s">
        <v>161</v>
      </c>
      <c r="AL50" s="58" t="s">
        <v>158</v>
      </c>
      <c r="AM50" s="76">
        <v>0.5</v>
      </c>
      <c r="AN50" s="87">
        <v>46227.0</v>
      </c>
      <c r="AO50" s="113" t="s">
        <v>135</v>
      </c>
      <c r="AP50" s="89"/>
      <c r="AQ50" s="93" t="s">
        <v>150</v>
      </c>
      <c r="AR50" s="76">
        <v>0.5</v>
      </c>
      <c r="AS50" s="87">
        <v>46227.0</v>
      </c>
      <c r="AT50" s="113" t="s">
        <v>135</v>
      </c>
      <c r="AU50" s="89"/>
      <c r="AV50" s="58" t="s">
        <v>68</v>
      </c>
      <c r="AW50" s="60" t="s">
        <v>122</v>
      </c>
      <c r="AX50" s="87">
        <v>46227.0</v>
      </c>
      <c r="AY50" s="76">
        <v>0.3</v>
      </c>
      <c r="AZ50" s="113" t="s">
        <v>135</v>
      </c>
      <c r="BA50" s="76" t="s">
        <v>68</v>
      </c>
      <c r="BB50" s="105" t="s">
        <v>132</v>
      </c>
      <c r="BC50" s="89"/>
      <c r="BD50" s="98" t="s">
        <v>152</v>
      </c>
      <c r="BE50" s="113" t="s">
        <v>135</v>
      </c>
      <c r="BF50" s="38"/>
      <c r="BG50" s="38"/>
      <c r="BH50" s="38"/>
      <c r="BI50" s="38"/>
      <c r="BJ50" s="38"/>
      <c r="BK50" s="38"/>
    </row>
    <row r="51" ht="13.5" customHeight="1">
      <c r="A51" s="75">
        <v>46227.46359771991</v>
      </c>
      <c r="B51" s="76" t="s">
        <v>172</v>
      </c>
      <c r="C51" s="89"/>
      <c r="D51" s="76">
        <v>50.0</v>
      </c>
      <c r="E51" s="76" t="s">
        <v>289</v>
      </c>
      <c r="F51" s="89"/>
      <c r="G51" s="76" t="s">
        <v>305</v>
      </c>
      <c r="H51" s="76">
        <v>60.0</v>
      </c>
      <c r="I51" s="117" t="s">
        <v>306</v>
      </c>
      <c r="J51" s="105" t="s">
        <v>79</v>
      </c>
      <c r="K51" s="98" t="s">
        <v>115</v>
      </c>
      <c r="L51" s="60" t="s">
        <v>122</v>
      </c>
      <c r="M51" s="76">
        <v>1.5</v>
      </c>
      <c r="N51" s="113" t="s">
        <v>135</v>
      </c>
      <c r="O51" s="128" t="s">
        <v>161</v>
      </c>
      <c r="P51" s="89"/>
      <c r="Q51" s="89"/>
      <c r="R51" s="89"/>
      <c r="S51" s="89"/>
      <c r="T51" s="89"/>
      <c r="U51" s="89"/>
      <c r="V51" s="89"/>
      <c r="W51" s="89"/>
      <c r="X51" s="89"/>
      <c r="Y51" s="76" t="s">
        <v>210</v>
      </c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128" t="s">
        <v>161</v>
      </c>
      <c r="AL51" s="58" t="s">
        <v>158</v>
      </c>
      <c r="AM51" s="76">
        <v>0.5</v>
      </c>
      <c r="AN51" s="87">
        <v>46227.0</v>
      </c>
      <c r="AO51" s="113" t="s">
        <v>135</v>
      </c>
      <c r="AP51" s="89"/>
      <c r="AQ51" s="93" t="s">
        <v>150</v>
      </c>
      <c r="AR51" s="76">
        <v>0.5</v>
      </c>
      <c r="AS51" s="87">
        <v>46227.0</v>
      </c>
      <c r="AT51" s="113" t="s">
        <v>135</v>
      </c>
      <c r="AU51" s="89"/>
      <c r="AV51" s="58" t="s">
        <v>68</v>
      </c>
      <c r="AW51" s="60" t="s">
        <v>122</v>
      </c>
      <c r="AX51" s="87">
        <v>46227.0</v>
      </c>
      <c r="AY51" s="76">
        <v>0.3</v>
      </c>
      <c r="AZ51" s="113" t="s">
        <v>135</v>
      </c>
      <c r="BA51" s="76" t="s">
        <v>68</v>
      </c>
      <c r="BB51" s="113" t="s">
        <v>135</v>
      </c>
      <c r="BC51" s="89"/>
      <c r="BD51" s="98" t="s">
        <v>152</v>
      </c>
      <c r="BE51" s="113" t="s">
        <v>135</v>
      </c>
      <c r="BF51" s="38"/>
      <c r="BG51" s="38"/>
      <c r="BH51" s="38"/>
      <c r="BI51" s="38"/>
      <c r="BJ51" s="38"/>
      <c r="BK51" s="38"/>
    </row>
    <row r="52" ht="13.5" customHeight="1">
      <c r="A52" s="75">
        <v>46227.46867069445</v>
      </c>
      <c r="B52" s="76" t="s">
        <v>172</v>
      </c>
      <c r="C52" s="89"/>
      <c r="D52" s="76">
        <v>51.0</v>
      </c>
      <c r="E52" s="76" t="s">
        <v>289</v>
      </c>
      <c r="F52" s="89"/>
      <c r="G52" s="76" t="s">
        <v>307</v>
      </c>
      <c r="H52" s="76">
        <v>80.0</v>
      </c>
      <c r="I52" s="117" t="s">
        <v>308</v>
      </c>
      <c r="J52" s="105" t="s">
        <v>79</v>
      </c>
      <c r="K52" s="98" t="s">
        <v>115</v>
      </c>
      <c r="L52" s="60" t="s">
        <v>122</v>
      </c>
      <c r="M52" s="76">
        <v>2.0</v>
      </c>
      <c r="N52" s="113" t="s">
        <v>135</v>
      </c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63" t="s">
        <v>125</v>
      </c>
      <c r="AL52" s="58" t="s">
        <v>158</v>
      </c>
      <c r="AM52" s="76">
        <v>0.5</v>
      </c>
      <c r="AN52" s="87">
        <v>46227.0</v>
      </c>
      <c r="AO52" s="113" t="s">
        <v>135</v>
      </c>
      <c r="AP52" s="89"/>
      <c r="AQ52" s="130" t="s">
        <v>180</v>
      </c>
      <c r="AR52" s="76">
        <v>0.5</v>
      </c>
      <c r="AS52" s="87">
        <v>46227.0</v>
      </c>
      <c r="AT52" s="113" t="s">
        <v>135</v>
      </c>
      <c r="AU52" s="89"/>
      <c r="AV52" s="58" t="s">
        <v>68</v>
      </c>
      <c r="AW52" s="60" t="s">
        <v>122</v>
      </c>
      <c r="AX52" s="87">
        <v>46227.0</v>
      </c>
      <c r="AY52" s="76">
        <v>0.3</v>
      </c>
      <c r="AZ52" s="113" t="s">
        <v>135</v>
      </c>
      <c r="BA52" s="76" t="s">
        <v>68</v>
      </c>
      <c r="BB52" s="113" t="s">
        <v>135</v>
      </c>
      <c r="BC52" s="89"/>
      <c r="BD52" s="98" t="s">
        <v>152</v>
      </c>
      <c r="BE52" s="113" t="s">
        <v>135</v>
      </c>
      <c r="BF52" s="38"/>
      <c r="BG52" s="38"/>
      <c r="BH52" s="38"/>
      <c r="BI52" s="38"/>
      <c r="BJ52" s="38"/>
      <c r="BK52" s="38"/>
    </row>
    <row r="53" ht="13.5" customHeight="1">
      <c r="A53" s="75">
        <v>46228.49947079861</v>
      </c>
      <c r="B53" s="76" t="s">
        <v>172</v>
      </c>
      <c r="C53" s="89"/>
      <c r="D53" s="55">
        <v>52.0</v>
      </c>
      <c r="E53" s="76" t="s">
        <v>309</v>
      </c>
      <c r="F53" s="76" t="s">
        <v>310</v>
      </c>
      <c r="G53" s="76" t="s">
        <v>311</v>
      </c>
      <c r="H53" s="76">
        <v>44.0</v>
      </c>
      <c r="I53" s="117" t="s">
        <v>312</v>
      </c>
      <c r="J53" s="58" t="s">
        <v>68</v>
      </c>
      <c r="K53" s="98" t="s">
        <v>115</v>
      </c>
      <c r="L53" s="60" t="s">
        <v>122</v>
      </c>
      <c r="M53" s="76">
        <v>3.0</v>
      </c>
      <c r="N53" s="113" t="s">
        <v>135</v>
      </c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128" t="s">
        <v>161</v>
      </c>
      <c r="AL53" s="91" t="s">
        <v>148</v>
      </c>
      <c r="AM53" s="76">
        <v>0.5</v>
      </c>
      <c r="AN53" s="87">
        <v>46228.0</v>
      </c>
      <c r="AO53" s="113" t="s">
        <v>135</v>
      </c>
      <c r="AP53" s="89"/>
      <c r="AQ53" s="93" t="s">
        <v>150</v>
      </c>
      <c r="AR53" s="76">
        <v>0.5</v>
      </c>
      <c r="AS53" s="87">
        <v>46228.0</v>
      </c>
      <c r="AT53" s="113" t="s">
        <v>135</v>
      </c>
      <c r="AU53" s="89"/>
      <c r="AV53" s="58" t="s">
        <v>68</v>
      </c>
      <c r="AW53" s="60" t="s">
        <v>122</v>
      </c>
      <c r="AX53" s="87">
        <v>46228.0</v>
      </c>
      <c r="AY53" s="76">
        <v>0.3</v>
      </c>
      <c r="AZ53" s="113" t="s">
        <v>135</v>
      </c>
      <c r="BA53" s="76" t="s">
        <v>68</v>
      </c>
      <c r="BB53" s="60" t="s">
        <v>124</v>
      </c>
      <c r="BC53" s="89"/>
      <c r="BD53" s="98" t="s">
        <v>152</v>
      </c>
      <c r="BE53" s="113" t="s">
        <v>135</v>
      </c>
      <c r="BF53" s="38"/>
      <c r="BG53" s="38"/>
      <c r="BH53" s="38"/>
      <c r="BI53" s="38"/>
      <c r="BJ53" s="38"/>
      <c r="BK53" s="38"/>
    </row>
    <row r="54" ht="13.5" customHeight="1">
      <c r="A54" s="75">
        <v>46228.50113390046</v>
      </c>
      <c r="B54" s="76" t="s">
        <v>172</v>
      </c>
      <c r="C54" s="89"/>
      <c r="D54" s="76">
        <v>53.0</v>
      </c>
      <c r="E54" s="76" t="s">
        <v>309</v>
      </c>
      <c r="F54" s="76" t="s">
        <v>313</v>
      </c>
      <c r="G54" s="76" t="s">
        <v>314</v>
      </c>
      <c r="H54" s="76">
        <v>45.0</v>
      </c>
      <c r="I54" s="117" t="s">
        <v>312</v>
      </c>
      <c r="J54" s="58" t="s">
        <v>68</v>
      </c>
      <c r="K54" s="98" t="s">
        <v>115</v>
      </c>
      <c r="L54" s="60" t="s">
        <v>122</v>
      </c>
      <c r="M54" s="76">
        <v>3.0</v>
      </c>
      <c r="N54" s="113" t="s">
        <v>135</v>
      </c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128" t="s">
        <v>161</v>
      </c>
      <c r="AL54" s="91" t="s">
        <v>148</v>
      </c>
      <c r="AM54" s="76">
        <v>0.5</v>
      </c>
      <c r="AN54" s="87">
        <v>46228.0</v>
      </c>
      <c r="AO54" s="113" t="s">
        <v>135</v>
      </c>
      <c r="AP54" s="89"/>
      <c r="AQ54" s="93" t="s">
        <v>150</v>
      </c>
      <c r="AR54" s="76">
        <v>0.5</v>
      </c>
      <c r="AS54" s="87">
        <v>46228.0</v>
      </c>
      <c r="AT54" s="113" t="s">
        <v>135</v>
      </c>
      <c r="AU54" s="89"/>
      <c r="AV54" s="58" t="s">
        <v>68</v>
      </c>
      <c r="AW54" s="60" t="s">
        <v>122</v>
      </c>
      <c r="AX54" s="87">
        <v>46228.0</v>
      </c>
      <c r="AY54" s="76">
        <v>0.5</v>
      </c>
      <c r="AZ54" s="113" t="s">
        <v>135</v>
      </c>
      <c r="BA54" s="76" t="s">
        <v>68</v>
      </c>
      <c r="BB54" s="113" t="s">
        <v>135</v>
      </c>
      <c r="BC54" s="89"/>
      <c r="BD54" s="98" t="s">
        <v>152</v>
      </c>
      <c r="BE54" s="113" t="s">
        <v>135</v>
      </c>
      <c r="BF54" s="38"/>
      <c r="BG54" s="38"/>
      <c r="BH54" s="38"/>
      <c r="BI54" s="38"/>
      <c r="BJ54" s="38"/>
      <c r="BK54" s="38"/>
    </row>
    <row r="55" ht="13.5" customHeight="1">
      <c r="A55" s="75">
        <v>46228.50867738426</v>
      </c>
      <c r="B55" s="76" t="s">
        <v>172</v>
      </c>
      <c r="C55" s="89"/>
      <c r="D55" s="76">
        <v>54.0</v>
      </c>
      <c r="E55" s="76" t="s">
        <v>315</v>
      </c>
      <c r="F55" s="89"/>
      <c r="G55" s="76" t="s">
        <v>316</v>
      </c>
      <c r="H55" s="76">
        <v>125.0</v>
      </c>
      <c r="I55" s="117" t="s">
        <v>317</v>
      </c>
      <c r="J55" s="58" t="s">
        <v>68</v>
      </c>
      <c r="K55" s="98" t="s">
        <v>115</v>
      </c>
      <c r="L55" s="60" t="s">
        <v>122</v>
      </c>
      <c r="M55" s="76">
        <v>4.0</v>
      </c>
      <c r="N55" s="113" t="s">
        <v>135</v>
      </c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130" t="s">
        <v>180</v>
      </c>
      <c r="AR55" s="76">
        <v>0.5</v>
      </c>
      <c r="AS55" s="87">
        <v>46228.0</v>
      </c>
      <c r="AT55" s="113" t="s">
        <v>135</v>
      </c>
      <c r="AU55" s="89"/>
      <c r="AV55" s="58" t="s">
        <v>68</v>
      </c>
      <c r="AW55" s="60" t="s">
        <v>122</v>
      </c>
      <c r="AX55" s="87">
        <v>46228.0</v>
      </c>
      <c r="AY55" s="76">
        <v>0.3</v>
      </c>
      <c r="AZ55" s="113" t="s">
        <v>135</v>
      </c>
      <c r="BA55" s="76" t="s">
        <v>68</v>
      </c>
      <c r="BB55" s="113" t="s">
        <v>135</v>
      </c>
      <c r="BC55" s="89"/>
      <c r="BD55" s="98" t="s">
        <v>152</v>
      </c>
      <c r="BE55" s="113" t="s">
        <v>135</v>
      </c>
      <c r="BF55" s="38"/>
      <c r="BG55" s="38"/>
      <c r="BH55" s="38"/>
      <c r="BI55" s="38"/>
      <c r="BJ55" s="38"/>
      <c r="BK55" s="38"/>
    </row>
    <row r="56" ht="13.5" customHeight="1">
      <c r="A56" s="54"/>
      <c r="B56" s="55"/>
      <c r="C56" s="65"/>
      <c r="D56" s="76">
        <v>55.0</v>
      </c>
      <c r="E56" s="55"/>
      <c r="F56" s="65"/>
      <c r="G56" s="55"/>
      <c r="H56" s="55"/>
      <c r="I56" s="55"/>
      <c r="J56" s="55"/>
      <c r="K56" s="55"/>
      <c r="L56" s="55"/>
      <c r="M56" s="55"/>
      <c r="N56" s="5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55"/>
      <c r="AR56" s="55"/>
      <c r="AS56" s="134"/>
      <c r="AT56" s="55"/>
      <c r="AU56" s="65"/>
      <c r="AV56" s="55"/>
      <c r="AW56" s="55"/>
      <c r="AX56" s="134"/>
      <c r="AY56" s="55"/>
      <c r="AZ56" s="55"/>
      <c r="BA56" s="55"/>
      <c r="BB56" s="55"/>
      <c r="BC56" s="65"/>
      <c r="BD56" s="55"/>
      <c r="BE56" s="55"/>
      <c r="BF56" s="38"/>
      <c r="BG56" s="38"/>
      <c r="BH56" s="38"/>
      <c r="BI56" s="38"/>
      <c r="BJ56" s="38"/>
      <c r="BK56" s="38"/>
    </row>
    <row r="57" ht="13.5" customHeight="1">
      <c r="A57" s="54"/>
      <c r="B57" s="55"/>
      <c r="C57" s="65"/>
      <c r="D57" s="76">
        <v>56.0</v>
      </c>
      <c r="E57" s="55"/>
      <c r="F57" s="65"/>
      <c r="G57" s="55"/>
      <c r="H57" s="55"/>
      <c r="I57" s="55"/>
      <c r="J57" s="55"/>
      <c r="K57" s="55"/>
      <c r="L57" s="55"/>
      <c r="M57" s="55"/>
      <c r="N57" s="5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55"/>
      <c r="AR57" s="55"/>
      <c r="AS57" s="134"/>
      <c r="AT57" s="55"/>
      <c r="AU57" s="65"/>
      <c r="AV57" s="55"/>
      <c r="AW57" s="55"/>
      <c r="AX57" s="134"/>
      <c r="AY57" s="55"/>
      <c r="AZ57" s="55"/>
      <c r="BA57" s="55"/>
      <c r="BB57" s="55"/>
      <c r="BC57" s="65"/>
      <c r="BD57" s="55"/>
      <c r="BE57" s="55"/>
      <c r="BF57" s="38"/>
      <c r="BG57" s="38"/>
      <c r="BH57" s="38"/>
      <c r="BI57" s="38"/>
      <c r="BJ57" s="38"/>
      <c r="BK57" s="38"/>
    </row>
    <row r="58" ht="13.5" customHeight="1">
      <c r="A58" s="54"/>
      <c r="B58" s="55"/>
      <c r="C58" s="65"/>
      <c r="D58" s="55">
        <v>57.0</v>
      </c>
      <c r="E58" s="55"/>
      <c r="F58" s="65"/>
      <c r="G58" s="55"/>
      <c r="H58" s="55"/>
      <c r="I58" s="55"/>
      <c r="J58" s="55"/>
      <c r="K58" s="55"/>
      <c r="L58" s="55"/>
      <c r="M58" s="55"/>
      <c r="N58" s="5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55"/>
      <c r="AR58" s="55"/>
      <c r="AS58" s="134"/>
      <c r="AT58" s="55"/>
      <c r="AU58" s="65"/>
      <c r="AV58" s="55"/>
      <c r="AW58" s="55"/>
      <c r="AX58" s="134"/>
      <c r="AY58" s="55"/>
      <c r="AZ58" s="55"/>
      <c r="BA58" s="55"/>
      <c r="BB58" s="55"/>
      <c r="BC58" s="65"/>
      <c r="BD58" s="55"/>
      <c r="BE58" s="55"/>
      <c r="BF58" s="38"/>
      <c r="BG58" s="38"/>
      <c r="BH58" s="38"/>
      <c r="BI58" s="38"/>
      <c r="BJ58" s="38"/>
      <c r="BK58" s="38"/>
    </row>
    <row r="59" ht="13.5" customHeight="1">
      <c r="A59" s="54"/>
      <c r="B59" s="55"/>
      <c r="C59" s="65"/>
      <c r="D59" s="76">
        <v>58.0</v>
      </c>
      <c r="E59" s="55"/>
      <c r="F59" s="65"/>
      <c r="G59" s="55"/>
      <c r="H59" s="55"/>
      <c r="I59" s="55"/>
      <c r="J59" s="55"/>
      <c r="K59" s="55"/>
      <c r="L59" s="55"/>
      <c r="M59" s="55"/>
      <c r="N59" s="5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55"/>
      <c r="AR59" s="55"/>
      <c r="AS59" s="134"/>
      <c r="AT59" s="55"/>
      <c r="AU59" s="65"/>
      <c r="AV59" s="55"/>
      <c r="AW59" s="55"/>
      <c r="AX59" s="134"/>
      <c r="AY59" s="55"/>
      <c r="AZ59" s="55"/>
      <c r="BA59" s="55"/>
      <c r="BB59" s="55"/>
      <c r="BC59" s="65"/>
      <c r="BD59" s="55"/>
      <c r="BE59" s="55"/>
      <c r="BF59" s="38"/>
      <c r="BG59" s="38"/>
      <c r="BH59" s="38"/>
      <c r="BI59" s="38"/>
      <c r="BJ59" s="38"/>
      <c r="BK59" s="38"/>
    </row>
    <row r="60" ht="13.5" customHeight="1">
      <c r="A60" s="54"/>
      <c r="B60" s="55"/>
      <c r="C60" s="65"/>
      <c r="D60" s="76">
        <v>59.0</v>
      </c>
      <c r="E60" s="55"/>
      <c r="F60" s="65"/>
      <c r="G60" s="55"/>
      <c r="H60" s="55"/>
      <c r="I60" s="55"/>
      <c r="J60" s="55"/>
      <c r="K60" s="55"/>
      <c r="L60" s="55"/>
      <c r="M60" s="55"/>
      <c r="N60" s="5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55"/>
      <c r="AR60" s="55"/>
      <c r="AS60" s="134"/>
      <c r="AT60" s="55"/>
      <c r="AU60" s="65"/>
      <c r="AV60" s="55"/>
      <c r="AW60" s="55"/>
      <c r="AX60" s="134"/>
      <c r="AY60" s="55"/>
      <c r="AZ60" s="55"/>
      <c r="BA60" s="55"/>
      <c r="BB60" s="55"/>
      <c r="BC60" s="65"/>
      <c r="BD60" s="55"/>
      <c r="BE60" s="55"/>
      <c r="BF60" s="38"/>
      <c r="BG60" s="38"/>
      <c r="BH60" s="38"/>
      <c r="BI60" s="38"/>
      <c r="BJ60" s="38"/>
      <c r="BK60" s="38"/>
    </row>
    <row r="61" ht="13.5" customHeight="1">
      <c r="A61" s="54"/>
      <c r="B61" s="55"/>
      <c r="C61" s="65"/>
      <c r="D61" s="76">
        <v>60.0</v>
      </c>
      <c r="E61" s="55"/>
      <c r="F61" s="65"/>
      <c r="G61" s="55"/>
      <c r="H61" s="55"/>
      <c r="I61" s="55"/>
      <c r="J61" s="55"/>
      <c r="K61" s="55"/>
      <c r="L61" s="55"/>
      <c r="M61" s="55"/>
      <c r="N61" s="5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55"/>
      <c r="AR61" s="55"/>
      <c r="AS61" s="134"/>
      <c r="AT61" s="55"/>
      <c r="AU61" s="65"/>
      <c r="AV61" s="55"/>
      <c r="AW61" s="55"/>
      <c r="AX61" s="134"/>
      <c r="AY61" s="55"/>
      <c r="AZ61" s="55"/>
      <c r="BA61" s="55"/>
      <c r="BB61" s="55"/>
      <c r="BC61" s="65"/>
      <c r="BD61" s="55"/>
      <c r="BE61" s="55"/>
      <c r="BF61" s="38"/>
      <c r="BG61" s="38"/>
      <c r="BH61" s="38"/>
      <c r="BI61" s="38"/>
      <c r="BJ61" s="38"/>
      <c r="BK61" s="38"/>
    </row>
    <row r="62" ht="13.5" customHeight="1">
      <c r="A62" s="54"/>
      <c r="B62" s="55"/>
      <c r="C62" s="65"/>
      <c r="D62" s="76">
        <v>61.0</v>
      </c>
      <c r="E62" s="55"/>
      <c r="F62" s="65"/>
      <c r="G62" s="55"/>
      <c r="H62" s="55"/>
      <c r="I62" s="55"/>
      <c r="J62" s="55"/>
      <c r="K62" s="55"/>
      <c r="L62" s="55"/>
      <c r="M62" s="55"/>
      <c r="N62" s="5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55"/>
      <c r="AR62" s="55"/>
      <c r="AS62" s="134"/>
      <c r="AT62" s="55"/>
      <c r="AU62" s="65"/>
      <c r="AV62" s="55"/>
      <c r="AW62" s="55"/>
      <c r="AX62" s="134"/>
      <c r="AY62" s="55"/>
      <c r="AZ62" s="55"/>
      <c r="BA62" s="55"/>
      <c r="BB62" s="55"/>
      <c r="BC62" s="65"/>
      <c r="BD62" s="55"/>
      <c r="BE62" s="55"/>
      <c r="BF62" s="38"/>
      <c r="BG62" s="38"/>
      <c r="BH62" s="38"/>
      <c r="BI62" s="38"/>
      <c r="BJ62" s="38"/>
      <c r="BK62" s="38"/>
    </row>
    <row r="63" ht="13.5" customHeight="1">
      <c r="A63" s="54"/>
      <c r="B63" s="55"/>
      <c r="C63" s="65"/>
      <c r="D63" s="55">
        <v>62.0</v>
      </c>
      <c r="E63" s="55"/>
      <c r="F63" s="65"/>
      <c r="G63" s="55"/>
      <c r="H63" s="55"/>
      <c r="I63" s="55"/>
      <c r="J63" s="55"/>
      <c r="K63" s="55"/>
      <c r="L63" s="55"/>
      <c r="M63" s="55"/>
      <c r="N63" s="5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55"/>
      <c r="AR63" s="55"/>
      <c r="AS63" s="134"/>
      <c r="AT63" s="55"/>
      <c r="AU63" s="65"/>
      <c r="AV63" s="55"/>
      <c r="AW63" s="55"/>
      <c r="AX63" s="134"/>
      <c r="AY63" s="55"/>
      <c r="AZ63" s="55"/>
      <c r="BA63" s="55"/>
      <c r="BB63" s="55"/>
      <c r="BC63" s="65"/>
      <c r="BD63" s="55"/>
      <c r="BE63" s="55"/>
      <c r="BF63" s="38"/>
      <c r="BG63" s="38"/>
      <c r="BH63" s="38"/>
      <c r="BI63" s="38"/>
      <c r="BJ63" s="38"/>
      <c r="BK63" s="38"/>
    </row>
    <row r="64" ht="13.5" customHeight="1">
      <c r="A64" s="54"/>
      <c r="B64" s="55"/>
      <c r="C64" s="65"/>
      <c r="D64" s="76">
        <v>63.0</v>
      </c>
      <c r="E64" s="55"/>
      <c r="F64" s="65"/>
      <c r="G64" s="55"/>
      <c r="H64" s="55"/>
      <c r="I64" s="55"/>
      <c r="J64" s="55"/>
      <c r="K64" s="55"/>
      <c r="L64" s="55"/>
      <c r="M64" s="55"/>
      <c r="N64" s="5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55"/>
      <c r="AR64" s="55"/>
      <c r="AS64" s="134"/>
      <c r="AT64" s="55"/>
      <c r="AU64" s="65"/>
      <c r="AV64" s="55"/>
      <c r="AW64" s="55"/>
      <c r="AX64" s="134"/>
      <c r="AY64" s="55"/>
      <c r="AZ64" s="55"/>
      <c r="BA64" s="55"/>
      <c r="BB64" s="55"/>
      <c r="BC64" s="65"/>
      <c r="BD64" s="55"/>
      <c r="BE64" s="55"/>
      <c r="BF64" s="38"/>
      <c r="BG64" s="38"/>
      <c r="BH64" s="38"/>
      <c r="BI64" s="38"/>
      <c r="BJ64" s="38"/>
      <c r="BK64" s="38"/>
    </row>
    <row r="65" ht="13.5" customHeight="1">
      <c r="A65" s="54"/>
      <c r="B65" s="55"/>
      <c r="C65" s="65"/>
      <c r="D65" s="76">
        <v>64.0</v>
      </c>
      <c r="E65" s="55"/>
      <c r="F65" s="65"/>
      <c r="G65" s="55"/>
      <c r="H65" s="55"/>
      <c r="I65" s="55"/>
      <c r="J65" s="55"/>
      <c r="K65" s="55"/>
      <c r="L65" s="55"/>
      <c r="M65" s="55"/>
      <c r="N65" s="5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55"/>
      <c r="AR65" s="55"/>
      <c r="AS65" s="134"/>
      <c r="AT65" s="55"/>
      <c r="AU65" s="65"/>
      <c r="AV65" s="55"/>
      <c r="AW65" s="55"/>
      <c r="AX65" s="134"/>
      <c r="AY65" s="55"/>
      <c r="AZ65" s="55"/>
      <c r="BA65" s="55"/>
      <c r="BB65" s="55"/>
      <c r="BC65" s="65"/>
      <c r="BD65" s="55"/>
      <c r="BE65" s="55"/>
      <c r="BF65" s="38"/>
      <c r="BG65" s="38"/>
      <c r="BH65" s="38"/>
      <c r="BI65" s="38"/>
      <c r="BJ65" s="38"/>
      <c r="BK65" s="38"/>
    </row>
    <row r="66" ht="13.5" customHeight="1">
      <c r="A66" s="54"/>
      <c r="B66" s="55"/>
      <c r="C66" s="65"/>
      <c r="D66" s="76">
        <v>65.0</v>
      </c>
      <c r="E66" s="55"/>
      <c r="F66" s="65"/>
      <c r="G66" s="55"/>
      <c r="H66" s="55"/>
      <c r="I66" s="55"/>
      <c r="J66" s="55"/>
      <c r="K66" s="55"/>
      <c r="L66" s="55"/>
      <c r="M66" s="55"/>
      <c r="N66" s="5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55"/>
      <c r="AR66" s="55"/>
      <c r="AS66" s="134"/>
      <c r="AT66" s="55"/>
      <c r="AU66" s="65"/>
      <c r="AV66" s="55"/>
      <c r="AW66" s="55"/>
      <c r="AX66" s="134"/>
      <c r="AY66" s="55"/>
      <c r="AZ66" s="55"/>
      <c r="BA66" s="55"/>
      <c r="BB66" s="55"/>
      <c r="BC66" s="65"/>
      <c r="BD66" s="55"/>
      <c r="BE66" s="55"/>
      <c r="BF66" s="38"/>
      <c r="BG66" s="38"/>
      <c r="BH66" s="38"/>
      <c r="BI66" s="38"/>
      <c r="BJ66" s="38"/>
      <c r="BK66" s="38"/>
    </row>
    <row r="67" ht="13.5" customHeight="1">
      <c r="A67" s="135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5"/>
      <c r="AN67" s="135"/>
      <c r="AO67" s="135"/>
      <c r="AP67" s="135"/>
      <c r="AQ67" s="135"/>
      <c r="AR67" s="135"/>
      <c r="AS67" s="135"/>
      <c r="AT67" s="135"/>
      <c r="AU67" s="135"/>
      <c r="AV67" s="135"/>
      <c r="AW67" s="135"/>
      <c r="AX67" s="135"/>
      <c r="AY67" s="135"/>
      <c r="AZ67" s="135"/>
      <c r="BA67" s="135"/>
      <c r="BB67" s="135"/>
      <c r="BC67" s="135"/>
      <c r="BD67" s="135"/>
      <c r="BE67" s="135"/>
      <c r="BF67" s="135"/>
      <c r="BG67" s="135"/>
      <c r="BH67" s="135"/>
      <c r="BI67" s="135"/>
      <c r="BJ67" s="135"/>
      <c r="BK67" s="135"/>
    </row>
    <row r="68" ht="13.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</row>
    <row r="69" ht="13.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</row>
    <row r="70" ht="13.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</row>
    <row r="71" ht="13.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</row>
    <row r="72" ht="13.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</row>
    <row r="73" ht="13.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</row>
    <row r="74" ht="13.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</row>
    <row r="75" ht="13.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</row>
    <row r="76" ht="13.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</row>
    <row r="77" ht="13.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</row>
    <row r="78" ht="13.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</row>
    <row r="79" ht="13.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</row>
    <row r="80" ht="13.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</row>
    <row r="81" ht="13.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</row>
    <row r="82" ht="13.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</row>
    <row r="83" ht="13.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</row>
    <row r="84" ht="13.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</row>
    <row r="85" ht="13.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</row>
    <row r="86" ht="13.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</row>
    <row r="87" ht="13.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</row>
    <row r="88" ht="13.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</row>
    <row r="89" ht="13.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</row>
    <row r="90" ht="13.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</row>
    <row r="91" ht="13.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</row>
    <row r="92" ht="13.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</row>
    <row r="93" ht="13.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</row>
    <row r="94" ht="13.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</row>
    <row r="95" ht="13.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</row>
    <row r="96" ht="13.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</row>
    <row r="97" ht="13.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</row>
    <row r="98" ht="13.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</row>
    <row r="99" ht="13.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</row>
    <row r="100" ht="13.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</row>
    <row r="101" ht="13.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</row>
    <row r="102" ht="13.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</row>
    <row r="103" ht="13.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</row>
    <row r="104" ht="13.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</row>
    <row r="105" ht="13.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</row>
    <row r="106" ht="13.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</row>
    <row r="107" ht="13.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</row>
    <row r="108" ht="13.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</row>
    <row r="109" ht="13.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</row>
    <row r="110" ht="13.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</row>
    <row r="111" ht="13.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</row>
    <row r="112" ht="13.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</row>
    <row r="113" ht="13.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</row>
    <row r="114" ht="13.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</row>
    <row r="115" ht="13.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</row>
    <row r="116" ht="13.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</row>
    <row r="117" ht="13.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</row>
    <row r="118" ht="13.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</row>
    <row r="119" ht="13.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</row>
    <row r="120" ht="13.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</row>
    <row r="121" ht="13.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</row>
    <row r="122" ht="13.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</row>
    <row r="123" ht="13.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</row>
    <row r="124" ht="13.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</row>
    <row r="125" ht="13.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</row>
    <row r="126" ht="13.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</row>
    <row r="127" ht="13.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</row>
    <row r="128" ht="13.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</row>
    <row r="129" ht="13.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</row>
    <row r="130" ht="13.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</row>
    <row r="131" ht="13.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</row>
    <row r="132" ht="13.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</row>
    <row r="133" ht="13.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</row>
    <row r="134" ht="13.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</row>
    <row r="135" ht="13.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</row>
    <row r="136" ht="13.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</row>
    <row r="137" ht="13.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</row>
    <row r="138" ht="13.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</row>
    <row r="139" ht="13.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</row>
    <row r="140" ht="13.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</row>
    <row r="141" ht="13.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</row>
    <row r="142" ht="13.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</row>
    <row r="143" ht="13.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</row>
    <row r="144" ht="13.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</row>
    <row r="145" ht="13.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</row>
    <row r="146" ht="13.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</row>
    <row r="147" ht="13.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</row>
    <row r="148" ht="13.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</row>
    <row r="149" ht="13.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</row>
    <row r="150" ht="13.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</row>
    <row r="151" ht="13.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</row>
    <row r="152" ht="13.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</row>
    <row r="153" ht="13.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</row>
    <row r="154" ht="13.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</row>
    <row r="155" ht="13.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</row>
  </sheetData>
  <hyperlinks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</hyperlinks>
  <drawing r:id="rId55"/>
  <legacyDrawing r:id="rId56"/>
  <tableParts count="1">
    <tablePart r:id="rId5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13"/>
    <col customWidth="1" min="3" max="3" width="19.5"/>
    <col customWidth="1" min="4" max="4" width="5.13"/>
    <col customWidth="1" min="5" max="6" width="8.13"/>
    <col customWidth="1" min="7" max="7" width="17.0"/>
  </cols>
  <sheetData>
    <row r="1">
      <c r="A1" s="3"/>
      <c r="B1" s="4" t="s">
        <v>1</v>
      </c>
      <c r="D1" s="8" t="str">
        <f>"03"</f>
        <v>03</v>
      </c>
      <c r="E1" s="8"/>
      <c r="F1" s="8"/>
      <c r="G1" s="8"/>
      <c r="H1" s="8"/>
      <c r="I1" s="8"/>
      <c r="J1" s="8"/>
    </row>
    <row r="2">
      <c r="A2" s="3"/>
      <c r="B2" s="4" t="s">
        <v>9</v>
      </c>
      <c r="D2" s="8" t="s">
        <v>10</v>
      </c>
      <c r="E2" s="8"/>
      <c r="F2" s="8"/>
      <c r="G2" s="8"/>
      <c r="H2" s="8"/>
      <c r="I2" s="8"/>
      <c r="J2" s="8"/>
    </row>
    <row r="3">
      <c r="A3" s="3"/>
      <c r="B3" s="4" t="s">
        <v>13</v>
      </c>
      <c r="D3" s="8"/>
      <c r="E3" s="8">
        <v>93.0</v>
      </c>
      <c r="F3" s="8" t="s">
        <v>15</v>
      </c>
      <c r="G3" s="8"/>
      <c r="H3" s="8"/>
      <c r="I3" s="8"/>
      <c r="J3" s="8"/>
    </row>
    <row r="4">
      <c r="A4" s="3"/>
      <c r="B4" s="4" t="s">
        <v>17</v>
      </c>
      <c r="D4" s="19" t="str">
        <f>'Form responses 1'!$I$112</f>
        <v/>
      </c>
      <c r="F4" s="8" t="s">
        <v>29</v>
      </c>
      <c r="G4" s="8"/>
      <c r="H4" s="8"/>
      <c r="I4" s="8"/>
      <c r="J4" s="8"/>
    </row>
    <row r="5">
      <c r="A5" s="21"/>
      <c r="B5" s="22"/>
      <c r="C5" s="24"/>
      <c r="D5" s="26" t="s">
        <v>15</v>
      </c>
      <c r="E5" s="26" t="s">
        <v>43</v>
      </c>
      <c r="F5" s="26" t="s">
        <v>44</v>
      </c>
      <c r="G5" s="26" t="s">
        <v>45</v>
      </c>
      <c r="H5" s="26" t="s">
        <v>47</v>
      </c>
      <c r="I5" s="26" t="s">
        <v>49</v>
      </c>
      <c r="J5" s="26" t="s">
        <v>50</v>
      </c>
    </row>
    <row r="6">
      <c r="A6" s="28"/>
      <c r="B6" s="22"/>
      <c r="C6" s="26" t="s">
        <v>53</v>
      </c>
      <c r="D6" s="26" t="s">
        <v>12</v>
      </c>
      <c r="E6" s="26" t="s">
        <v>55</v>
      </c>
      <c r="F6" s="26" t="s">
        <v>56</v>
      </c>
      <c r="G6" s="24"/>
      <c r="H6" s="26" t="s">
        <v>59</v>
      </c>
      <c r="I6" s="26" t="s">
        <v>59</v>
      </c>
      <c r="J6" s="26"/>
    </row>
    <row r="7">
      <c r="A7" s="30" t="s">
        <v>62</v>
      </c>
      <c r="B7" s="33" t="s">
        <v>65</v>
      </c>
      <c r="C7" s="34" t="s">
        <v>68</v>
      </c>
      <c r="D7" s="35">
        <f>COUNTIF('Form responses 1'!K2:K94,C7)</f>
        <v>0</v>
      </c>
      <c r="E7" s="37"/>
      <c r="F7" s="37" t="s">
        <v>76</v>
      </c>
      <c r="G7" s="38"/>
      <c r="H7" s="38"/>
      <c r="I7" s="38"/>
      <c r="J7" s="38"/>
    </row>
    <row r="8">
      <c r="A8" s="39"/>
      <c r="B8" s="39"/>
      <c r="C8" s="40" t="s">
        <v>79</v>
      </c>
      <c r="D8" s="35">
        <f>COUNTIF(#REF!,C8)</f>
        <v>2</v>
      </c>
      <c r="E8" s="37"/>
      <c r="F8" s="37"/>
      <c r="G8" s="38"/>
      <c r="H8" s="38"/>
      <c r="I8" s="38"/>
      <c r="J8" s="38"/>
    </row>
    <row r="9">
      <c r="A9" s="39"/>
      <c r="B9" s="41"/>
      <c r="C9" s="42" t="s">
        <v>89</v>
      </c>
      <c r="D9" s="43">
        <f>COUNTIF('Form responses 1'!K2:K94,C9)</f>
        <v>0</v>
      </c>
      <c r="E9" s="44"/>
      <c r="F9" s="44"/>
      <c r="G9" s="45"/>
      <c r="H9" s="45"/>
      <c r="I9" s="45"/>
      <c r="J9" s="45"/>
    </row>
    <row r="10">
      <c r="A10" s="39"/>
      <c r="B10" s="46" t="s">
        <v>94</v>
      </c>
      <c r="C10" s="47" t="s">
        <v>96</v>
      </c>
      <c r="D10" s="48">
        <f>COUNTIF('Form responses 1'!$L$2:$L$94,C10)</f>
        <v>0</v>
      </c>
      <c r="E10" s="49"/>
      <c r="F10" s="49">
        <f t="array" ref="F10">SUM(IF('Form responses 1'!$L$2:$L$94 = C10,'Form responses 1'!$I$2:$I$94*'Form responses 1'!$N$2:$N$94, ""))</f>
        <v>0</v>
      </c>
      <c r="G10" s="49"/>
      <c r="H10" s="49"/>
      <c r="I10" s="49"/>
      <c r="J10" s="49"/>
    </row>
    <row r="11">
      <c r="A11" s="39"/>
      <c r="B11" s="39"/>
      <c r="C11" s="50" t="s">
        <v>108</v>
      </c>
      <c r="D11" s="51">
        <f>COUNTIF('Form responses 1'!$L$2:$L$94,C11)</f>
        <v>0</v>
      </c>
      <c r="E11" s="38"/>
      <c r="F11" s="38">
        <f t="array" ref="F11">SUM(IF('Form responses 1'!$L$2:$L$94 = C11,'Form responses 1'!$I$2:$I$94*'Form responses 1'!$N$2:$N$94, ""))</f>
        <v>0</v>
      </c>
      <c r="G11" s="38"/>
      <c r="H11" s="38"/>
      <c r="I11" s="38"/>
      <c r="J11" s="38"/>
    </row>
    <row r="12">
      <c r="A12" s="39"/>
      <c r="B12" s="39"/>
      <c r="C12" s="53" t="s">
        <v>115</v>
      </c>
      <c r="D12" s="51">
        <f>COUNTIF('Form responses 1'!$L$2:$L$94,C12)</f>
        <v>0</v>
      </c>
      <c r="E12" s="38"/>
      <c r="F12" s="38">
        <f t="array" ref="F12">SUM(IF('Form responses 1'!$L$2:$L$94 = C12,'Form responses 1'!$I$2:$I$94*'Form responses 1'!$N$2:$N$94, ""))</f>
        <v>0</v>
      </c>
      <c r="G12" s="38"/>
      <c r="H12" s="38"/>
      <c r="I12" s="38"/>
      <c r="J12" s="38"/>
    </row>
    <row r="13">
      <c r="A13" s="39"/>
      <c r="B13" s="41"/>
      <c r="C13" s="56" t="s">
        <v>119</v>
      </c>
      <c r="D13" s="57">
        <f>COUNTIF('Form responses 1'!$L$2:$L$94,C13)</f>
        <v>0</v>
      </c>
      <c r="E13" s="45"/>
      <c r="F13" s="45">
        <f t="array" ref="F13">SUM(IF('Form responses 1'!$L$2:$L$94 = C13,'Form responses 1'!$I$2:$I$94*'Form responses 1'!$N$2:$N$94, ""))</f>
        <v>0</v>
      </c>
      <c r="G13" s="45"/>
      <c r="H13" s="45"/>
      <c r="I13" s="45"/>
      <c r="J13" s="45"/>
    </row>
    <row r="14">
      <c r="A14" s="39"/>
      <c r="B14" s="61" t="s">
        <v>123</v>
      </c>
      <c r="C14" s="62" t="s">
        <v>122</v>
      </c>
      <c r="D14" s="48">
        <f>COUNTIF('Form responses 1'!$M$2:$M$94,C14)</f>
        <v>0</v>
      </c>
      <c r="E14" s="49"/>
      <c r="F14" s="49">
        <f t="array" ref="F14">SUM(IF('Form responses 1'!$M$2:$M$94 = C14,'Form responses 1'!$I$2:$I$94*'Form responses 1'!$N$2:$N$94, ""))</f>
        <v>0</v>
      </c>
      <c r="G14" s="49"/>
      <c r="H14" s="49"/>
      <c r="I14" s="49"/>
      <c r="J14" s="49"/>
    </row>
    <row r="15">
      <c r="A15" s="39"/>
      <c r="B15" s="39"/>
      <c r="C15" s="53" t="s">
        <v>127</v>
      </c>
      <c r="D15" s="51">
        <f>COUNTIF('Form responses 1'!$M$2:$M$94,C15)</f>
        <v>0</v>
      </c>
      <c r="E15" s="38"/>
      <c r="F15" s="38">
        <f t="array" ref="F15">SUM(IF('Form responses 1'!$M$2:$M$94 = C15,'Form responses 1'!$I$2:$I$94*'Form responses 1'!$N$2:$N$94, ""))</f>
        <v>0</v>
      </c>
      <c r="G15" s="37" t="s">
        <v>128</v>
      </c>
      <c r="H15" s="66">
        <v>2000.0</v>
      </c>
      <c r="I15" s="67">
        <f t="shared" ref="I15:I16" si="1">H15*F15</f>
        <v>0</v>
      </c>
      <c r="J15" s="67"/>
    </row>
    <row r="16">
      <c r="A16" s="39"/>
      <c r="B16" s="39"/>
      <c r="C16" s="50" t="s">
        <v>129</v>
      </c>
      <c r="D16" s="51">
        <f>COUNTIF('Form responses 1'!$M$2:$M$94,C16)</f>
        <v>0</v>
      </c>
      <c r="E16" s="38"/>
      <c r="F16" s="38">
        <f t="array" ref="F16">SUM(IF('Form responses 1'!$M$2:$M$94 = C16,'Form responses 1'!$I$2:$I$94*'Form responses 1'!$N$2:$N$94, ""))</f>
        <v>0</v>
      </c>
      <c r="G16" s="37" t="s">
        <v>128</v>
      </c>
      <c r="H16" s="66">
        <v>2000.0</v>
      </c>
      <c r="I16" s="67">
        <f t="shared" si="1"/>
        <v>0</v>
      </c>
      <c r="J16" s="67"/>
    </row>
    <row r="17">
      <c r="A17" s="39"/>
      <c r="B17" s="39"/>
      <c r="C17" s="68" t="s">
        <v>130</v>
      </c>
      <c r="D17" s="51">
        <f>COUNTIF('Form responses 1'!$M$2:$M$94,C17)</f>
        <v>0</v>
      </c>
      <c r="E17" s="38"/>
      <c r="F17" s="38">
        <f t="array" ref="F17">SUM(IF('Form responses 1'!$M$2:$M$94 = C17,'Form responses 1'!$I$2:$I$94*'Form responses 1'!$N$2:$N$94, ""))</f>
        <v>0</v>
      </c>
      <c r="G17" s="38"/>
      <c r="H17" s="38"/>
      <c r="I17" s="38"/>
      <c r="J17" s="38"/>
    </row>
    <row r="18">
      <c r="A18" s="39"/>
      <c r="B18" s="41"/>
      <c r="C18" s="69" t="s">
        <v>131</v>
      </c>
      <c r="D18" s="70">
        <f>COUNTIF('Form responses 1'!$M$2:$M$94,C18)</f>
        <v>0</v>
      </c>
      <c r="E18" s="71"/>
      <c r="F18" s="71">
        <f t="array" ref="F18">SUM(IF('Form responses 1'!$M$2:$M$94 = C18,'Form responses 1'!$I$2:$I$94*'Form responses 1'!$N$2:$N$94, ""))</f>
        <v>0</v>
      </c>
      <c r="G18" s="71"/>
      <c r="H18" s="71"/>
      <c r="I18" s="71"/>
      <c r="J18" s="71"/>
    </row>
    <row r="19">
      <c r="A19" s="39"/>
      <c r="B19" s="46" t="s">
        <v>69</v>
      </c>
      <c r="C19" s="72" t="s">
        <v>124</v>
      </c>
      <c r="D19" s="73"/>
      <c r="E19" s="74"/>
      <c r="F19" s="74"/>
      <c r="G19" s="74"/>
      <c r="H19" s="74"/>
      <c r="I19" s="74"/>
      <c r="J19" s="74"/>
    </row>
    <row r="20">
      <c r="A20" s="39"/>
      <c r="B20" s="39"/>
      <c r="C20" s="40" t="s">
        <v>132</v>
      </c>
      <c r="D20" s="51"/>
      <c r="E20" s="38"/>
      <c r="F20" s="38"/>
      <c r="G20" s="38"/>
      <c r="H20" s="38"/>
      <c r="I20" s="38"/>
      <c r="J20" s="38"/>
    </row>
    <row r="21">
      <c r="A21" s="39"/>
      <c r="B21" s="39"/>
      <c r="C21" s="77" t="s">
        <v>133</v>
      </c>
      <c r="D21" s="51"/>
      <c r="E21" s="38"/>
      <c r="F21" s="38"/>
      <c r="G21" s="38"/>
      <c r="H21" s="38"/>
      <c r="I21" s="38"/>
      <c r="J21" s="38"/>
    </row>
    <row r="22">
      <c r="A22" s="39"/>
      <c r="B22" s="39"/>
      <c r="C22" s="78" t="s">
        <v>135</v>
      </c>
      <c r="D22" s="38"/>
      <c r="E22" s="38"/>
      <c r="F22" s="38"/>
      <c r="G22" s="38"/>
      <c r="H22" s="38"/>
      <c r="I22" s="38"/>
      <c r="J22" s="38"/>
    </row>
    <row r="23">
      <c r="A23" s="41"/>
      <c r="B23" s="41"/>
      <c r="C23" s="79" t="s">
        <v>138</v>
      </c>
      <c r="D23" s="51"/>
      <c r="E23" s="38"/>
      <c r="F23" s="38"/>
      <c r="G23" s="38"/>
      <c r="H23" s="38"/>
      <c r="I23" s="38"/>
      <c r="J23" s="38"/>
    </row>
    <row r="24">
      <c r="A24" s="80" t="s">
        <v>140</v>
      </c>
      <c r="B24" s="81" t="s">
        <v>141</v>
      </c>
      <c r="C24" s="82" t="s">
        <v>126</v>
      </c>
      <c r="D24" s="83">
        <f>COUNTIF('Form responses 1'!$Q$2:$Q$94,C24)+COUNTIF('Form responses 1'!$AB$2:$AB$94,C24)</f>
        <v>0</v>
      </c>
      <c r="E24" s="84"/>
      <c r="F24" s="84"/>
      <c r="G24" s="84"/>
      <c r="H24" s="84"/>
      <c r="I24" s="84"/>
      <c r="J24" s="84"/>
    </row>
    <row r="25">
      <c r="A25" s="39"/>
      <c r="B25" s="39"/>
      <c r="C25" s="85" t="s">
        <v>142</v>
      </c>
      <c r="D25" s="51">
        <f>COUNTIF('Form responses 1'!$Q$2:$Q$94,C25)+COUNTIF('Form responses 1'!$AB$2:$AB$94,C25)</f>
        <v>0</v>
      </c>
      <c r="E25" s="38"/>
      <c r="F25" s="38"/>
      <c r="G25" s="38"/>
      <c r="H25" s="38"/>
      <c r="I25" s="38"/>
      <c r="J25" s="38"/>
    </row>
    <row r="26">
      <c r="A26" s="39"/>
      <c r="B26" s="39"/>
      <c r="C26" s="88" t="s">
        <v>143</v>
      </c>
      <c r="D26" s="51">
        <f>COUNTIF('Form responses 1'!$Q$2:$Q$94,C26)+COUNTIF('Form responses 1'!$AB$2:$AB$94,C26)</f>
        <v>0</v>
      </c>
      <c r="E26" s="38"/>
      <c r="F26" s="38"/>
      <c r="G26" s="38"/>
      <c r="H26" s="38"/>
      <c r="I26" s="38"/>
      <c r="J26" s="38"/>
    </row>
    <row r="27">
      <c r="A27" s="39"/>
      <c r="B27" s="39"/>
      <c r="C27" s="90" t="s">
        <v>144</v>
      </c>
      <c r="D27" s="51">
        <f>COUNTIF('Form responses 1'!$Q$2:$Q$94,C27)+COUNTIF('Form responses 1'!$AB$2:$AB$94,C27)</f>
        <v>0</v>
      </c>
      <c r="E27" s="38"/>
      <c r="F27" s="38"/>
      <c r="G27" s="38"/>
      <c r="H27" s="38"/>
      <c r="I27" s="38"/>
      <c r="J27" s="38"/>
    </row>
    <row r="28">
      <c r="A28" s="39"/>
      <c r="B28" s="39"/>
      <c r="C28" s="90" t="s">
        <v>145</v>
      </c>
      <c r="D28" s="51">
        <f>COUNTIF('Form responses 1'!$Q$2:$Q$94,C28)+COUNTIF('Form responses 1'!$AB$2:$AB$94,C28)</f>
        <v>0</v>
      </c>
      <c r="E28" s="38"/>
      <c r="F28" s="38"/>
      <c r="G28" s="38"/>
      <c r="H28" s="38"/>
      <c r="I28" s="38"/>
      <c r="J28" s="38"/>
    </row>
    <row r="29">
      <c r="A29" s="39"/>
      <c r="B29" s="39"/>
      <c r="C29" s="90" t="s">
        <v>146</v>
      </c>
      <c r="D29" s="51">
        <f>COUNTIF('Form responses 1'!$Q$2:$Q$94,C29)+COUNTIF('Form responses 1'!$AB$2:$AB$94,C29)</f>
        <v>0</v>
      </c>
      <c r="E29" s="38"/>
      <c r="F29" s="38"/>
      <c r="G29" s="38"/>
      <c r="H29" s="38"/>
      <c r="I29" s="38"/>
      <c r="J29" s="38"/>
    </row>
    <row r="30">
      <c r="A30" s="39"/>
      <c r="B30" s="39"/>
      <c r="C30" s="40" t="s">
        <v>147</v>
      </c>
      <c r="D30" s="51">
        <f>COUNTIF('Form responses 1'!$Q$2:$Q$94,C30)+COUNTIF('Form responses 1'!$AB$2:$AB$94,C30)</f>
        <v>0</v>
      </c>
      <c r="E30" s="38"/>
      <c r="F30" s="38"/>
      <c r="G30" s="38"/>
      <c r="H30" s="38"/>
      <c r="I30" s="38"/>
      <c r="J30" s="38"/>
    </row>
    <row r="31">
      <c r="A31" s="39"/>
      <c r="B31" s="39"/>
      <c r="C31" s="92" t="s">
        <v>149</v>
      </c>
      <c r="D31" s="51">
        <f>COUNTIF('Form responses 1'!$Q$2:$Q$94,C31)+COUNTIF('Form responses 1'!$AB$2:$AB$94,C31)</f>
        <v>0</v>
      </c>
      <c r="E31" s="38"/>
      <c r="F31" s="38"/>
      <c r="G31" s="38"/>
      <c r="H31" s="38"/>
      <c r="I31" s="38"/>
      <c r="J31" s="38"/>
    </row>
    <row r="32">
      <c r="A32" s="39"/>
      <c r="B32" s="39"/>
      <c r="C32" s="94" t="s">
        <v>149</v>
      </c>
      <c r="D32" s="51">
        <f>COUNTIF('Form responses 1'!$Q$2:$Q$94,C32)+COUNTIF('Form responses 1'!$AB$2:$AB$94,C32)</f>
        <v>0</v>
      </c>
      <c r="E32" s="38"/>
      <c r="F32" s="38"/>
      <c r="G32" s="38"/>
      <c r="H32" s="38"/>
      <c r="I32" s="38"/>
      <c r="J32" s="38"/>
    </row>
    <row r="33">
      <c r="A33" s="39"/>
      <c r="B33" s="41"/>
      <c r="C33" s="95" t="s">
        <v>138</v>
      </c>
      <c r="D33" s="57">
        <f>COUNTIF('Form responses 1'!$Q$2:$Q$94,C33)+COUNTIF('Form responses 1'!$AB$2:$AB$94,C33)</f>
        <v>0</v>
      </c>
      <c r="E33" s="45"/>
      <c r="F33" s="45"/>
      <c r="G33" s="45"/>
      <c r="H33" s="45"/>
      <c r="I33" s="45"/>
      <c r="J33" s="45"/>
    </row>
    <row r="34">
      <c r="A34" s="39"/>
      <c r="B34" s="46" t="s">
        <v>69</v>
      </c>
      <c r="C34" s="62" t="s">
        <v>124</v>
      </c>
      <c r="D34" s="48"/>
      <c r="E34" s="49"/>
      <c r="F34" s="49"/>
      <c r="G34" s="49"/>
      <c r="H34" s="49"/>
      <c r="I34" s="49"/>
      <c r="J34" s="49"/>
    </row>
    <row r="35">
      <c r="A35" s="39"/>
      <c r="B35" s="39"/>
      <c r="C35" s="40" t="s">
        <v>132</v>
      </c>
      <c r="D35" s="51"/>
      <c r="E35" s="38"/>
      <c r="F35" s="38"/>
      <c r="G35" s="38"/>
      <c r="H35" s="38"/>
      <c r="I35" s="38"/>
      <c r="J35" s="38"/>
    </row>
    <row r="36">
      <c r="A36" s="39"/>
      <c r="B36" s="39"/>
      <c r="C36" s="92" t="s">
        <v>153</v>
      </c>
      <c r="D36" s="51"/>
      <c r="E36" s="38"/>
      <c r="F36" s="38"/>
      <c r="G36" s="38"/>
      <c r="H36" s="38"/>
      <c r="I36" s="38"/>
      <c r="J36" s="38"/>
    </row>
    <row r="37">
      <c r="A37" s="39"/>
      <c r="B37" s="39"/>
      <c r="C37" s="77" t="s">
        <v>133</v>
      </c>
      <c r="D37" s="38"/>
      <c r="E37" s="38"/>
      <c r="F37" s="38"/>
      <c r="G37" s="38"/>
      <c r="H37" s="38"/>
      <c r="I37" s="38"/>
      <c r="J37" s="38"/>
    </row>
    <row r="38">
      <c r="A38" s="39"/>
      <c r="B38" s="39"/>
      <c r="C38" s="78" t="s">
        <v>135</v>
      </c>
      <c r="D38" s="51"/>
      <c r="E38" s="38"/>
      <c r="F38" s="38"/>
      <c r="G38" s="38"/>
      <c r="H38" s="38"/>
      <c r="I38" s="38"/>
      <c r="J38" s="38"/>
    </row>
    <row r="39">
      <c r="A39" s="41"/>
      <c r="B39" s="41"/>
      <c r="C39" s="79" t="s">
        <v>138</v>
      </c>
      <c r="D39" s="101"/>
      <c r="E39" s="102"/>
      <c r="F39" s="102"/>
      <c r="G39" s="102"/>
      <c r="H39" s="102"/>
      <c r="I39" s="102"/>
      <c r="J39" s="102"/>
    </row>
    <row r="40">
      <c r="A40" s="80" t="s">
        <v>157</v>
      </c>
      <c r="B40" s="103"/>
      <c r="C40" s="104" t="s">
        <v>158</v>
      </c>
      <c r="D40" s="84"/>
      <c r="E40" s="84"/>
      <c r="F40" s="84"/>
      <c r="G40" s="84"/>
      <c r="H40" s="84"/>
      <c r="I40" s="84"/>
      <c r="J40" s="84"/>
    </row>
    <row r="41">
      <c r="A41" s="39"/>
      <c r="B41" s="39"/>
      <c r="C41" s="106" t="s">
        <v>148</v>
      </c>
      <c r="D41" s="38"/>
      <c r="E41" s="38"/>
      <c r="F41" s="38"/>
      <c r="G41" s="38"/>
      <c r="H41" s="38"/>
      <c r="I41" s="38"/>
      <c r="J41" s="38"/>
    </row>
    <row r="42">
      <c r="A42" s="39"/>
      <c r="B42" s="39"/>
      <c r="C42" s="77" t="s">
        <v>160</v>
      </c>
      <c r="D42" s="38"/>
      <c r="E42" s="38"/>
      <c r="F42" s="38"/>
      <c r="G42" s="38"/>
      <c r="H42" s="38"/>
      <c r="I42" s="38"/>
      <c r="J42" s="38"/>
    </row>
    <row r="43">
      <c r="A43" s="39"/>
      <c r="B43" s="41"/>
      <c r="C43" s="108" t="s">
        <v>132</v>
      </c>
      <c r="D43" s="45"/>
      <c r="E43" s="45"/>
      <c r="F43" s="45"/>
      <c r="G43" s="45"/>
      <c r="H43" s="45"/>
      <c r="I43" s="45"/>
      <c r="J43" s="45"/>
    </row>
    <row r="44">
      <c r="A44" s="39"/>
      <c r="B44" s="46" t="s">
        <v>69</v>
      </c>
      <c r="C44" s="62" t="s">
        <v>124</v>
      </c>
      <c r="D44" s="49"/>
      <c r="E44" s="49"/>
      <c r="F44" s="49"/>
      <c r="G44" s="49"/>
      <c r="H44" s="49"/>
      <c r="I44" s="49"/>
      <c r="J44" s="49"/>
    </row>
    <row r="45">
      <c r="A45" s="39"/>
      <c r="B45" s="39"/>
      <c r="C45" s="40" t="s">
        <v>132</v>
      </c>
      <c r="D45" s="38"/>
      <c r="E45" s="38"/>
      <c r="F45" s="38"/>
      <c r="G45" s="38"/>
      <c r="H45" s="38"/>
      <c r="I45" s="38"/>
      <c r="J45" s="38"/>
    </row>
    <row r="46">
      <c r="A46" s="39"/>
      <c r="B46" s="39"/>
      <c r="C46" s="92" t="s">
        <v>153</v>
      </c>
      <c r="D46" s="38"/>
      <c r="E46" s="38"/>
      <c r="F46" s="38"/>
      <c r="G46" s="38"/>
      <c r="H46" s="38"/>
      <c r="I46" s="38"/>
      <c r="J46" s="38"/>
    </row>
    <row r="47">
      <c r="A47" s="39"/>
      <c r="B47" s="39"/>
      <c r="C47" s="77" t="s">
        <v>133</v>
      </c>
      <c r="D47" s="38"/>
      <c r="E47" s="38"/>
      <c r="F47" s="38"/>
      <c r="G47" s="38"/>
      <c r="H47" s="38"/>
      <c r="I47" s="38"/>
      <c r="J47" s="38"/>
    </row>
    <row r="48">
      <c r="A48" s="39"/>
      <c r="B48" s="39"/>
      <c r="C48" s="78" t="s">
        <v>135</v>
      </c>
      <c r="D48" s="38"/>
      <c r="E48" s="38"/>
      <c r="F48" s="38"/>
      <c r="G48" s="38"/>
      <c r="H48" s="38"/>
      <c r="I48" s="38"/>
      <c r="J48" s="38"/>
    </row>
    <row r="49">
      <c r="A49" s="41"/>
      <c r="B49" s="41"/>
      <c r="C49" s="79" t="s">
        <v>138</v>
      </c>
      <c r="D49" s="102"/>
      <c r="E49" s="102"/>
      <c r="F49" s="102"/>
      <c r="G49" s="102"/>
      <c r="H49" s="102"/>
      <c r="I49" s="102"/>
      <c r="J49" s="102"/>
    </row>
    <row r="50">
      <c r="A50" s="80" t="s">
        <v>165</v>
      </c>
      <c r="B50" s="81" t="s">
        <v>61</v>
      </c>
      <c r="C50" s="104" t="s">
        <v>68</v>
      </c>
      <c r="D50" s="84"/>
      <c r="E50" s="84"/>
      <c r="F50" s="84"/>
      <c r="G50" s="84"/>
      <c r="H50" s="84"/>
      <c r="I50" s="84"/>
      <c r="J50" s="84"/>
    </row>
    <row r="51">
      <c r="A51" s="39"/>
      <c r="B51" s="39"/>
      <c r="C51" s="92" t="s">
        <v>79</v>
      </c>
      <c r="D51" s="38"/>
      <c r="E51" s="38"/>
      <c r="F51" s="38"/>
      <c r="G51" s="38"/>
      <c r="H51" s="38"/>
      <c r="I51" s="38"/>
      <c r="J51" s="38"/>
    </row>
    <row r="52">
      <c r="A52" s="39"/>
      <c r="B52" s="41"/>
      <c r="C52" s="110" t="s">
        <v>132</v>
      </c>
      <c r="D52" s="71"/>
      <c r="E52" s="71"/>
      <c r="F52" s="71"/>
      <c r="G52" s="71"/>
      <c r="H52" s="71"/>
      <c r="I52" s="71"/>
      <c r="J52" s="71"/>
    </row>
    <row r="53">
      <c r="A53" s="39"/>
      <c r="B53" s="46" t="s">
        <v>64</v>
      </c>
      <c r="C53" s="72" t="s">
        <v>122</v>
      </c>
      <c r="D53" s="74"/>
      <c r="E53" s="74"/>
      <c r="F53" s="74"/>
      <c r="G53" s="74"/>
      <c r="H53" s="74"/>
      <c r="I53" s="74"/>
      <c r="J53" s="74"/>
    </row>
    <row r="54">
      <c r="A54" s="39"/>
      <c r="B54" s="39"/>
      <c r="C54" s="111" t="s">
        <v>167</v>
      </c>
      <c r="D54" s="38"/>
      <c r="E54" s="38"/>
      <c r="F54" s="38"/>
      <c r="G54" s="38"/>
      <c r="H54" s="38"/>
      <c r="I54" s="38"/>
      <c r="J54" s="38"/>
    </row>
    <row r="55">
      <c r="A55" s="39"/>
      <c r="B55" s="39"/>
      <c r="C55" s="77" t="s">
        <v>169</v>
      </c>
      <c r="D55" s="38"/>
      <c r="E55" s="38"/>
      <c r="F55" s="38"/>
      <c r="G55" s="38"/>
      <c r="H55" s="38"/>
      <c r="I55" s="38"/>
      <c r="J55" s="38"/>
    </row>
    <row r="56">
      <c r="A56" s="39"/>
      <c r="B56" s="41"/>
      <c r="C56" s="112" t="s">
        <v>170</v>
      </c>
      <c r="D56" s="71"/>
      <c r="E56" s="71"/>
      <c r="F56" s="71"/>
      <c r="G56" s="71"/>
      <c r="H56" s="71"/>
      <c r="I56" s="71"/>
      <c r="J56" s="71"/>
    </row>
    <row r="57">
      <c r="A57" s="39"/>
      <c r="B57" s="46" t="s">
        <v>69</v>
      </c>
      <c r="C57" s="72" t="s">
        <v>124</v>
      </c>
      <c r="D57" s="74"/>
      <c r="E57" s="74"/>
      <c r="F57" s="74"/>
      <c r="G57" s="74"/>
      <c r="H57" s="74"/>
      <c r="I57" s="74"/>
      <c r="J57" s="74"/>
    </row>
    <row r="58">
      <c r="A58" s="39"/>
      <c r="B58" s="39"/>
      <c r="C58" s="40" t="s">
        <v>132</v>
      </c>
      <c r="D58" s="38"/>
      <c r="E58" s="38"/>
      <c r="F58" s="38"/>
      <c r="G58" s="38"/>
      <c r="H58" s="38"/>
      <c r="I58" s="38"/>
      <c r="J58" s="38"/>
    </row>
    <row r="59">
      <c r="A59" s="39"/>
      <c r="B59" s="39"/>
      <c r="C59" s="92" t="s">
        <v>153</v>
      </c>
      <c r="D59" s="38"/>
      <c r="E59" s="38"/>
      <c r="F59" s="38"/>
      <c r="G59" s="38"/>
      <c r="H59" s="38"/>
      <c r="I59" s="38"/>
      <c r="J59" s="38"/>
    </row>
    <row r="60">
      <c r="A60" s="39"/>
      <c r="B60" s="39"/>
      <c r="C60" s="77" t="s">
        <v>133</v>
      </c>
      <c r="D60" s="38"/>
      <c r="E60" s="38"/>
      <c r="F60" s="38"/>
      <c r="G60" s="38"/>
      <c r="H60" s="38"/>
      <c r="I60" s="38"/>
      <c r="J60" s="38"/>
    </row>
    <row r="61">
      <c r="A61" s="39"/>
      <c r="B61" s="39"/>
      <c r="C61" s="78" t="s">
        <v>135</v>
      </c>
      <c r="D61" s="38"/>
      <c r="E61" s="38"/>
      <c r="F61" s="38"/>
      <c r="G61" s="38"/>
      <c r="H61" s="38"/>
      <c r="I61" s="38"/>
      <c r="J61" s="38"/>
    </row>
    <row r="62">
      <c r="A62" s="41"/>
      <c r="B62" s="41"/>
      <c r="C62" s="79" t="s">
        <v>138</v>
      </c>
      <c r="D62" s="102"/>
      <c r="E62" s="102"/>
      <c r="F62" s="102"/>
      <c r="G62" s="102"/>
      <c r="H62" s="102"/>
      <c r="I62" s="102"/>
      <c r="J62" s="102"/>
    </row>
    <row r="63">
      <c r="A63" s="80" t="s">
        <v>171</v>
      </c>
      <c r="B63" s="81" t="s">
        <v>61</v>
      </c>
      <c r="C63" s="104" t="s">
        <v>68</v>
      </c>
      <c r="D63" s="84"/>
      <c r="E63" s="84"/>
      <c r="F63" s="84"/>
      <c r="G63" s="84"/>
      <c r="H63" s="84"/>
      <c r="I63" s="84"/>
      <c r="J63" s="84"/>
    </row>
    <row r="64">
      <c r="A64" s="39"/>
      <c r="B64" s="39"/>
      <c r="C64" s="92" t="s">
        <v>79</v>
      </c>
      <c r="D64" s="38"/>
      <c r="E64" s="38"/>
      <c r="F64" s="38"/>
      <c r="G64" s="38"/>
      <c r="H64" s="38"/>
      <c r="I64" s="38"/>
      <c r="J64" s="38"/>
    </row>
    <row r="65">
      <c r="A65" s="39"/>
      <c r="B65" s="41"/>
      <c r="C65" s="110" t="s">
        <v>132</v>
      </c>
      <c r="D65" s="71"/>
      <c r="E65" s="71"/>
      <c r="F65" s="71"/>
      <c r="G65" s="71"/>
      <c r="H65" s="71"/>
      <c r="I65" s="71"/>
      <c r="J65" s="71"/>
    </row>
    <row r="66">
      <c r="A66" s="39"/>
      <c r="B66" s="46" t="s">
        <v>69</v>
      </c>
      <c r="C66" s="72" t="s">
        <v>124</v>
      </c>
      <c r="D66" s="74"/>
      <c r="E66" s="74"/>
      <c r="F66" s="74"/>
      <c r="G66" s="74"/>
      <c r="H66" s="74"/>
      <c r="I66" s="74"/>
      <c r="J66" s="74"/>
    </row>
    <row r="67">
      <c r="A67" s="39"/>
      <c r="B67" s="39"/>
      <c r="C67" s="40" t="s">
        <v>132</v>
      </c>
      <c r="D67" s="38"/>
      <c r="E67" s="38"/>
      <c r="F67" s="38"/>
      <c r="G67" s="38"/>
      <c r="H67" s="38"/>
      <c r="I67" s="38"/>
      <c r="J67" s="38"/>
    </row>
    <row r="68">
      <c r="A68" s="39"/>
      <c r="B68" s="39"/>
      <c r="C68" s="92" t="s">
        <v>153</v>
      </c>
      <c r="D68" s="38"/>
      <c r="E68" s="38"/>
      <c r="F68" s="38"/>
      <c r="G68" s="38"/>
      <c r="H68" s="38"/>
      <c r="I68" s="38"/>
      <c r="J68" s="38"/>
    </row>
    <row r="69">
      <c r="A69" s="39"/>
      <c r="B69" s="39"/>
      <c r="C69" s="77" t="s">
        <v>133</v>
      </c>
      <c r="D69" s="38"/>
      <c r="E69" s="38"/>
      <c r="F69" s="38"/>
      <c r="G69" s="38"/>
      <c r="H69" s="38"/>
      <c r="I69" s="38"/>
      <c r="J69" s="38"/>
    </row>
    <row r="70">
      <c r="A70" s="39"/>
      <c r="B70" s="39"/>
      <c r="C70" s="78" t="s">
        <v>135</v>
      </c>
      <c r="D70" s="38"/>
      <c r="E70" s="38"/>
      <c r="F70" s="38"/>
      <c r="G70" s="38"/>
      <c r="H70" s="38"/>
      <c r="I70" s="38"/>
      <c r="J70" s="38"/>
    </row>
    <row r="71">
      <c r="A71" s="41"/>
      <c r="B71" s="41"/>
      <c r="C71" s="79" t="s">
        <v>138</v>
      </c>
      <c r="D71" s="102"/>
      <c r="E71" s="102"/>
      <c r="F71" s="102"/>
      <c r="G71" s="102"/>
      <c r="H71" s="102"/>
      <c r="I71" s="102"/>
      <c r="J71" s="102"/>
    </row>
    <row r="72">
      <c r="A72" s="80" t="s">
        <v>175</v>
      </c>
      <c r="B72" s="81" t="s">
        <v>64</v>
      </c>
      <c r="C72" s="114" t="s">
        <v>152</v>
      </c>
      <c r="D72" s="84"/>
      <c r="E72" s="84"/>
      <c r="F72" s="84"/>
      <c r="G72" s="84"/>
      <c r="H72" s="84"/>
      <c r="I72" s="84"/>
      <c r="J72" s="84"/>
    </row>
    <row r="73">
      <c r="A73" s="39"/>
      <c r="B73" s="39"/>
      <c r="C73" s="115" t="s">
        <v>177</v>
      </c>
      <c r="D73" s="38"/>
      <c r="E73" s="38"/>
      <c r="F73" s="38"/>
      <c r="G73" s="38"/>
      <c r="H73" s="38"/>
      <c r="I73" s="38"/>
      <c r="J73" s="38"/>
    </row>
    <row r="74">
      <c r="A74" s="39"/>
      <c r="B74" s="39"/>
      <c r="C74" s="116" t="s">
        <v>178</v>
      </c>
      <c r="D74" s="38"/>
      <c r="E74" s="38"/>
      <c r="F74" s="38"/>
      <c r="G74" s="38"/>
      <c r="H74" s="38"/>
      <c r="I74" s="38"/>
      <c r="J74" s="38"/>
    </row>
    <row r="75">
      <c r="A75" s="39"/>
      <c r="B75" s="39"/>
      <c r="C75" s="77" t="s">
        <v>179</v>
      </c>
      <c r="D75" s="38"/>
      <c r="E75" s="38"/>
      <c r="F75" s="38"/>
      <c r="G75" s="38"/>
      <c r="H75" s="38"/>
      <c r="I75" s="38"/>
      <c r="J75" s="38"/>
    </row>
    <row r="76">
      <c r="A76" s="39"/>
      <c r="B76" s="39"/>
      <c r="C76" s="40" t="s">
        <v>132</v>
      </c>
      <c r="D76" s="38"/>
      <c r="E76" s="38"/>
      <c r="F76" s="38"/>
      <c r="G76" s="38"/>
      <c r="H76" s="38"/>
      <c r="I76" s="38"/>
      <c r="J76" s="38"/>
    </row>
    <row r="77">
      <c r="A77" s="39"/>
      <c r="B77" s="41"/>
      <c r="C77" s="95" t="s">
        <v>138</v>
      </c>
      <c r="D77" s="71"/>
      <c r="E77" s="71"/>
      <c r="F77" s="71"/>
      <c r="G77" s="71"/>
      <c r="H77" s="71"/>
      <c r="I77" s="71"/>
      <c r="J77" s="71"/>
    </row>
    <row r="78">
      <c r="A78" s="39"/>
      <c r="B78" s="46" t="s">
        <v>69</v>
      </c>
      <c r="C78" s="72" t="s">
        <v>124</v>
      </c>
      <c r="D78" s="74"/>
      <c r="E78" s="74"/>
      <c r="F78" s="74"/>
      <c r="G78" s="74"/>
      <c r="H78" s="74"/>
      <c r="I78" s="74"/>
      <c r="J78" s="74"/>
    </row>
    <row r="79">
      <c r="A79" s="39"/>
      <c r="B79" s="39"/>
      <c r="C79" s="40" t="s">
        <v>132</v>
      </c>
      <c r="D79" s="38"/>
      <c r="E79" s="38"/>
      <c r="F79" s="38"/>
      <c r="G79" s="38"/>
      <c r="H79" s="38"/>
      <c r="I79" s="38"/>
      <c r="J79" s="38"/>
    </row>
    <row r="80">
      <c r="A80" s="39"/>
      <c r="B80" s="39"/>
      <c r="C80" s="92" t="s">
        <v>153</v>
      </c>
      <c r="D80" s="38"/>
      <c r="E80" s="38"/>
      <c r="F80" s="38"/>
      <c r="G80" s="38"/>
      <c r="H80" s="38"/>
      <c r="I80" s="38"/>
      <c r="J80" s="38"/>
    </row>
    <row r="81">
      <c r="A81" s="39"/>
      <c r="B81" s="39"/>
      <c r="C81" s="77" t="s">
        <v>133</v>
      </c>
      <c r="D81" s="38"/>
      <c r="E81" s="38"/>
      <c r="F81" s="38"/>
      <c r="G81" s="38"/>
      <c r="H81" s="38"/>
      <c r="I81" s="38"/>
      <c r="J81" s="38"/>
    </row>
    <row r="82">
      <c r="A82" s="39"/>
      <c r="B82" s="39"/>
      <c r="C82" s="78" t="s">
        <v>135</v>
      </c>
      <c r="D82" s="38"/>
      <c r="E82" s="38"/>
      <c r="F82" s="38"/>
      <c r="G82" s="38"/>
      <c r="H82" s="38"/>
      <c r="I82" s="38"/>
      <c r="J82" s="38"/>
    </row>
    <row r="83">
      <c r="A83" s="41"/>
      <c r="B83" s="41"/>
      <c r="C83" s="79" t="s">
        <v>138</v>
      </c>
      <c r="D83" s="102"/>
      <c r="E83" s="102"/>
      <c r="F83" s="102"/>
      <c r="G83" s="102"/>
      <c r="H83" s="102"/>
      <c r="I83" s="102"/>
      <c r="J83" s="102"/>
    </row>
    <row r="84">
      <c r="A84" s="119"/>
      <c r="B84" s="120"/>
      <c r="C84" s="121" t="s">
        <v>161</v>
      </c>
    </row>
    <row r="85">
      <c r="A85" s="119"/>
      <c r="B85" s="120"/>
      <c r="C85" s="122" t="s">
        <v>125</v>
      </c>
    </row>
    <row r="86">
      <c r="A86" s="119"/>
      <c r="B86" s="120"/>
      <c r="C86" s="123" t="s">
        <v>150</v>
      </c>
    </row>
    <row r="87">
      <c r="A87" s="119"/>
      <c r="B87" s="120"/>
      <c r="C87" s="124" t="s">
        <v>180</v>
      </c>
    </row>
    <row r="88">
      <c r="A88" s="119"/>
      <c r="B88" s="120"/>
      <c r="C88" s="125" t="s">
        <v>181</v>
      </c>
    </row>
    <row r="89">
      <c r="A89" s="119"/>
      <c r="B89" s="120"/>
      <c r="C89" s="126"/>
    </row>
    <row r="90">
      <c r="A90" s="119"/>
      <c r="B90" s="120"/>
      <c r="C90" s="126"/>
    </row>
  </sheetData>
  <mergeCells count="26">
    <mergeCell ref="B1:C1"/>
    <mergeCell ref="B2:C2"/>
    <mergeCell ref="B3:C3"/>
    <mergeCell ref="B4:C4"/>
    <mergeCell ref="D4:E4"/>
    <mergeCell ref="A7:A23"/>
    <mergeCell ref="B7:B9"/>
    <mergeCell ref="B19:B23"/>
    <mergeCell ref="A40:A49"/>
    <mergeCell ref="A50:A62"/>
    <mergeCell ref="A63:A71"/>
    <mergeCell ref="A72:A83"/>
    <mergeCell ref="B50:B52"/>
    <mergeCell ref="B53:B56"/>
    <mergeCell ref="B57:B62"/>
    <mergeCell ref="B63:B65"/>
    <mergeCell ref="B66:B71"/>
    <mergeCell ref="B72:B77"/>
    <mergeCell ref="B78:B83"/>
    <mergeCell ref="B10:B13"/>
    <mergeCell ref="B14:B18"/>
    <mergeCell ref="A24:A39"/>
    <mergeCell ref="B24:B33"/>
    <mergeCell ref="B34:B39"/>
    <mergeCell ref="B40:B43"/>
    <mergeCell ref="B44:B49"/>
  </mergeCell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5"/>
      <c r="B2" s="6" t="s">
        <v>2</v>
      </c>
      <c r="C2" s="7"/>
      <c r="D2" s="7"/>
      <c r="E2" s="9"/>
      <c r="F2" s="10" t="s">
        <v>4</v>
      </c>
      <c r="G2" s="10" t="s">
        <v>5</v>
      </c>
      <c r="H2" s="10" t="s">
        <v>6</v>
      </c>
      <c r="I2" s="12" t="s">
        <v>7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4"/>
      <c r="AJ2" s="15" t="s">
        <v>18</v>
      </c>
      <c r="AK2" s="7"/>
      <c r="AL2" s="7"/>
      <c r="AM2" s="7"/>
      <c r="AN2" s="7"/>
      <c r="AO2" s="7"/>
      <c r="AP2" s="7"/>
      <c r="AQ2" s="7"/>
      <c r="AR2" s="7"/>
      <c r="AS2" s="7"/>
      <c r="AT2" s="9"/>
      <c r="AU2" s="16" t="s">
        <v>21</v>
      </c>
      <c r="AV2" s="7"/>
      <c r="AW2" s="7"/>
      <c r="AX2" s="7"/>
      <c r="AY2" s="9"/>
      <c r="AZ2" s="17" t="s">
        <v>23</v>
      </c>
      <c r="BA2" s="7"/>
      <c r="BB2" s="9"/>
      <c r="BC2" s="18" t="s">
        <v>25</v>
      </c>
      <c r="BD2" s="9"/>
    </row>
    <row r="3">
      <c r="A3" s="5"/>
      <c r="B3" s="20" t="s">
        <v>27</v>
      </c>
      <c r="C3" s="20" t="s">
        <v>30</v>
      </c>
      <c r="D3" s="20" t="s">
        <v>32</v>
      </c>
      <c r="E3" s="20" t="s">
        <v>33</v>
      </c>
      <c r="F3" s="20" t="s">
        <v>19</v>
      </c>
      <c r="G3" s="20" t="s">
        <v>36</v>
      </c>
      <c r="H3" s="20" t="s">
        <v>37</v>
      </c>
      <c r="I3" s="23" t="s">
        <v>39</v>
      </c>
      <c r="J3" s="7"/>
      <c r="K3" s="7"/>
      <c r="L3" s="7"/>
      <c r="M3" s="9"/>
      <c r="N3" s="25" t="s">
        <v>41</v>
      </c>
      <c r="O3" s="7"/>
      <c r="P3" s="7"/>
      <c r="Q3" s="7"/>
      <c r="R3" s="7"/>
      <c r="S3" s="7"/>
      <c r="T3" s="7"/>
      <c r="U3" s="7"/>
      <c r="V3" s="7"/>
      <c r="W3" s="7"/>
      <c r="X3" s="9"/>
      <c r="Y3" s="27" t="s">
        <v>48</v>
      </c>
      <c r="Z3" s="7"/>
      <c r="AA3" s="7"/>
      <c r="AB3" s="7"/>
      <c r="AC3" s="7"/>
      <c r="AD3" s="7"/>
      <c r="AE3" s="7"/>
      <c r="AF3" s="7"/>
      <c r="AG3" s="7"/>
      <c r="AH3" s="7"/>
      <c r="AI3" s="9"/>
      <c r="AJ3" s="6" t="s">
        <v>54</v>
      </c>
      <c r="AK3" s="7"/>
      <c r="AL3" s="7"/>
      <c r="AM3" s="7"/>
      <c r="AN3" s="7"/>
      <c r="AO3" s="9"/>
      <c r="AP3" s="6" t="s">
        <v>58</v>
      </c>
      <c r="AQ3" s="7"/>
      <c r="AR3" s="7"/>
      <c r="AS3" s="7"/>
      <c r="AT3" s="9"/>
      <c r="AU3" s="29" t="s">
        <v>61</v>
      </c>
      <c r="AV3" s="31" t="s">
        <v>64</v>
      </c>
      <c r="AW3" s="32"/>
      <c r="AX3" s="31" t="s">
        <v>67</v>
      </c>
      <c r="AY3" s="31" t="s">
        <v>69</v>
      </c>
      <c r="AZ3" s="31" t="s">
        <v>61</v>
      </c>
      <c r="BA3" s="31" t="s">
        <v>69</v>
      </c>
      <c r="BB3" s="31" t="s">
        <v>71</v>
      </c>
      <c r="BC3" s="31" t="s">
        <v>73</v>
      </c>
      <c r="BD3" s="31" t="s">
        <v>69</v>
      </c>
    </row>
    <row r="4">
      <c r="A4" s="20" t="s">
        <v>12</v>
      </c>
      <c r="B4" s="36"/>
      <c r="C4" s="36"/>
      <c r="D4" s="36"/>
      <c r="E4" s="36"/>
      <c r="F4" s="36"/>
      <c r="G4" s="36"/>
      <c r="H4" s="36"/>
      <c r="I4" s="20" t="s">
        <v>24</v>
      </c>
      <c r="J4" s="20" t="s">
        <v>26</v>
      </c>
      <c r="K4" s="20" t="s">
        <v>28</v>
      </c>
      <c r="L4" s="10" t="s">
        <v>80</v>
      </c>
      <c r="M4" s="10" t="s">
        <v>69</v>
      </c>
      <c r="N4" s="10" t="s">
        <v>82</v>
      </c>
      <c r="O4" s="10" t="s">
        <v>83</v>
      </c>
      <c r="P4" s="10" t="s">
        <v>80</v>
      </c>
      <c r="Q4" s="10" t="s">
        <v>84</v>
      </c>
      <c r="R4" s="10" t="s">
        <v>69</v>
      </c>
      <c r="S4" s="10" t="s">
        <v>50</v>
      </c>
      <c r="T4" s="10" t="s">
        <v>87</v>
      </c>
      <c r="U4" s="10" t="s">
        <v>80</v>
      </c>
      <c r="V4" s="10" t="s">
        <v>84</v>
      </c>
      <c r="W4" s="10" t="s">
        <v>69</v>
      </c>
      <c r="X4" s="10" t="s">
        <v>50</v>
      </c>
      <c r="Y4" s="10" t="s">
        <v>82</v>
      </c>
      <c r="Z4" s="10" t="s">
        <v>83</v>
      </c>
      <c r="AA4" s="10" t="s">
        <v>91</v>
      </c>
      <c r="AB4" s="10" t="s">
        <v>84</v>
      </c>
      <c r="AC4" s="10" t="s">
        <v>69</v>
      </c>
      <c r="AD4" s="10" t="s">
        <v>50</v>
      </c>
      <c r="AE4" s="10" t="s">
        <v>87</v>
      </c>
      <c r="AF4" s="10" t="s">
        <v>80</v>
      </c>
      <c r="AG4" s="10" t="s">
        <v>84</v>
      </c>
      <c r="AH4" s="10" t="s">
        <v>69</v>
      </c>
      <c r="AI4" s="10" t="s">
        <v>50</v>
      </c>
      <c r="AJ4" s="10" t="s">
        <v>82</v>
      </c>
      <c r="AK4" s="5"/>
      <c r="AL4" s="10" t="s">
        <v>80</v>
      </c>
      <c r="AM4" s="10" t="s">
        <v>84</v>
      </c>
      <c r="AN4" s="10" t="s">
        <v>69</v>
      </c>
      <c r="AO4" s="10" t="s">
        <v>50</v>
      </c>
      <c r="AP4" s="10" t="s">
        <v>82</v>
      </c>
      <c r="AQ4" s="10" t="s">
        <v>80</v>
      </c>
      <c r="AR4" s="10" t="s">
        <v>84</v>
      </c>
      <c r="AS4" s="10" t="s">
        <v>69</v>
      </c>
      <c r="AT4" s="10" t="s">
        <v>50</v>
      </c>
      <c r="AU4" s="96"/>
      <c r="AV4" s="96"/>
      <c r="AW4" s="97" t="s">
        <v>151</v>
      </c>
      <c r="AX4" s="96"/>
      <c r="AY4" s="96"/>
      <c r="AZ4" s="96"/>
      <c r="BA4" s="96"/>
      <c r="BB4" s="96"/>
      <c r="BC4" s="96"/>
      <c r="BD4" s="96"/>
    </row>
    <row r="5">
      <c r="A5" s="96"/>
      <c r="B5" s="96"/>
      <c r="C5" s="96"/>
      <c r="D5" s="96"/>
      <c r="E5" s="96"/>
      <c r="F5" s="96"/>
      <c r="G5" s="99" t="s">
        <v>55</v>
      </c>
      <c r="H5" s="96"/>
      <c r="I5" s="96"/>
      <c r="J5" s="96"/>
      <c r="K5" s="96"/>
      <c r="L5" s="29" t="s">
        <v>55</v>
      </c>
      <c r="M5" s="100"/>
      <c r="N5" s="100"/>
      <c r="O5" s="29" t="s">
        <v>154</v>
      </c>
      <c r="P5" s="29" t="s">
        <v>55</v>
      </c>
      <c r="Q5" s="100"/>
      <c r="R5" s="100"/>
      <c r="S5" s="100"/>
      <c r="T5" s="100"/>
      <c r="U5" s="29" t="s">
        <v>55</v>
      </c>
      <c r="V5" s="100"/>
      <c r="W5" s="100"/>
      <c r="X5" s="100"/>
      <c r="Y5" s="100"/>
      <c r="Z5" s="29" t="s">
        <v>154</v>
      </c>
      <c r="AA5" s="29" t="s">
        <v>55</v>
      </c>
      <c r="AB5" s="100"/>
      <c r="AC5" s="100"/>
      <c r="AD5" s="100"/>
      <c r="AE5" s="100"/>
      <c r="AF5" s="29" t="s">
        <v>55</v>
      </c>
      <c r="AG5" s="100"/>
      <c r="AH5" s="100"/>
      <c r="AI5" s="100"/>
      <c r="AJ5" s="100"/>
      <c r="AK5" s="100"/>
      <c r="AL5" s="29" t="s">
        <v>55</v>
      </c>
      <c r="AM5" s="100"/>
      <c r="AN5" s="100"/>
      <c r="AO5" s="100"/>
      <c r="AP5" s="100"/>
      <c r="AQ5" s="29" t="s">
        <v>55</v>
      </c>
      <c r="AR5" s="100"/>
      <c r="AS5" s="100"/>
      <c r="AT5" s="100"/>
      <c r="AU5" s="100"/>
      <c r="AV5" s="100"/>
      <c r="AW5" s="100"/>
      <c r="AX5" s="29" t="s">
        <v>159</v>
      </c>
      <c r="AY5" s="100"/>
      <c r="AZ5" s="100"/>
      <c r="BA5" s="100"/>
      <c r="BB5" s="100"/>
      <c r="BC5" s="100"/>
      <c r="BD5" s="100"/>
    </row>
    <row r="6">
      <c r="I6" s="107" t="s">
        <v>79</v>
      </c>
      <c r="J6" s="109" t="s">
        <v>108</v>
      </c>
      <c r="K6" s="107" t="s">
        <v>122</v>
      </c>
      <c r="L6" s="107"/>
      <c r="M6" s="107"/>
      <c r="N6" s="107" t="s">
        <v>161</v>
      </c>
      <c r="O6" s="107" t="s">
        <v>163</v>
      </c>
      <c r="P6" s="107"/>
      <c r="Q6" s="107"/>
      <c r="R6" s="107"/>
      <c r="S6" s="107"/>
      <c r="T6" s="107" t="s">
        <v>164</v>
      </c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 t="s">
        <v>166</v>
      </c>
      <c r="AV6" s="107"/>
      <c r="AW6" s="107"/>
      <c r="AX6" s="107"/>
      <c r="AY6" s="107"/>
      <c r="AZ6" s="107"/>
      <c r="BA6" s="107"/>
      <c r="BB6" s="107"/>
      <c r="BC6" s="107"/>
      <c r="BD6" s="107"/>
    </row>
  </sheetData>
  <mergeCells count="31">
    <mergeCell ref="Y3:AI3"/>
    <mergeCell ref="AJ3:AO3"/>
    <mergeCell ref="BA3:BA4"/>
    <mergeCell ref="BB3:BB4"/>
    <mergeCell ref="BC3:BC4"/>
    <mergeCell ref="BD3:BD4"/>
    <mergeCell ref="A4:A5"/>
    <mergeCell ref="I4:I5"/>
    <mergeCell ref="J4:J5"/>
    <mergeCell ref="K4:K5"/>
    <mergeCell ref="B2:E2"/>
    <mergeCell ref="I2:X2"/>
    <mergeCell ref="AJ2:AT2"/>
    <mergeCell ref="AU2:AY2"/>
    <mergeCell ref="AZ2:BB2"/>
    <mergeCell ref="BC2:BD2"/>
    <mergeCell ref="B3:B5"/>
    <mergeCell ref="C3:C5"/>
    <mergeCell ref="D3:D5"/>
    <mergeCell ref="E3:E5"/>
    <mergeCell ref="F3:F5"/>
    <mergeCell ref="G3:G4"/>
    <mergeCell ref="H3:H5"/>
    <mergeCell ref="I3:M3"/>
    <mergeCell ref="N3:X3"/>
    <mergeCell ref="AP3:AT3"/>
    <mergeCell ref="AU3:AU4"/>
    <mergeCell ref="AV3:AV4"/>
    <mergeCell ref="AX3:AX4"/>
    <mergeCell ref="AY3:AY4"/>
    <mergeCell ref="AZ3:AZ4"/>
  </mergeCells>
  <dataValidations>
    <dataValidation type="list" allowBlank="1" showErrorMessage="1" sqref="O6 T6 Z6 AE6">
      <formula1>"Divider (Concrete),Divider (Planter),Pavement,Pavement (Elevated),Pevement Ramp (Elevated),Bund,Planterbox (Curb),N/A"</formula1>
    </dataValidation>
    <dataValidation type="list" allowBlank="1" showErrorMessage="1" sqref="AK6">
      <formula1>"FFL Gutter,Elevated Gutter,No Gutter,Required"</formula1>
    </dataValidation>
    <dataValidation type="list" allowBlank="1" showErrorMessage="1" sqref="Y6">
      <formula1>"South,West"</formula1>
    </dataValidation>
    <dataValidation type="list" allowBlank="1" showErrorMessage="1" sqref="M6 R6 W6 AC6 AH6 AN6 AS6 AY6">
      <formula1>"Good,Required,Outdated,Maintiance ,N/A,Additional Required"</formula1>
    </dataValidation>
    <dataValidation type="list" allowBlank="1" showErrorMessage="1" sqref="J6">
      <formula1>"Comercial,Residential,Main Rd,R-Conservency"</formula1>
    </dataValidation>
    <dataValidation type="list" allowBlank="1" showErrorMessage="1" sqref="BC6">
      <formula1>"LED- Pole,LED- LT Line,Solar,Sodium,Required,NA"</formula1>
    </dataValidation>
    <dataValidation type="list" allowBlank="1" showErrorMessage="1" sqref="K6">
      <formula1>"Concrete,Tar,Mud,Gravell"</formula1>
    </dataValidation>
    <dataValidation type="list" allowBlank="1" showErrorMessage="1" sqref="I6">
      <formula1>"Yes,No,Damaged"</formula1>
    </dataValidation>
    <dataValidation type="list" allowBlank="1" showErrorMessage="1" sqref="N6 AJ6">
      <formula1>"North,East"</formula1>
    </dataValidation>
    <dataValidation type="list" allowBlank="1" showErrorMessage="1" sqref="AU6">
      <formula1>"YES,NO"</formula1>
    </dataValidation>
    <dataValidation type="list" allowBlank="1" showErrorMessage="1" sqref="AV6">
      <formula1>"Concrete,PVC,Stone"</formula1>
    </dataValidation>
  </dataValidations>
  <drawing r:id="rId1"/>
</worksheet>
</file>