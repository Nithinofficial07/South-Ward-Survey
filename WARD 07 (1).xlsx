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tc={05553ea3-e2b5-4b52-9c8a-800e70cdec73}</author>
    <author>tc={28bcc23a-8618-476c-93d2-fe9c515d107e}</author>
    <author>tc={390bafb9-1e06-49d7-b4a8-98238f037ac4}</author>
    <author>tc={4cea4cee-5e71-4867-8867-707052f7f6d9}</author>
    <author>tc={4fbad300-7944-4ff9-99e6-e8f74632496c}</author>
    <author>tc={647d0e30-a102-4d4b-8921-927d4731797a}</author>
    <author>tc={74b3ddff-cee3-45d3-afd8-0941a2027a1e}</author>
    <author>tc={80a6744c-4cda-4a9c-9b01-747349bc69f0}</author>
    <author>tc={89807c0e-4478-4de3-9dca-483ebf8be06e}</author>
    <author>tc={a3176044-654c-4ea2-8f32-bdf6410f842f}</author>
    <author>tc={aa54dd72-ce44-462f-bba5-a4db23f82c6e}</author>
    <author>tc={acd7279a-518f-4ea3-9fa0-30797d656f60}</author>
    <author>tc={b245d656-b5de-43ee-8d0e-95ee7c739cc1}</author>
    <author>tc={bad6d279-6fcf-4fa9-b32b-59d4d0acea40}</author>
    <author>tc={bfad5fc2-2367-4e0d-a0d1-62f2fab92234}</author>
    <author>tc={c223c2d2-3ec6-4fc4-869e-2e56d27081c1}</author>
    <author>tc={d6385c83-73ad-488b-a2cb-3672e322ac65}</author>
    <author>tc={d71e6aeb-dd4b-46de-abc7-546de8b0559c}</author>
    <author>tc={dbfb23db-23f4-4e3b-a149-4b223a6de0a9}</author>
    <author>tc={f50c8dab-6f5f-4c96-a2f0-1a0d4e3bcf5f}</author>
    <author>tc={f6248465-911e-4729-848f-a638ee6f2ffc}</author>
    <author>tc={ffdd0e1d-d6f9-4df2-9cd5-36e903bfa4cb}</author>
  </authors>
  <commentList>
    <comment authorId="0" xr:uid="{05553ea3-e2b5-4b52-9c8a-800e70cdec73}" ref="A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required you have to mention as exposed soil/ damaged. and width is necessary
</t>
      </text>
    </comment>
    <comment authorId="1" xr:uid="{28bcc23a-8618-476c-93d2-fe9c515d107e}" ref="N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Correction: Road condition is left blank. Do not leave anything blank, mention 'n/a' if there are no comments
</t>
      </text>
    </comment>
    <comment authorId="2" xr:uid="{390bafb9-1e06-49d7-b4a8-98238f037ac4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change all of the bunds to exposed soil.
</t>
      </text>
    </comment>
    <comment authorId="3" xr:uid="{4cea4cee-5e71-4867-8867-707052f7f6d9}" ref="T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this mean? if footpath is not required, then I am guessing that it is road &amp; SWG. If that is the case just make it N/A
</t>
      </text>
    </comment>
    <comment authorId="4" xr:uid="{4fbad300-7944-4ff9-99e6-e8f74632496c}" ref="P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Footpath is required, therefore 'Attachment Type 1' should be 'Exposed soil'
</t>
      </text>
    </comment>
    <comment authorId="5" xr:uid="{647d0e30-a102-4d4b-8921-927d4731797a}" ref="AO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it is required, you must give me 'm' if not I have to resurvey this data set. Human error.
</t>
      </text>
    </comment>
    <comment authorId="6" xr:uid="{74b3ddff-cee3-45d3-afd8-0941a2027a1e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by bund I mean a ramp not soil. this should basically be no pavement. that is an option.
</t>
      </text>
    </comment>
    <comment authorId="7" xr:uid="{80a6744c-4cda-4a9c-9b01-747349bc69f0}" ref="Q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pavers &amp; blank mean. If it is n/a then make it n/a
</t>
      </text>
    </comment>
    <comment authorId="8" xr:uid="{89807c0e-4478-4de3-9dca-483ebf8be06e}" ref="A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another option of "Open gutter (slab req)"
</t>
      </text>
    </comment>
    <comment authorId="9" xr:uid="{a3176044-654c-4ea2-8f32-bdf6410f842f}" ref="Q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There is no 'N/A' for Attachment wight. Do not confuse alphabetical &amp; numerical data, data processing becomes impossible. So if it is a '0' add a '0'
</t>
      </text>
    </comment>
    <comment authorId="10" xr:uid="{aa54dd72-ce44-462f-bba5-a4db23f82c6e}" ref="P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cannot be n/a and soil exposed in comments. It needs to be coil exposed under attachment type 1.
</t>
      </text>
    </comment>
    <comment authorId="11" xr:uid="{acd7279a-518f-4ea3-9fa0-30797d656f60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Bund should actually be pavement required. Bund means like a ramp of soil similar to how near the highway
</t>
      </text>
    </comment>
    <comment authorId="12" xr:uid="{b245d656-b5de-43ee-8d0e-95ee7c739cc1}" ref="M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Correction: Unnecessary, roundup significant numbers to 2 decimal places.
</t>
      </text>
    </comment>
    <comment authorId="13" xr:uid="{bad6d279-6fcf-4fa9-b32b-59d4d0acea40}" ref="A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Pavers required. But you have not mentioned the width in m, therefore I will have to send someone agin to collect this data. Always fill, in no comment then fill either 'n/a' or '0'
</t>
      </text>
    </comment>
    <comment authorId="14" xr:uid="{bfad5fc2-2367-4e0d-a0d1-62f2fab92234}" ref="T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very well done, 'N/A and comment of "end to end concrete.' gives clarity. GOOD!
</t>
      </text>
    </comment>
    <comment authorId="15" xr:uid="{c223c2d2-3ec6-4fc4-869e-2e56d27081c1}" ref="AE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Without attachment width mentioned I cannot entertain the possibility for a footpath.
</t>
      </text>
    </comment>
    <comment authorId="16" xr:uid="{d6385c83-73ad-488b-a2cb-3672e322ac65}" ref="U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this that is 0.2m
</t>
      </text>
    </comment>
    <comment authorId="17" xr:uid="{d71e6aeb-dd4b-46de-abc7-546de8b0559c}" ref="AY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Significant Figures only
</t>
      </text>
    </comment>
    <comment authorId="18" xr:uid="{dbfb23db-23f4-4e3b-a149-4b223a6de0a9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Nithin: SWG type, option is not there for S/W side is it assumed that the same type is there in the north. IF SO, I assume that a few roads have SWG only on 1 side. That might be a problem. Need to discuss this point.
</t>
      </text>
    </comment>
    <comment authorId="19" xr:uid="{f50c8dab-6f5f-4c96-a2f0-1a0d4e3bcf5f}" ref="A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It cannot be na if footpath is required.
</t>
      </text>
    </comment>
    <comment authorId="20" xr:uid="{f6248465-911e-4729-848f-a638ee6f2ffc}" ref="P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Correction: Foot path is required, therefore 'Attachment Type 1' should be 'exposed soil'
</t>
      </text>
    </comment>
    <comment authorId="21" xr:uid="{ffdd0e1d-d6f9-4df2-9cd5-36e903bfa4cb}" ref="A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SWG Type necessary for other side also. i.e this column is in N/E side only and S/W side also required column of 'SWG' type.
</t>
      </text>
    </comment>
  </commentList>
</comments>
</file>

<file path=xl/sharedStrings.xml><?xml version="1.0" encoding="utf-8"?>
<sst xmlns="http://schemas.openxmlformats.org/spreadsheetml/2006/main" count="3690" uniqueCount="435">
  <si>
    <t>ROAD SURVEY — DVG SOUTH CONSTITUENCY — WARD NO. 11</t>
  </si>
  <si>
    <t>#</t>
  </si>
  <si>
    <t>Timestamp</t>
  </si>
  <si>
    <t>Email address</t>
  </si>
  <si>
    <t>Surveyor Name</t>
  </si>
  <si>
    <t>Road Name (Main)</t>
  </si>
  <si>
    <t>Road Name (Cross)</t>
  </si>
  <si>
    <t>Area Name</t>
  </si>
  <si>
    <t>Dist. (m)</t>
  </si>
  <si>
    <t>Location (Google Maps link)</t>
  </si>
  <si>
    <t>I.</t>
  </si>
  <si>
    <t>Road Sign</t>
  </si>
  <si>
    <t>Use</t>
  </si>
  <si>
    <t>II.</t>
  </si>
  <si>
    <t>III.</t>
  </si>
  <si>
    <t>Material</t>
  </si>
  <si>
    <t>IV.</t>
  </si>
  <si>
    <t>V.. ROAD ONLY</t>
  </si>
  <si>
    <t>Width (m)</t>
  </si>
  <si>
    <t>Road Condition</t>
  </si>
  <si>
    <t>Side (N/E)</t>
  </si>
  <si>
    <t>Attachment 1 Type</t>
  </si>
  <si>
    <t>Attachment 1 Width (m)</t>
  </si>
  <si>
    <t>Attachment 1 Dated</t>
  </si>
  <si>
    <t>Attachment 1 Condition</t>
  </si>
  <si>
    <t>Attachment 1 Notes</t>
  </si>
  <si>
    <t>Attachment 2 Type</t>
  </si>
  <si>
    <t>Attachment 2 Width (m)</t>
  </si>
  <si>
    <t>Attachment 2 Dated</t>
  </si>
  <si>
    <t>Attachment 2 Condition</t>
  </si>
  <si>
    <t>Attachment 2 Notes</t>
  </si>
  <si>
    <t>VI. STORM WATER GUTTER</t>
  </si>
  <si>
    <t>Side (S/W)</t>
  </si>
  <si>
    <t>Attachment 1 Type (S/W)</t>
  </si>
  <si>
    <t>Attachment 1 Width (m) (S/W)</t>
  </si>
  <si>
    <t>Attachment 1 Dated (S/W)</t>
  </si>
  <si>
    <t>VII. UNDERGROUND DRAINAGE</t>
  </si>
  <si>
    <t>Attachment 1 Condition (S/W)</t>
  </si>
  <si>
    <t>Attachment 1 Notes (S/W)</t>
  </si>
  <si>
    <t>VIIII. JALASIRI</t>
  </si>
  <si>
    <t>Attachment 2 Type (S/W)</t>
  </si>
  <si>
    <t>IX. ELECTRICAL</t>
  </si>
  <si>
    <t>Attachment 2 Width (m) (S/W)</t>
  </si>
  <si>
    <t>Attachment 2 Dated (S/W)</t>
  </si>
  <si>
    <t>Road Name</t>
  </si>
  <si>
    <t>Attachment 2 Condition (S/W)</t>
  </si>
  <si>
    <t>Volunteer</t>
  </si>
  <si>
    <t>Attachment 2 Notes (S/W)</t>
  </si>
  <si>
    <t>Main</t>
  </si>
  <si>
    <t>SWG Side (N/E)</t>
  </si>
  <si>
    <t>Cross</t>
  </si>
  <si>
    <t>SWG Type (N/E)</t>
  </si>
  <si>
    <t>SWG Width (m) (N/E)</t>
  </si>
  <si>
    <t>Dist.</t>
  </si>
  <si>
    <t>SWG Dated (N/E)</t>
  </si>
  <si>
    <t>Loc</t>
  </si>
  <si>
    <t>SWG Condition (N/E)</t>
  </si>
  <si>
    <t>ROAD</t>
  </si>
  <si>
    <t>SWG Notes (N/E)</t>
  </si>
  <si>
    <t>SWG Side (S/W)</t>
  </si>
  <si>
    <t>SWG Width (m) (S/W)</t>
  </si>
  <si>
    <t>SWG Dated (S/W)</t>
  </si>
  <si>
    <t>Attachement (N/E)</t>
  </si>
  <si>
    <t>SWG Condition (S/W)</t>
  </si>
  <si>
    <t>SWG Notes (S/W)</t>
  </si>
  <si>
    <t>UGD Existing</t>
  </si>
  <si>
    <t>Attachement (S/W)</t>
  </si>
  <si>
    <t>UGD Type</t>
  </si>
  <si>
    <t>UGD Date</t>
  </si>
  <si>
    <t>UGD Pipe Dia (mm)</t>
  </si>
  <si>
    <t>(N/E)</t>
  </si>
  <si>
    <t>UGD Condition</t>
  </si>
  <si>
    <t>Jalasiri Existing</t>
  </si>
  <si>
    <t xml:space="preserve"> (S/W)</t>
  </si>
  <si>
    <t>Jalasiri Condition</t>
  </si>
  <si>
    <t>Jalasiri Note</t>
  </si>
  <si>
    <t>Existing</t>
  </si>
  <si>
    <t>Light Type</t>
  </si>
  <si>
    <t>Electrical Condition</t>
  </si>
  <si>
    <t>Type</t>
  </si>
  <si>
    <t>Road Notes</t>
  </si>
  <si>
    <t>Electrical Notes</t>
  </si>
  <si>
    <t>Pipe Dia</t>
  </si>
  <si>
    <t>Pavers costing</t>
  </si>
  <si>
    <t>Condition</t>
  </si>
  <si>
    <t>Road Gravel</t>
  </si>
  <si>
    <t>Note</t>
  </si>
  <si>
    <t>lathanlatha514@gmail.com</t>
  </si>
  <si>
    <t>Latha .N</t>
  </si>
  <si>
    <t>2nd main</t>
  </si>
  <si>
    <t xml:space="preserve">2nd cross </t>
  </si>
  <si>
    <t>Width</t>
  </si>
  <si>
    <t>Jallinagara</t>
  </si>
  <si>
    <t>Side</t>
  </si>
  <si>
    <t>Attachment 1</t>
  </si>
  <si>
    <t>Dated</t>
  </si>
  <si>
    <t xml:space="preserve">Jallinagara 2nd main 2nd cross , pavan medical </t>
  </si>
  <si>
    <t>Notes</t>
  </si>
  <si>
    <t>Attachment 2</t>
  </si>
  <si>
    <t>Yes</t>
  </si>
  <si>
    <t>length*Width</t>
  </si>
  <si>
    <t>Residential</t>
  </si>
  <si>
    <t>Concrete</t>
  </si>
  <si>
    <t>Good</t>
  </si>
  <si>
    <t>East</t>
  </si>
  <si>
    <t>Pavers</t>
  </si>
  <si>
    <t>Date</t>
  </si>
  <si>
    <t>--</t>
  </si>
  <si>
    <t>m</t>
  </si>
  <si>
    <t>na</t>
  </si>
  <si>
    <t>x</t>
  </si>
  <si>
    <t>West</t>
  </si>
  <si>
    <t>mm</t>
  </si>
  <si>
    <t>No</t>
  </si>
  <si>
    <t>Comercial</t>
  </si>
  <si>
    <t>FFL Gutter</t>
  </si>
  <si>
    <t>0.2 m dia pipe drain</t>
  </si>
  <si>
    <t>North</t>
  </si>
  <si>
    <t>Pavers (Elevated)</t>
  </si>
  <si>
    <t>Pipe drain</t>
  </si>
  <si>
    <t>UPVC</t>
  </si>
  <si>
    <t>YES</t>
  </si>
  <si>
    <t>LED- Pole</t>
  </si>
  <si>
    <t>abhiudd@gmail.com</t>
  </si>
  <si>
    <t xml:space="preserve">Abhishek </t>
  </si>
  <si>
    <t>2nd Main</t>
  </si>
  <si>
    <t>3rd Cross</t>
  </si>
  <si>
    <t>Jaali Nagar</t>
  </si>
  <si>
    <t>Jaali Nagar 2nd Main 3rd Cross,beside Renuka Yellamma temple ATM</t>
  </si>
  <si>
    <t>Edges are filled with silt that is to be removed for passing of storm water into the drain</t>
  </si>
  <si>
    <t>Elevated Gutter</t>
  </si>
  <si>
    <t xml:space="preserve">Covered slab </t>
  </si>
  <si>
    <t>Latha.N</t>
  </si>
  <si>
    <t>3rd cross</t>
  </si>
  <si>
    <t>Yalamma devi temple back side</t>
  </si>
  <si>
    <t xml:space="preserve">It's in good condition </t>
  </si>
  <si>
    <t>South</t>
  </si>
  <si>
    <t xml:space="preserve">Pipe drain </t>
  </si>
  <si>
    <t>2 main</t>
  </si>
  <si>
    <t>4th cross</t>
  </si>
  <si>
    <t>Jalinagara</t>
  </si>
  <si>
    <t>https://maps.app.goo.gl/RLMAax95uBUQxgAq9?g_st=ac</t>
  </si>
  <si>
    <t xml:space="preserve">After 300m  road, footpath required </t>
  </si>
  <si>
    <t>Required</t>
  </si>
  <si>
    <t xml:space="preserve">After 300m road, Footpath required </t>
  </si>
  <si>
    <t>??</t>
  </si>
  <si>
    <t>5th cross</t>
  </si>
  <si>
    <t>https://maps.app.goo.gl/cijMg5JNdrkksHyQ6</t>
  </si>
  <si>
    <t xml:space="preserve">Footpath required </t>
  </si>
  <si>
    <t xml:space="preserve">Drain required </t>
  </si>
  <si>
    <t>6th cross</t>
  </si>
  <si>
    <t xml:space="preserve">Jalinagara </t>
  </si>
  <si>
    <t>Exposed Soil</t>
  </si>
  <si>
    <t>Maintenance</t>
  </si>
  <si>
    <t xml:space="preserve">Drain water not flowing </t>
  </si>
  <si>
    <t>suhasluckysuhaslucky1125@gmail.com</t>
  </si>
  <si>
    <t>Suhas.D</t>
  </si>
  <si>
    <t>2nd main jnanabharati school road</t>
  </si>
  <si>
    <t>Cross between 2nd and 3rd cross</t>
  </si>
  <si>
    <t>Jalinagar</t>
  </si>
  <si>
    <t>https://maps.app.goo.gl/KMAyMwf2YxJobwwy6?g_st=ac</t>
  </si>
  <si>
    <t xml:space="preserve">Mud road exiated.Pavers required </t>
  </si>
  <si>
    <t>Mud shoulder existed.Pavers required</t>
  </si>
  <si>
    <t>Jalinagra</t>
  </si>
  <si>
    <t>https://maps.apple/p/At0KL_J.TB8dLo</t>
  </si>
  <si>
    <t>Main Rd</t>
  </si>
  <si>
    <t xml:space="preserve">Covered with slabs </t>
  </si>
  <si>
    <t/>
  </si>
  <si>
    <t>2nd A cross</t>
  </si>
  <si>
    <t>https://maps.app.goo.gl/xKkLPfEG6aPdjLo79</t>
  </si>
  <si>
    <t xml:space="preserve">Drain covers are not provided, sewage water not flowing </t>
  </si>
  <si>
    <t xml:space="preserve">Drains are not covered, sewage water not flowing </t>
  </si>
  <si>
    <t>1st A</t>
  </si>
  <si>
    <t>https://maps.app.goo.gl/LGsqRqdAasHecJCL6?g_st=ac</t>
  </si>
  <si>
    <t>1st main</t>
  </si>
  <si>
    <t>5Bth cross</t>
  </si>
  <si>
    <t>https://maps.app.goo.gl/F9ihxc48Wqu8Ajuw8</t>
  </si>
  <si>
    <t xml:space="preserve">1st cross </t>
  </si>
  <si>
    <t>https://maps.app.goo.gl/TZHHPUWNhjTVUU3h6?g_st=ac</t>
  </si>
  <si>
    <t xml:space="preserve">Good condition </t>
  </si>
  <si>
    <t>sssoumya65@gmail.com</t>
  </si>
  <si>
    <t>Soumya s s</t>
  </si>
  <si>
    <t xml:space="preserve">1st main </t>
  </si>
  <si>
    <t>https://maps.app.goo.gl/HUbJ9EAsDfwGhZpDA</t>
  </si>
  <si>
    <t>Mud shoulder existed.Pavers foot path required</t>
  </si>
  <si>
    <t>Mud shoulder existed Pavers footpath required</t>
  </si>
  <si>
    <t>Old drain existed and silted.new drain with with cover slab required</t>
  </si>
  <si>
    <t>Old drain existed new drain required with covering slab</t>
  </si>
  <si>
    <t>Solar</t>
  </si>
  <si>
    <t>https://maps.app.goo.gl/GsKqif2Kj7VPqpmo9</t>
  </si>
  <si>
    <t>n/a</t>
  </si>
  <si>
    <t>No Gutter</t>
  </si>
  <si>
    <t>https://maps.app.goo.gl/frJ7v5KWf6tiW8sLA</t>
  </si>
  <si>
    <t>Drain required</t>
  </si>
  <si>
    <t>In B/w Government Urdu school and Jnana Bharathi convent</t>
  </si>
  <si>
    <t>https://maps.app.goo.gl/1VTCFnNki58cpZUk7</t>
  </si>
  <si>
    <t xml:space="preserve">Mud shoulder existed so Pavers foot path required
</t>
  </si>
  <si>
    <t>Mud shoulder existed and so Pavers foot path required</t>
  </si>
  <si>
    <t>Existing drain not in good condition hence new drain required</t>
  </si>
  <si>
    <t xml:space="preserve">Existing drain not in good condition and hence new drain required </t>
  </si>
  <si>
    <t>N/A</t>
  </si>
  <si>
    <t>1st cross</t>
  </si>
  <si>
    <t>Old jalinagar</t>
  </si>
  <si>
    <t>https://maps.app.goo.gl/Xy4pxByKu4tyAM9r7?g_st=ac</t>
  </si>
  <si>
    <t>Pavers required connect to road</t>
  </si>
  <si>
    <t>Concrete connected to road</t>
  </si>
  <si>
    <t>LED- LT Line</t>
  </si>
  <si>
    <t>Old jalinagara</t>
  </si>
  <si>
    <t>https://maps.app.goo.gl/x7YyipcuL4mpNRF1A</t>
  </si>
  <si>
    <t>Earthen shoulder existed</t>
  </si>
  <si>
    <t>Divider (Concrete)</t>
  </si>
  <si>
    <t>Road directly connected to drain.Pavers not required</t>
  </si>
  <si>
    <t>Covered with slab</t>
  </si>
  <si>
    <t xml:space="preserve">Covered with concrete </t>
  </si>
  <si>
    <t>2nd cross</t>
  </si>
  <si>
    <t>https://maps.app.goo.gl/JqWXaTdcAv8z587NA?g_st=ac</t>
  </si>
  <si>
    <t>Bund connected to road</t>
  </si>
  <si>
    <t>Soumya .s.s</t>
  </si>
  <si>
    <t xml:space="preserve">Old jalinagara </t>
  </si>
  <si>
    <t>https://maps.app.goo.gl/2AYAjRSM4kDyUpJV9</t>
  </si>
  <si>
    <t xml:space="preserve">Pavers required </t>
  </si>
  <si>
    <t>Soumya</t>
  </si>
  <si>
    <t>https://maps.app.goo.gl/hidc7tuj4K2YFunv6</t>
  </si>
  <si>
    <t>Pavers required attached to concrete</t>
  </si>
  <si>
    <t>Attached to road Pavers required</t>
  </si>
  <si>
    <t xml:space="preserve">Jalasi pipe line done but no water supply </t>
  </si>
  <si>
    <t>https://maps.app.goo.gl/iE7jUjuRjgkX7sED7</t>
  </si>
  <si>
    <t>Required attached road</t>
  </si>
  <si>
    <t>Jalasiri pipeline done but no water supply</t>
  </si>
  <si>
    <t xml:space="preserve">Soumya </t>
  </si>
  <si>
    <t xml:space="preserve">6th cross </t>
  </si>
  <si>
    <t>https://maps.app.goo.gl/DNUkLroh5oNrMxZT9?g_st=ac</t>
  </si>
  <si>
    <t xml:space="preserve">South jalasiri pipeline done but no water supply,on North no jalasiri pipeline </t>
  </si>
  <si>
    <t>Outdated</t>
  </si>
  <si>
    <t xml:space="preserve">EWS colony </t>
  </si>
  <si>
    <t>https://maps.app.goo.gl/vtM7bYEmLB5KVjF6A</t>
  </si>
  <si>
    <t xml:space="preserve">There is no footpath </t>
  </si>
  <si>
    <t>There is no footpath</t>
  </si>
  <si>
    <t xml:space="preserve">Existing drain required </t>
  </si>
  <si>
    <t>7th cross</t>
  </si>
  <si>
    <t>https://maps.app.goo.gl/nsBXDBq1mLLUvAse9?g_st=ac</t>
  </si>
  <si>
    <t>There is no drain</t>
  </si>
  <si>
    <t>https://maps.app.goo.gl/ENqzHXioTYKFCdGn7?g_st=ac</t>
  </si>
  <si>
    <t xml:space="preserve">Footpath are not required </t>
  </si>
  <si>
    <t xml:space="preserve">Drain are not provided </t>
  </si>
  <si>
    <t>Main road</t>
  </si>
  <si>
    <t>https://maps.app.goo.gl/Y3eum7zrkaS8r6x5A?g_st=aw</t>
  </si>
  <si>
    <t>https://maps.app.goo.gl/6zdHvqHTTC6PdHED8?g_st=aw</t>
  </si>
  <si>
    <t>Drains required</t>
  </si>
  <si>
    <t xml:space="preserve">Drains required </t>
  </si>
  <si>
    <t>PVC</t>
  </si>
  <si>
    <t>https://maps.app.goo.gl/cijMg5JNdrkksHyQ7</t>
  </si>
  <si>
    <t>https://maps.app.goo.gl/wmtEtw2BjTPyztSPA?g_st=aw</t>
  </si>
  <si>
    <t>1/2/2022</t>
  </si>
  <si>
    <t>1st</t>
  </si>
  <si>
    <t xml:space="preserve">5th </t>
  </si>
  <si>
    <t xml:space="preserve">E.W.S. colony </t>
  </si>
  <si>
    <t>https://maps.app.goo.gl/QPKQ2kF6icQFmwRr5?g_st=ac</t>
  </si>
  <si>
    <t xml:space="preserve">Footpaths are required </t>
  </si>
  <si>
    <t>16/09/2022</t>
  </si>
  <si>
    <t xml:space="preserve">Drains are not visible </t>
  </si>
  <si>
    <t>16/09/2024</t>
  </si>
  <si>
    <t>E1st main</t>
  </si>
  <si>
    <t>https://maps.app.goo.gl/e7Svbky2h5MNabTJ8?g_st=aw</t>
  </si>
  <si>
    <t xml:space="preserve">Foot path required </t>
  </si>
  <si>
    <t xml:space="preserve">Sewage required </t>
  </si>
  <si>
    <t>1/4/2022</t>
  </si>
  <si>
    <t>4th</t>
  </si>
  <si>
    <t xml:space="preserve">E.W.S. COLONY </t>
  </si>
  <si>
    <t>https://maps.app.goo.gl/iqudbHQGQ3soezmx6</t>
  </si>
  <si>
    <t xml:space="preserve">Footpath are required </t>
  </si>
  <si>
    <t xml:space="preserve">Drains are required </t>
  </si>
  <si>
    <t xml:space="preserve">Footpath are not provided </t>
  </si>
  <si>
    <t>16/9/2022</t>
  </si>
  <si>
    <t>https://maps.app.goo.gl/74bx3Lc5zqGwH76F6?g_st=aw</t>
  </si>
  <si>
    <t xml:space="preserve">Footpath  not required </t>
  </si>
  <si>
    <t xml:space="preserve">Footpath not required </t>
  </si>
  <si>
    <t xml:space="preserve">Drain is not required </t>
  </si>
  <si>
    <t>4/6/2023</t>
  </si>
  <si>
    <t>3rd</t>
  </si>
  <si>
    <t xml:space="preserve">E.W.S COLONY </t>
  </si>
  <si>
    <t>https://maps.app.goo.gl/ffkn7h9f2URtaB777?g_st=ac</t>
  </si>
  <si>
    <t xml:space="preserve">Footpath path are not provided </t>
  </si>
  <si>
    <t>https://maps.app.goo.gl/S3NuHu8Xzh6gb4vd7?g_st=aw</t>
  </si>
  <si>
    <t xml:space="preserve">Footpath is not required </t>
  </si>
  <si>
    <t xml:space="preserve">Drain is required </t>
  </si>
  <si>
    <t xml:space="preserve">2nd </t>
  </si>
  <si>
    <t>E W.S.COLONY</t>
  </si>
  <si>
    <t>https://maps.app.goo.gl/5eaBUHTvpugiJXPQ8?g_st=ac</t>
  </si>
  <si>
    <t>Additional Required</t>
  </si>
  <si>
    <t>https://maps.app.goo.gl/CUR7dDASWGwbxQnt8?g_st=aw</t>
  </si>
  <si>
    <t xml:space="preserve">1st </t>
  </si>
  <si>
    <t>Devaraj badavane</t>
  </si>
  <si>
    <t>https://maps.app.goo.gl/aLLMfMnsUc8hHTGZ9?g_st=ac</t>
  </si>
  <si>
    <t>Damaged</t>
  </si>
  <si>
    <t>Devaraj URS badavane</t>
  </si>
  <si>
    <t>https://maps.app.goo.gl/rWS4Zq1itzYhJRgg9?g_st=aw</t>
  </si>
  <si>
    <t>Devaraj Urs badavane</t>
  </si>
  <si>
    <t>https://maps.app.goo.gl/HmLwVvsELD3nzxDbA?g_st=ac</t>
  </si>
  <si>
    <t>Pevement Ramp (Elevated)</t>
  </si>
  <si>
    <t>Footpath are required but make building owner are provided a slop</t>
  </si>
  <si>
    <t xml:space="preserve">  Devaraj URS badavane</t>
  </si>
  <si>
    <t>https://maps.app.goo.gl/wB4CosKugR7DCzGg9?g_st=aw</t>
  </si>
  <si>
    <t>Gutter(no Slab)</t>
  </si>
  <si>
    <t xml:space="preserve">Slabs are not provided </t>
  </si>
  <si>
    <t>Devaraj Urs Badavane</t>
  </si>
  <si>
    <t>https://maps.app.goo.gl/1xgWZR4kS17hWZ6y9</t>
  </si>
  <si>
    <t>Footpath are required but building they provided slop</t>
  </si>
  <si>
    <t xml:space="preserve">Devaraj URS badavane </t>
  </si>
  <si>
    <t>https://maps.app.goo.gl/EjXumz3qg2nRycUd8?g_st=aw</t>
  </si>
  <si>
    <t xml:space="preserve">Provided </t>
  </si>
  <si>
    <t xml:space="preserve">Required </t>
  </si>
  <si>
    <t>9th cross</t>
  </si>
  <si>
    <t>https://maps.app.goo.gl/zk5zF6Dz8wtCWzQm8?g_st=aw</t>
  </si>
  <si>
    <t>8th</t>
  </si>
  <si>
    <t>https://maps.app.goo.gl/XyLcbpeYmfS2M6qe6?g_st=ac</t>
  </si>
  <si>
    <t xml:space="preserve">Drains water not flowing </t>
  </si>
  <si>
    <t>Maintiance</t>
  </si>
  <si>
    <t>Drains water not flowing filled with waste</t>
  </si>
  <si>
    <t>11th cross</t>
  </si>
  <si>
    <t>https://maps.app.goo.gl/7VGSiHetUzQpa2NE7?g_st=aw</t>
  </si>
  <si>
    <t xml:space="preserve">Infont of home they put concrete </t>
  </si>
  <si>
    <t xml:space="preserve">Infront of home they put concrete </t>
  </si>
  <si>
    <t>10th</t>
  </si>
  <si>
    <t>https://maps.app.goo.gl/c3J4VxnByEVCbDYRA?g_st=ac</t>
  </si>
  <si>
    <t>12 cross</t>
  </si>
  <si>
    <t>https://maps.app.goo.gl/iKbzPPNy4A963xX26?g_st=aw</t>
  </si>
  <si>
    <t xml:space="preserve">Infront of home they put concert </t>
  </si>
  <si>
    <t xml:space="preserve">Devaraj Urs badavane </t>
  </si>
  <si>
    <t>https://maps.app.goo.gl/TnKQiRzX7U4sHKUB7</t>
  </si>
  <si>
    <t>No cross</t>
  </si>
  <si>
    <t>https://maps.app.goo.gl/WiS3wTFawVYQAwJZ8?g_st=ac</t>
  </si>
  <si>
    <t>3rd Main road</t>
  </si>
  <si>
    <t>Devaraj Urs Badavane 'B' block</t>
  </si>
  <si>
    <t>https://maps.app.goo.gl/cBCLuAKmaJz9hLtt7</t>
  </si>
  <si>
    <t>01-02-2026</t>
  </si>
  <si>
    <t>Filled with debris, need to be cleaned</t>
  </si>
  <si>
    <t>01-July-2020</t>
  </si>
  <si>
    <t>Pipeline work has been done but connection is not provided</t>
  </si>
  <si>
    <t>9th Cross</t>
  </si>
  <si>
    <t>Devaraj Urs Badavane 'C' Block</t>
  </si>
  <si>
    <t>https://maps.app.goo.gl/NphrxateVPJcPwj28?g_st=ac</t>
  </si>
  <si>
    <t>3/2 nd cross</t>
  </si>
  <si>
    <t>https://maps.app.goo.gl/UL6abyCJFhQd8mMr6?g_st=ac</t>
  </si>
  <si>
    <t xml:space="preserve">B block </t>
  </si>
  <si>
    <t>https://maps.app.goo.gl/Ba5hLWSBHgBYrpDL6?g_st=aw</t>
  </si>
  <si>
    <t xml:space="preserve">Soil exposed </t>
  </si>
  <si>
    <t>C Block</t>
  </si>
  <si>
    <t>https://maps.app.goo.gl/VBWHPonGeDHEdWSFA?g_st=ac</t>
  </si>
  <si>
    <t>Gravell</t>
  </si>
  <si>
    <t xml:space="preserve">9/8th Cross </t>
  </si>
  <si>
    <t>Devaraj Urs</t>
  </si>
  <si>
    <t>https://maps.app.goo.gl/8P8S45GsV6ui47En6</t>
  </si>
  <si>
    <t>8th Cross</t>
  </si>
  <si>
    <t>https://maps.app.goo.gl/7UxmiTiAffUA3grY7</t>
  </si>
  <si>
    <t>Filled with Debris</t>
  </si>
  <si>
    <t xml:space="preserve">2nd main B block </t>
  </si>
  <si>
    <t>1A st cross</t>
  </si>
  <si>
    <t>https://maps.app.goo.gl/bzpk1C2W6SapuVHx8?g_st=aw</t>
  </si>
  <si>
    <t xml:space="preserve">Soil is exposed </t>
  </si>
  <si>
    <t>Unnamed</t>
  </si>
  <si>
    <t>https://maps.app.goo.gl/7xT7frJkmQCgdXMj6?g_st=ac</t>
  </si>
  <si>
    <t>https://maps.app.goo.gl/BCbChoauKSZjWukP6?g_st=aw</t>
  </si>
  <si>
    <t>2nd</t>
  </si>
  <si>
    <t>https://maps.app.goo.gl/udGsBsaH16dUTczj9?g_st=ac</t>
  </si>
  <si>
    <t>Divider (Planter)</t>
  </si>
  <si>
    <t xml:space="preserve">After 200m road dimension will decrease to 4m </t>
  </si>
  <si>
    <t>3rd Main</t>
  </si>
  <si>
    <t>4th Cross</t>
  </si>
  <si>
    <t>https://maps.app.goo.gl/ME8egH26gAcBtyLf8?g_st=ac</t>
  </si>
  <si>
    <t>7th Cross</t>
  </si>
  <si>
    <t>Devaraj Urs Badavane 'C' block</t>
  </si>
  <si>
    <t>https://maps.app.goo.gl/xMw6GkmdK9UJxraYA?g_st=ac</t>
  </si>
  <si>
    <t>3st</t>
  </si>
  <si>
    <t>https://maps.app.goo.gl/Dy5gUxFSBEUfCejQ8?g_st=ac</t>
  </si>
  <si>
    <t>Footpath required ,The homeowner has made a slope on the footbath as he wants.</t>
  </si>
  <si>
    <t>6th Cross</t>
  </si>
  <si>
    <t>Devaraja Urs Badavane 'C' block</t>
  </si>
  <si>
    <t>https://maps.app.goo.gl/Ppv6WiZregmkHN6k8</t>
  </si>
  <si>
    <t xml:space="preserve">3rd main C block </t>
  </si>
  <si>
    <t>https://maps.app.goo.gl/ZrB3g2bKiCKdEZoA8?g_st=aw</t>
  </si>
  <si>
    <t>Concreting done by house owners hence pavers required</t>
  </si>
  <si>
    <t>Concreting done by house owners hence paver foot path require</t>
  </si>
  <si>
    <t>No existing drain hence new drain required</t>
  </si>
  <si>
    <t>No existing drain so new drain required</t>
  </si>
  <si>
    <t>5th Cross</t>
  </si>
  <si>
    <t>https://maps.app.goo.gl/NV3kPAQ7VUhB3XXDA</t>
  </si>
  <si>
    <t>4th Cross road</t>
  </si>
  <si>
    <t>https://maps.app.goo.gl/qaz5xP2txJfKQEEV9?g_st=ac</t>
  </si>
  <si>
    <t>C block</t>
  </si>
  <si>
    <t>https://maps.app.goo.gl/k5K1WkmPjNq62AxK6?g_st=ac</t>
  </si>
  <si>
    <t>No drains</t>
  </si>
  <si>
    <t>No water supply</t>
  </si>
  <si>
    <t>3rd Main Road</t>
  </si>
  <si>
    <t>https://maps.app.goo.gl/T9AZdNzzhB3eHHxU7?g_st=ac</t>
  </si>
  <si>
    <t>¹</t>
  </si>
  <si>
    <t xml:space="preserve">3rd  main  c block </t>
  </si>
  <si>
    <t xml:space="preserve">2 cross and 3 cross between </t>
  </si>
  <si>
    <t>https://maps.app.goo.gl/9YYzjxUzef1tLmpj9?g_st=aw</t>
  </si>
  <si>
    <t>End end concrete road</t>
  </si>
  <si>
    <t xml:space="preserve">End to end concert </t>
  </si>
  <si>
    <t>Drain re</t>
  </si>
  <si>
    <t>Devaraj Urs badavane c block</t>
  </si>
  <si>
    <t>https://maps.app.goo.gl/iwQkorfSfYbkD2CP7?g_st=ac</t>
  </si>
  <si>
    <t>Pippe gutter</t>
  </si>
  <si>
    <t>Pipe gutter</t>
  </si>
  <si>
    <t xml:space="preserve">No Water Supply </t>
  </si>
  <si>
    <t>2A</t>
  </si>
  <si>
    <t>https://maps.app.goo.gl/KKfXBGnoRKUvAtoX8?g_st=ac</t>
  </si>
  <si>
    <t>Footpath required ,The homeowner has made a slope on the footbath as he wants</t>
  </si>
  <si>
    <t>Footpath required, The homeowner has made a slope on the footbath as he wants</t>
  </si>
  <si>
    <t>Some drains are not cover with slab</t>
  </si>
  <si>
    <t>Sone drains are not covered with slab</t>
  </si>
  <si>
    <t xml:space="preserve">3rd main (A C M) C block </t>
  </si>
  <si>
    <t>https://maps.app.goo.gl/KMjasBjsXz6ZBmGQ8?g_st=aw</t>
  </si>
  <si>
    <t xml:space="preserve">Devaraj Urs badavane c block </t>
  </si>
  <si>
    <t>https://maps.app.goo.gl/tJzGuq5wQrQWnb5f9?g_st=ac</t>
  </si>
  <si>
    <t>https://maps.app.goo.gl/CW9jypaYuo2tqox39?g_st=ac</t>
  </si>
  <si>
    <t xml:space="preserve">2main B block </t>
  </si>
  <si>
    <t xml:space="preserve">4th cross </t>
  </si>
  <si>
    <t xml:space="preserve">4 and 5 cross between </t>
  </si>
  <si>
    <t>https://maps.app.goo.gl/EeUfXRkuSo4Z5Wwr7?g_st=aw</t>
  </si>
  <si>
    <t>Kondajji Road</t>
  </si>
  <si>
    <t>Towards Ring Road</t>
  </si>
  <si>
    <t>https://maps.app.goo.gl/AzRQaUJaZiQe9GQE9?g_st=ac</t>
  </si>
  <si>
    <t xml:space="preserve">5th cross </t>
  </si>
  <si>
    <t xml:space="preserve">5 and 6 cross between </t>
  </si>
  <si>
    <t>https://maps.app.goo.gl/6BcLi6YA5ShgwUoh9?g_st=aw</t>
  </si>
  <si>
    <t xml:space="preserve">8th cross </t>
  </si>
  <si>
    <t xml:space="preserve">8 and 9 cross between </t>
  </si>
  <si>
    <t>https://maps.app.goo.gl/LtAjPqwASE1z5yAY8?g_st=aw</t>
  </si>
  <si>
    <t xml:space="preserve">LED line and LED polo required </t>
  </si>
  <si>
    <t>Cort road to Valmiki circle</t>
  </si>
  <si>
    <t>https://maps.app.goo.gl/yA2Ayxv22Lit3uuM9</t>
  </si>
  <si>
    <t xml:space="preserve">sqm for exposed soil, pavers required.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</si>
</sst>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2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/>
    <font>
      <color rgb="FF274E13"/>
      <name val="Arial"/>
      <scheme val="minor"/>
    </font>
    <font>
      <color rgb="FFB45F06"/>
      <name val="Arial"/>
      <scheme val="minor"/>
    </font>
    <font>
      <color rgb="FF0000FF"/>
      <name val="Arial"/>
      <scheme val="minor"/>
    </font>
    <font>
      <color rgb="FF38761D"/>
      <name val="Arial"/>
      <scheme val="minor"/>
    </font>
    <font>
      <color rgb="FFB7B7B7"/>
      <name val="Arial"/>
      <scheme val="minor"/>
    </font>
    <font>
      <color rgb="FFCC0000"/>
      <name val="Arial"/>
      <scheme val="minor"/>
    </font>
    <font>
      <color rgb="FF351C75"/>
      <name val="Arial"/>
      <scheme val="minor"/>
    </font>
    <font>
      <color rgb="FFFF9900"/>
      <name val="Arial"/>
      <scheme val="minor"/>
    </font>
    <font>
      <u/>
      <color rgb="FF0000FF"/>
      <name val="Roboto"/>
    </font>
    <font>
      <color rgb="FFFF0000"/>
      <name val="Arial"/>
      <scheme val="minor"/>
    </font>
    <font>
      <color rgb="FF783F04"/>
      <name val="Arial"/>
      <scheme val="minor"/>
    </font>
    <font>
      <color rgb="FFB7B7B7"/>
      <name val="Roboto"/>
    </font>
    <font>
      <color rgb="FF666666"/>
      <name val="Roboto"/>
    </font>
    <font>
      <color rgb="FF666666"/>
      <name val="Arial"/>
      <scheme val="minor"/>
    </font>
    <font>
      <color rgb="FFFFFFFF"/>
      <name val="Arial"/>
      <scheme val="minor"/>
    </font>
    <font>
      <color rgb="FF7F6000"/>
      <name val="Arial"/>
      <scheme val="minor"/>
    </font>
    <font>
      <color rgb="FF9900FF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1" fillId="0" fontId="3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ill="1" applyFont="1">
      <alignment vertical="bottom"/>
    </xf>
    <xf borderId="3" fillId="0" fontId="3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vertical="bottom"/>
    </xf>
    <xf borderId="5" fillId="0" fontId="4" numFmtId="0" xfId="0" applyBorder="1" applyFont="1"/>
    <xf borderId="6" fillId="0" fontId="3" numFmtId="0" xfId="0" applyAlignment="1" applyBorder="1" applyFont="1">
      <alignment horizontal="left" readingOrder="0" shrinkToFit="0" vertical="center" wrapText="1"/>
    </xf>
    <xf borderId="7" fillId="0" fontId="4" numFmtId="0" xfId="0" applyBorder="1" applyFont="1"/>
    <xf borderId="2" fillId="3" fontId="1" numFmtId="0" xfId="0" applyAlignment="1" applyBorder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right" readingOrder="0" shrinkToFit="0" vertical="center" wrapText="1"/>
    </xf>
    <xf borderId="5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4" fillId="5" fontId="1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horizontal="center" vertical="bottom"/>
    </xf>
    <xf borderId="4" fillId="8" fontId="1" numFmtId="0" xfId="0" applyAlignment="1" applyBorder="1" applyFill="1" applyFont="1">
      <alignment horizontal="center" vertical="bottom"/>
    </xf>
    <xf borderId="8" fillId="3" fontId="1" numFmtId="0" xfId="0" applyAlignment="1" applyBorder="1" applyFont="1">
      <alignment horizontal="center"/>
    </xf>
    <xf borderId="4" fillId="9" fontId="1" numFmtId="0" xfId="0" applyAlignment="1" applyBorder="1" applyFill="1" applyFont="1">
      <alignment horizontal="center" vertical="bottom"/>
    </xf>
    <xf borderId="4" fillId="10" fontId="1" numFmtId="0" xfId="0" applyAlignment="1" applyBorder="1" applyFill="1" applyFont="1">
      <alignment horizontal="center" vertical="bottom"/>
    </xf>
    <xf borderId="4" fillId="11" fontId="1" numFmtId="0" xfId="0" applyAlignment="1" applyBorder="1" applyFill="1" applyFont="1">
      <alignment horizontal="center" vertical="bottom"/>
    </xf>
    <xf borderId="8" fillId="3" fontId="1" numFmtId="0" xfId="0" applyAlignment="1" applyBorder="1" applyFont="1">
      <alignment horizontal="center" vertical="bottom"/>
    </xf>
    <xf borderId="9" fillId="3" fontId="1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left" readingOrder="0" shrinkToFit="0" vertical="center" wrapText="1"/>
    </xf>
    <xf borderId="11" fillId="3" fontId="2" numFmtId="0" xfId="0" applyAlignment="1" applyBorder="1" applyFont="1">
      <alignment vertical="bottom"/>
    </xf>
    <xf borderId="10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center" wrapText="0"/>
    </xf>
    <xf borderId="9" fillId="0" fontId="4" numFmtId="0" xfId="0" applyBorder="1" applyFont="1"/>
    <xf borderId="1" fillId="0" fontId="3" numFmtId="164" xfId="0" applyAlignment="1" applyBorder="1" applyFont="1" applyNumberFormat="1">
      <alignment readingOrder="0" shrinkToFit="0" vertical="center" wrapText="0"/>
    </xf>
    <xf borderId="1" fillId="0" fontId="3" numFmtId="2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6" fillId="12" fontId="5" numFmtId="0" xfId="0" applyAlignment="1" applyBorder="1" applyFill="1" applyFont="1">
      <alignment readingOrder="0" shrinkToFit="0" vertical="center" wrapText="0"/>
    </xf>
    <xf borderId="1" fillId="13" fontId="6" numFmtId="0" xfId="0" applyAlignment="1" applyBorder="1" applyFill="1" applyFont="1">
      <alignment readingOrder="0" shrinkToFit="0" vertical="center" wrapText="0"/>
    </xf>
    <xf borderId="1" fillId="12" fontId="5" numFmtId="0" xfId="0" applyAlignment="1" applyBorder="1" applyFont="1">
      <alignment readingOrder="0" shrinkToFit="0" vertical="center" wrapText="0"/>
    </xf>
    <xf borderId="3" fillId="12" fontId="5" numFmtId="0" xfId="0" applyAlignment="1" applyBorder="1" applyFont="1">
      <alignment readingOrder="0" shrinkToFit="0" vertical="center" wrapText="0"/>
    </xf>
    <xf borderId="6" fillId="14" fontId="7" numFmtId="0" xfId="0" applyAlignment="1" applyBorder="1" applyFill="1" applyFont="1">
      <alignment readingOrder="0" shrinkToFit="0" vertical="center" wrapText="0"/>
    </xf>
    <xf borderId="11" fillId="0" fontId="4" numFmtId="0" xfId="0" applyBorder="1" applyFont="1"/>
    <xf borderId="1" fillId="12" fontId="8" numFmtId="0" xfId="0" applyAlignment="1" applyBorder="1" applyFont="1">
      <alignment readingOrder="0" shrinkToFit="0" vertical="center" wrapText="0"/>
    </xf>
    <xf borderId="11" fillId="3" fontId="1" numFmtId="0" xfId="0" applyAlignment="1" applyBorder="1" applyFont="1">
      <alignment horizontal="center" vertical="bottom"/>
    </xf>
    <xf borderId="1" fillId="0" fontId="3" numFmtId="14" xfId="0" applyAlignment="1" applyBorder="1" applyFont="1" applyNumberFormat="1">
      <alignment horizontal="right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9" fillId="3" fontId="1" numFmtId="0" xfId="0" applyAlignment="1" applyBorder="1" applyFont="1">
      <alignment horizontal="center"/>
    </xf>
    <xf borderId="1" fillId="0" fontId="9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vertical="bottom"/>
    </xf>
    <xf borderId="3" fillId="0" fontId="9" numFmtId="0" xfId="0" applyAlignment="1" applyBorder="1" applyFont="1">
      <alignment readingOrder="0" shrinkToFit="0" vertical="center" wrapText="0"/>
    </xf>
    <xf borderId="6" fillId="15" fontId="10" numFmtId="0" xfId="0" applyAlignment="1" applyBorder="1" applyFill="1" applyFont="1">
      <alignment readingOrder="0" shrinkToFit="0" vertical="center" wrapText="0"/>
    </xf>
    <xf borderId="1" fillId="0" fontId="3" numFmtId="1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16" fontId="7" numFmtId="0" xfId="0" applyAlignment="1" applyBorder="1" applyFill="1" applyFon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" fillId="0" fontId="3" numFmtId="0" xfId="0" applyBorder="1" applyFont="1"/>
    <xf borderId="1" fillId="0" fontId="3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0" fontId="3" numFmtId="2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1" fillId="0" fontId="3" numFmtId="14" xfId="0" applyAlignment="1" applyBorder="1" applyFont="1" applyNumberFormat="1">
      <alignment horizontal="right" readingOrder="0" shrinkToFit="0" vertical="center" wrapText="0"/>
    </xf>
    <xf borderId="1" fillId="0" fontId="3" numFmtId="14" xfId="0" applyAlignment="1" applyBorder="1" applyFont="1" applyNumberForma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6" fillId="17" fontId="11" numFmtId="0" xfId="0" applyAlignment="1" applyBorder="1" applyFill="1" applyFont="1">
      <alignment readingOrder="0" shrinkToFit="0" vertical="center" wrapText="0"/>
    </xf>
    <xf borderId="6" fillId="13" fontId="12" numFmtId="0" xfId="0" applyAlignment="1" applyBorder="1" applyFont="1">
      <alignment readingOrder="0" shrinkToFit="0" vertical="center" wrapText="0"/>
    </xf>
    <xf borderId="3" fillId="0" fontId="13" numFmtId="0" xfId="0" applyAlignment="1" applyBorder="1" applyFont="1">
      <alignment readingOrder="0" shrinkToFit="0" vertical="center" wrapText="0"/>
    </xf>
    <xf borderId="1" fillId="18" fontId="14" numFmtId="0" xfId="0" applyAlignment="1" applyBorder="1" applyFill="1" applyFont="1">
      <alignment readingOrder="0" shrinkToFit="0" vertical="center" wrapText="0"/>
    </xf>
    <xf borderId="6" fillId="19" fontId="14" numFmtId="0" xfId="0" applyAlignment="1" applyBorder="1" applyFill="1" applyFont="1">
      <alignment horizontal="right" readingOrder="0" shrinkToFit="0" vertical="center" wrapText="0"/>
    </xf>
    <xf borderId="1" fillId="13" fontId="15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6" fillId="18" fontId="14" numFmtId="0" xfId="0" applyAlignment="1" applyBorder="1" applyFont="1">
      <alignment readingOrder="0" shrinkToFit="0" vertical="center" wrapText="0"/>
    </xf>
    <xf borderId="1" fillId="14" fontId="7" numFmtId="0" xfId="0" applyAlignment="1" applyBorder="1" applyFont="1">
      <alignment readingOrder="0" shrinkToFit="0" vertical="center" wrapText="0"/>
    </xf>
    <xf borderId="1" fillId="20" fontId="16" numFmtId="0" xfId="0" applyAlignment="1" applyBorder="1" applyFill="1" applyFont="1">
      <alignment horizontal="right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21" fontId="8" numFmtId="0" xfId="0" applyAlignment="1" applyBorder="1" applyFill="1" applyFont="1">
      <alignment readingOrder="0" shrinkToFit="0" vertical="center" wrapText="0"/>
    </xf>
    <xf borderId="1" fillId="22" fontId="16" numFmtId="2" xfId="0" applyAlignment="1" applyBorder="1" applyFill="1" applyFont="1" applyNumberFormat="1">
      <alignment shrinkToFit="0" vertical="top" wrapText="0"/>
    </xf>
    <xf borderId="6" fillId="16" fontId="7" numFmtId="0" xfId="0" applyAlignment="1" applyBorder="1" applyFont="1">
      <alignment readingOrder="0" shrinkToFit="0" vertical="center" wrapText="0"/>
    </xf>
    <xf borderId="1" fillId="19" fontId="3" numFmtId="2" xfId="0" applyAlignment="1" applyBorder="1" applyFont="1" applyNumberFormat="1">
      <alignment shrinkToFit="0" vertical="center" wrapText="0"/>
    </xf>
    <xf borderId="1" fillId="19" fontId="3" numFmtId="0" xfId="0" applyAlignment="1" applyBorder="1" applyFont="1">
      <alignment horizontal="right" shrinkToFit="0" vertical="center" wrapText="0"/>
    </xf>
    <xf borderId="1" fillId="19" fontId="3" numFmtId="0" xfId="0" applyAlignment="1" applyBorder="1" applyFont="1">
      <alignment shrinkToFit="0" vertical="center" wrapText="0"/>
    </xf>
    <xf borderId="1" fillId="19" fontId="9" numFmtId="0" xfId="0" applyAlignment="1" applyBorder="1" applyFont="1">
      <alignment readingOrder="0" shrinkToFit="0" vertical="center" wrapText="0"/>
    </xf>
    <xf borderId="1" fillId="23" fontId="17" numFmtId="0" xfId="0" applyAlignment="1" applyBorder="1" applyFill="1" applyFont="1">
      <alignment shrinkToFit="0" vertical="top" wrapText="0"/>
    </xf>
    <xf borderId="1" fillId="23" fontId="18" numFmtId="0" xfId="0" applyAlignment="1" applyBorder="1" applyFont="1">
      <alignment readingOrder="0" shrinkToFit="0" vertical="center" wrapText="0"/>
    </xf>
    <xf borderId="3" fillId="18" fontId="14" numFmtId="0" xfId="0" applyAlignment="1" applyBorder="1" applyFont="1">
      <alignment readingOrder="0" shrinkToFit="0" vertical="center" wrapText="0"/>
    </xf>
    <xf borderId="6" fillId="13" fontId="6" numFmtId="0" xfId="0" applyAlignment="1" applyBorder="1" applyFont="1">
      <alignment readingOrder="0" shrinkToFit="0" vertical="center" wrapText="0"/>
    </xf>
    <xf borderId="1" fillId="17" fontId="3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1" fillId="0" fontId="3" numFmtId="2" xfId="0" applyAlignment="1" applyBorder="1" applyFont="1" applyNumberFormat="1">
      <alignment shrinkToFit="0" vertical="center" wrapText="0"/>
    </xf>
    <xf borderId="1" fillId="19" fontId="14" numFmtId="0" xfId="0" applyAlignment="1" applyBorder="1" applyFont="1">
      <alignment readingOrder="0" shrinkToFit="0" vertical="center" wrapText="0"/>
    </xf>
    <xf borderId="1" fillId="13" fontId="3" numFmtId="0" xfId="0" applyAlignment="1" applyBorder="1" applyFont="1">
      <alignment readingOrder="0" shrinkToFit="0" vertical="center" wrapText="0"/>
    </xf>
    <xf borderId="1" fillId="19" fontId="14" numFmtId="0" xfId="0" applyAlignment="1" applyBorder="1" applyFont="1">
      <alignment horizontal="right" readingOrder="0" shrinkToFit="0" vertical="center" wrapText="0"/>
    </xf>
    <xf borderId="1" fillId="19" fontId="3" numFmtId="0" xfId="0" applyAlignment="1" applyBorder="1" applyFont="1">
      <alignment readingOrder="0" shrinkToFit="0" vertical="center" wrapText="0"/>
    </xf>
    <xf quotePrefix="1" borderId="1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3" fillId="13" fontId="6" numFmtId="0" xfId="0" applyAlignment="1" applyBorder="1" applyFont="1">
      <alignment readingOrder="0" shrinkToFit="0" vertical="center" wrapText="0"/>
    </xf>
    <xf borderId="1" fillId="24" fontId="19" numFmtId="0" xfId="0" applyAlignment="1" applyBorder="1" applyFill="1" applyFont="1">
      <alignment readingOrder="0" shrinkToFit="0" vertical="center" wrapText="0"/>
    </xf>
    <xf borderId="1" fillId="0" fontId="3" numFmtId="0" xfId="0" applyAlignment="1" applyBorder="1" applyFont="1">
      <alignment horizontal="right" readingOrder="0" shrinkToFit="0" vertical="center" wrapText="0"/>
    </xf>
    <xf borderId="1" fillId="14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quotePrefix="1" borderId="1" fillId="0" fontId="3" numFmtId="0" xfId="0" applyAlignment="1" applyBorder="1" applyFont="1">
      <alignment horizontal="right" readingOrder="0" shrinkToFit="0" vertical="center" wrapText="0"/>
    </xf>
    <xf borderId="6" fillId="15" fontId="20" numFmtId="0" xfId="0" applyAlignment="1" applyBorder="1" applyFont="1">
      <alignment readingOrder="0" shrinkToFit="0" vertical="center" wrapText="0"/>
    </xf>
    <xf borderId="3" fillId="13" fontId="15" numFmtId="0" xfId="0" applyAlignment="1" applyBorder="1" applyFont="1">
      <alignment readingOrder="0" shrinkToFit="0" vertical="center" wrapText="0"/>
    </xf>
    <xf borderId="1" fillId="17" fontId="11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horizontal="right" readingOrder="0" shrinkToFit="0" vertical="center" wrapText="0"/>
    </xf>
    <xf borderId="1" fillId="20" fontId="16" numFmtId="0" xfId="0" applyAlignment="1" applyBorder="1" applyFont="1">
      <alignment shrinkToFit="0" vertical="center" wrapText="0"/>
    </xf>
    <xf borderId="1" fillId="17" fontId="21" numFmtId="0" xfId="0" applyAlignment="1" applyBorder="1" applyFont="1">
      <alignment readingOrder="0" shrinkToFit="0" vertical="center" wrapText="0"/>
    </xf>
    <xf borderId="1" fillId="19" fontId="18" numFmtId="0" xfId="0" applyAlignment="1" applyBorder="1" applyFont="1">
      <alignment readingOrder="0" shrinkToFit="0" vertical="center" wrapText="0"/>
    </xf>
    <xf borderId="1" fillId="22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6" fillId="12" fontId="5" numFmtId="0" xfId="0" applyAlignment="1" applyBorder="1" applyFont="1">
      <alignment readingOrder="0" shrinkToFit="0" vertical="center" wrapText="0"/>
    </xf>
    <xf borderId="1" fillId="13" fontId="6" numFmtId="0" xfId="0" applyAlignment="1" applyBorder="1" applyFont="1">
      <alignment readingOrder="0" shrinkToFit="0" vertical="center" wrapText="0"/>
    </xf>
    <xf borderId="1" fillId="12" fontId="5" numFmtId="0" xfId="0" applyAlignment="1" applyBorder="1" applyFont="1">
      <alignment readingOrder="0" shrinkToFit="0" vertical="center" wrapText="0"/>
    </xf>
    <xf borderId="3" fillId="12" fontId="5" numFmtId="0" xfId="0" applyAlignment="1" applyBorder="1" applyFont="1">
      <alignment readingOrder="0" shrinkToFit="0" vertical="center" wrapText="0"/>
    </xf>
    <xf borderId="6" fillId="14" fontId="7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1" fillId="19" fontId="3" numFmtId="0" xfId="0" applyBorder="1" applyFont="1"/>
    <xf borderId="1" fillId="19" fontId="3" numFmtId="2" xfId="0" applyBorder="1" applyFont="1" applyNumberFormat="1"/>
    <xf borderId="3" fillId="19" fontId="3" numFmtId="0" xfId="0" applyBorder="1" applyFont="1"/>
    <xf borderId="6" fillId="19" fontId="3" numFmtId="0" xfId="0" applyBorder="1" applyFont="1"/>
    <xf borderId="1" fillId="19" fontId="3" numFmtId="2" xfId="0" applyAlignment="1" applyBorder="1" applyFont="1" applyNumberFormat="1">
      <alignment readingOrder="0"/>
    </xf>
    <xf borderId="1" fillId="19" fontId="3" numFmtId="0" xfId="0" applyAlignment="1" applyBorder="1" applyFont="1">
      <alignment horizontal="right"/>
    </xf>
    <xf borderId="10" fillId="19" fontId="3" numFmtId="0" xfId="0" applyBorder="1" applyFont="1"/>
    <xf borderId="12" fillId="19" fontId="3" numFmtId="0" xfId="0" applyBorder="1" applyFont="1"/>
    <xf borderId="1" fillId="19" fontId="3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e6c834c9-da52-4c0c-92b5-8f68732a2e4a}" providerId="google-sheets"/>
</x18tc:personList>
</file>

<file path=xl/tables/table1.xml><?xml version="1.0" encoding="utf-8"?>
<table xmlns="http://schemas.openxmlformats.org/spreadsheetml/2006/main" ref="A1:BI163" displayName="Form_Responses" name="Form_Responses" id="1">
  <tableColumns count="61">
    <tableColumn name="#" id="1"/>
    <tableColumn name="Timestamp" id="2"/>
    <tableColumn name="Email address" id="3"/>
    <tableColumn name="Surveyor Name" id="4"/>
    <tableColumn name="Road Name (Main)" id="5"/>
    <tableColumn name="Road Name (Cross)" id="6"/>
    <tableColumn name="Area Name" id="7"/>
    <tableColumn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  <tableColumn name="Road Notes" id="58"/>
    <tableColumn name="Electrical Notes" id="59"/>
    <tableColumn name="Pavers costing" id="60"/>
    <tableColumn name="Road Gravel" id="6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Y30" dT="2026-07-25T11:41:40.00" personId="{e6c834c9-da52-4c0c-92b5-8f68732a2e4a}" id="{d71e6aeb-dd4b-46de-abc7-546de8b0559c}" done="0">
    <x18tc:text xml:space="preserve">2 Significant Figures only</x18tc:text>
  </x18tc:threadedComment>
  <x18tc:threadedComment ref="Q50" dT="2026-07-27T08:25:55.00" personId="{e6c834c9-da52-4c0c-92b5-8f68732a2e4a}" id="{a3176044-654c-4ea2-8f32-bdf6410f842f}" done="0">
    <x18tc:text xml:space="preserve">There is no 'N/A' for Attachment wight. Do not confuse alphabetical &amp; numerical data, data processing becomes impossible. So if it is a '0' add a '0'</x18tc:text>
  </x18tc:threadedComment>
  <x18tc:threadedComment ref="AO15" dT="2026-07-25T10:46:13.00" personId="{e6c834c9-da52-4c0c-92b5-8f68732a2e4a}" id="{647d0e30-a102-4d4b-8921-927d4731797a}" done="0">
    <x18tc:text xml:space="preserve">If it is required, you must give me 'm' if not I have to resurvey this data set. Human error.</x18tc:text>
  </x18tc:threadedComment>
  <x18tc:threadedComment ref="T37" dT="2026-07-25T08:39:08.00" personId="{e6c834c9-da52-4c0c-92b5-8f68732a2e4a}" id="{4cea4cee-5e71-4867-8867-707052f7f6d9}" done="0">
    <x18tc:text xml:space="preserve">What does this mean? if footpath is not required, then I am guessing that it is road &amp; SWG. If that is the case just make it N/A</x18tc:text>
  </x18tc:threadedComment>
  <x18tc:threadedComment ref="U28" dT="2026-07-25T08:40:22.00" personId="{e6c834c9-da52-4c0c-92b5-8f68732a2e4a}" id="{d6385c83-73ad-488b-a2cb-3672e322ac65}" done="0">
    <x18tc:text xml:space="preserve">what is this that is 0.2m</x18tc:text>
  </x18tc:threadedComment>
  <x18tc:threadedComment ref="AL3" dT="2026-07-21T18:06:50.00" personId="{e6c834c9-da52-4c0c-92b5-8f68732a2e4a}" id="{ffdd0e1d-d6f9-4df2-9cd5-36e903bfa4cb}" done="0">
    <x18tc:text xml:space="preserve">SWG Type necessary for other side also. i.e this column is in N/E side only and S/W side also required column of 'SWG' type.</x18tc:text>
  </x18tc:threadedComment>
  <x18tc:threadedComment ref="AL2" dT="2026-07-21T18:04:46.00" personId="{e6c834c9-da52-4c0c-92b5-8f68732a2e4a}" id="{89807c0e-4478-4de3-9dca-483ebf8be06e}" done="0">
    <x18tc:text xml:space="preserve">need another option of "Open gutter (slab req)"</x18tc:text>
  </x18tc:threadedComment>
  <x18tc:threadedComment ref="M30" dT="2026-07-22T09:48:12.00" personId="{e6c834c9-da52-4c0c-92b5-8f68732a2e4a}" id="{b245d656-b5de-43ee-8d0e-95ee7c739cc1}" done="1">
    <x18tc:text xml:space="preserve">Correction: Unnecessary, roundup significant numbers to 2 decimal places.</x18tc:text>
  </x18tc:threadedComment>
  <x18tc:threadedComment ref="P8" dT="2026-07-21T17:37:15.00" personId="{e6c834c9-da52-4c0c-92b5-8f68732a2e4a}" id="{74b3ddff-cee3-45d3-afd8-0941a2027a1e}" done="1">
    <x18tc:text xml:space="preserve">by bund I mean a ramp not soil. this should basically be no pavement. that is an option.</x18tc:text>
  </x18tc:threadedComment>
  <x18tc:threadedComment ref="P40" dT="2026-07-22T09:47:13.00" personId="{e6c834c9-da52-4c0c-92b5-8f68732a2e4a}" id="{4fbad300-7944-4ff9-99e6-e8f74632496c}" done="0">
    <x18tc:text xml:space="preserve">Footpath is required, therefore 'Attachment Type 1' should be 'Exposed soil'</x18tc:text>
  </x18tc:threadedComment>
  <x18tc:threadedComment ref="N39" dT="2026-07-22T09:49:55.00" personId="{e6c834c9-da52-4c0c-92b5-8f68732a2e4a}" id="{28bcc23a-8618-476c-93d2-fe9c515d107e}" done="1">
    <x18tc:text xml:space="preserve">Correction: Road condition is left blank. Do not leave anything blank, mention 'n/a' if there are no comments</x18tc:text>
  </x18tc:threadedComment>
  <x18tc:threadedComment ref="P14" dT="2026-07-21T17:40:27.00" personId="{e6c834c9-da52-4c0c-92b5-8f68732a2e4a}" id="{390bafb9-1e06-49d7-b4a8-98238f037ac4}" done="1">
    <x18tc:text xml:space="preserve">need to change all of the bunds to exposed soil.</x18tc:text>
  </x18tc:threadedComment>
  <x18tc:threadedComment ref="Q15" dT="2026-07-25T08:57:02.00" personId="{e6c834c9-da52-4c0c-92b5-8f68732a2e4a}" id="{80a6744c-4cda-4a9c-9b01-747349bc69f0}" done="0">
    <x18tc:text xml:space="preserve">what does pavers &amp; blank mean. If it is n/a then make it n/a</x18tc:text>
  </x18tc:threadedComment>
  <x18tc:threadedComment ref="T73" dT="2026-07-25T08:27:13.00" personId="{e6c834c9-da52-4c0c-92b5-8f68732a2e4a}" id="{bfad5fc2-2367-4e0d-a0d1-62f2fab92234}" done="0">
    <x18tc:text xml:space="preserve">very well done, 'N/A and comment of "end to end concrete.' gives clarity. GOOD!</x18tc:text>
  </x18tc:threadedComment>
  <x18tc:threadedComment ref="AQ1" dT="2026-07-26T21:40:29.00" personId="{e6c834c9-da52-4c0c-92b5-8f68732a2e4a}" id="{dbfb23db-23f4-4e3b-a149-4b223a6de0a9}" done="0">
    <x18tc:text xml:space="preserve">Nithin: SWG type, option is not there for S/W side is it assumed that the same type is there in the north. IF SO, I assume that a few roads have SWG only on 1 side. That might be a problem. Need to discuss this point.</x18tc:text>
  </x18tc:threadedComment>
  <x18tc:threadedComment ref="P8" dT="2026-07-21T17:40:03.00" personId="{e6c834c9-da52-4c0c-92b5-8f68732a2e4a}" id="{acd7279a-518f-4ea3-9fa0-30797d656f60}" done="1">
    <x18tc:text xml:space="preserve">Bund should actually be pavement required. Bund means like a ramp of soil similar to how near the highway</x18tc:text>
  </x18tc:threadedComment>
  <x18tc:threadedComment ref="P82" dT="2026-07-25T08:28:01.00" personId="{e6c834c9-da52-4c0c-92b5-8f68732a2e4a}" id="{aa54dd72-ce44-462f-bba5-a4db23f82c6e}" done="0">
    <x18tc:text xml:space="preserve">it cannot be n/a and soil exposed in comments. It needs to be coil exposed under attachment type 1.</x18tc:text>
  </x18tc:threadedComment>
  <x18tc:threadedComment ref="AE21" dT="2026-07-25T10:31:08.00" personId="{e6c834c9-da52-4c0c-92b5-8f68732a2e4a}" id="{bad6d279-6fcf-4fa9-b32b-59d4d0acea40}" done="0">
    <x18tc:text xml:space="preserve">Pavers required. But you have not mentioned the width in m, therefore I will have to send someone agin to collect this data. Always fill, in no comment then fill either 'n/a' or '0'</x18tc:text>
  </x18tc:threadedComment>
  <x18tc:threadedComment ref="AA82" dT="2026-07-25T09:29:11.00" personId="{e6c834c9-da52-4c0c-92b5-8f68732a2e4a}" id="{f50c8dab-6f5f-4c96-a2f0-1a0d4e3bcf5f}" done="0">
    <x18tc:text xml:space="preserve">It cannot be na if footpath is required.</x18tc:text>
  </x18tc:threadedComment>
  <x18tc:threadedComment ref="AE31" dT="2026-07-25T09:00:36.00" personId="{e6c834c9-da52-4c0c-92b5-8f68732a2e4a}" id="{05553ea3-e2b5-4b52-9c8a-800e70cdec73}" done="0">
    <x18tc:text xml:space="preserve">if required you have to mention as exposed soil/ damaged. and width is necessary</x18tc:text>
  </x18tc:threadedComment>
  <x18tc:threadedComment ref="P31" dT="2026-07-22T09:45:15.00" personId="{e6c834c9-da52-4c0c-92b5-8f68732a2e4a}" id="{f6248465-911e-4729-848f-a638ee6f2ffc}" done="1">
    <x18tc:text xml:space="preserve">Correction: Foot path is required, therefore 'Attachment Type 1' should be 'exposed soil'</x18tc:text>
  </x18tc:threadedComment>
  <x18tc:threadedComment ref="AE79" dT="2026-07-27T08:34:14.00" personId="{e6c834c9-da52-4c0c-92b5-8f68732a2e4a}" id="{c223c2d2-3ec6-4fc4-869e-2e56d27081c1}" done="0">
    <x18tc:text xml:space="preserve">Ward Surveyor: Without attachment width mentioned I cannot entertain the possibility for a footpath.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HmLwVvsELD3nzxDbA?g_st=ac" TargetMode="External"/><Relationship Id="rId83" Type="http://schemas.openxmlformats.org/officeDocument/2006/relationships/vmlDrawing" Target="../drawings/vmlDrawing1.vml"/><Relationship Id="rId42" Type="http://schemas.openxmlformats.org/officeDocument/2006/relationships/hyperlink" Target="https://maps.app.goo.gl/1xgWZR4kS17hWZ6y9" TargetMode="External"/><Relationship Id="rId41" Type="http://schemas.openxmlformats.org/officeDocument/2006/relationships/hyperlink" Target="https://maps.app.goo.gl/wB4CosKugR7DCzGg9?g_st=aw" TargetMode="External"/><Relationship Id="rId85" Type="http://schemas.openxmlformats.org/officeDocument/2006/relationships/table" Target="../tables/table1.xml"/><Relationship Id="rId44" Type="http://schemas.openxmlformats.org/officeDocument/2006/relationships/hyperlink" Target="https://maps.app.goo.gl/zk5zF6Dz8wtCWzQm8?g_st=aw" TargetMode="External"/><Relationship Id="rId43" Type="http://schemas.openxmlformats.org/officeDocument/2006/relationships/hyperlink" Target="https://maps.app.goo.gl/EjXumz3qg2nRycUd8?g_st=aw" TargetMode="External"/><Relationship Id="rId46" Type="http://schemas.openxmlformats.org/officeDocument/2006/relationships/hyperlink" Target="https://maps.app.goo.gl/7VGSiHetUzQpa2NE7?g_st=aw" TargetMode="External"/><Relationship Id="rId45" Type="http://schemas.openxmlformats.org/officeDocument/2006/relationships/hyperlink" Target="https://maps.app.goo.gl/XyLcbpeYmfS2M6qe6?g_st=ac" TargetMode="External"/><Relationship Id="rId80" Type="http://schemas.openxmlformats.org/officeDocument/2006/relationships/hyperlink" Target="https://maps.app.goo.gl/LtAjPqwASE1z5yAY8?g_st=aw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maps.app.goo.gl/yA2Ayxv22Lit3uuM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RLMAax95uBUQxgAq9?g_st=ac" TargetMode="External"/><Relationship Id="rId9" Type="http://schemas.openxmlformats.org/officeDocument/2006/relationships/hyperlink" Target="https://maps.app.goo.gl/xKkLPfEG6aPdjLo79" TargetMode="External"/><Relationship Id="rId48" Type="http://schemas.openxmlformats.org/officeDocument/2006/relationships/hyperlink" Target="https://maps.app.goo.gl/iKbzPPNy4A963xX26?g_st=aw" TargetMode="External"/><Relationship Id="rId47" Type="http://schemas.openxmlformats.org/officeDocument/2006/relationships/hyperlink" Target="https://maps.app.goo.gl/c3J4VxnByEVCbDYRA?g_st=ac" TargetMode="External"/><Relationship Id="rId49" Type="http://schemas.openxmlformats.org/officeDocument/2006/relationships/hyperlink" Target="https://maps.app.goo.gl/TnKQiRzX7U4sHKUB7" TargetMode="External"/><Relationship Id="rId5" Type="http://schemas.openxmlformats.org/officeDocument/2006/relationships/hyperlink" Target="https://maps.app.goo.gl/cijMg5JNdrkksHyQ6" TargetMode="External"/><Relationship Id="rId6" Type="http://schemas.openxmlformats.org/officeDocument/2006/relationships/hyperlink" Target="https://maps.app.goo.gl/cijMg5JNdrkksHyQ6" TargetMode="External"/><Relationship Id="rId7" Type="http://schemas.openxmlformats.org/officeDocument/2006/relationships/hyperlink" Target="https://maps.app.goo.gl/KMAyMwf2YxJobwwy6?g_st=ac" TargetMode="External"/><Relationship Id="rId8" Type="http://schemas.openxmlformats.org/officeDocument/2006/relationships/hyperlink" Target="https://maps.apple/p/At0KL_J.TB8dLo" TargetMode="External"/><Relationship Id="rId73" Type="http://schemas.openxmlformats.org/officeDocument/2006/relationships/hyperlink" Target="https://maps.app.goo.gl/KKfXBGnoRKUvAtoX8?g_st=ac" TargetMode="External"/><Relationship Id="rId72" Type="http://schemas.openxmlformats.org/officeDocument/2006/relationships/hyperlink" Target="https://maps.app.goo.gl/iwQkorfSfYbkD2CP7?g_st=ac" TargetMode="External"/><Relationship Id="rId31" Type="http://schemas.openxmlformats.org/officeDocument/2006/relationships/hyperlink" Target="https://maps.app.goo.gl/e7Svbky2h5MNabTJ8?g_st=aw" TargetMode="External"/><Relationship Id="rId75" Type="http://schemas.openxmlformats.org/officeDocument/2006/relationships/hyperlink" Target="https://maps.app.goo.gl/tJzGuq5wQrQWnb5f9?g_st=ac" TargetMode="External"/><Relationship Id="rId30" Type="http://schemas.openxmlformats.org/officeDocument/2006/relationships/hyperlink" Target="https://maps.app.goo.gl/QPKQ2kF6icQFmwRr5?g_st=ac" TargetMode="External"/><Relationship Id="rId74" Type="http://schemas.openxmlformats.org/officeDocument/2006/relationships/hyperlink" Target="https://maps.app.goo.gl/KMjasBjsXz6ZBmGQ8?g_st=aw" TargetMode="External"/><Relationship Id="rId33" Type="http://schemas.openxmlformats.org/officeDocument/2006/relationships/hyperlink" Target="https://maps.app.goo.gl/74bx3Lc5zqGwH76F6?g_st=aw" TargetMode="External"/><Relationship Id="rId77" Type="http://schemas.openxmlformats.org/officeDocument/2006/relationships/hyperlink" Target="https://maps.app.goo.gl/EeUfXRkuSo4Z5Wwr7?g_st=aw" TargetMode="External"/><Relationship Id="rId32" Type="http://schemas.openxmlformats.org/officeDocument/2006/relationships/hyperlink" Target="https://maps.app.goo.gl/iqudbHQGQ3soezmx6" TargetMode="External"/><Relationship Id="rId76" Type="http://schemas.openxmlformats.org/officeDocument/2006/relationships/hyperlink" Target="https://maps.app.goo.gl/CW9jypaYuo2tqox39?g_st=ac" TargetMode="External"/><Relationship Id="rId35" Type="http://schemas.openxmlformats.org/officeDocument/2006/relationships/hyperlink" Target="https://maps.app.goo.gl/S3NuHu8Xzh6gb4vd7?g_st=aw" TargetMode="External"/><Relationship Id="rId79" Type="http://schemas.openxmlformats.org/officeDocument/2006/relationships/hyperlink" Target="https://maps.app.goo.gl/6BcLi6YA5ShgwUoh9?g_st=aw" TargetMode="External"/><Relationship Id="rId34" Type="http://schemas.openxmlformats.org/officeDocument/2006/relationships/hyperlink" Target="https://maps.app.goo.gl/ffkn7h9f2URtaB777?g_st=ac" TargetMode="External"/><Relationship Id="rId78" Type="http://schemas.openxmlformats.org/officeDocument/2006/relationships/hyperlink" Target="https://maps.app.goo.gl/AzRQaUJaZiQe9GQE9?g_st=ac" TargetMode="External"/><Relationship Id="rId71" Type="http://schemas.openxmlformats.org/officeDocument/2006/relationships/hyperlink" Target="https://maps.app.goo.gl/9YYzjxUzef1tLmpj9?g_st=aw" TargetMode="External"/><Relationship Id="rId70" Type="http://schemas.openxmlformats.org/officeDocument/2006/relationships/hyperlink" Target="https://maps.app.goo.gl/T9AZdNzzhB3eHHxU7?g_st=ac" TargetMode="External"/><Relationship Id="rId37" Type="http://schemas.openxmlformats.org/officeDocument/2006/relationships/hyperlink" Target="https://maps.app.goo.gl/CUR7dDASWGwbxQnt8?g_st=aw" TargetMode="External"/><Relationship Id="rId36" Type="http://schemas.openxmlformats.org/officeDocument/2006/relationships/hyperlink" Target="https://maps.app.goo.gl/5eaBUHTvpugiJXPQ8?g_st=ac" TargetMode="External"/><Relationship Id="rId39" Type="http://schemas.openxmlformats.org/officeDocument/2006/relationships/hyperlink" Target="https://maps.app.goo.gl/rWS4Zq1itzYhJRgg9?g_st=aw" TargetMode="External"/><Relationship Id="rId38" Type="http://schemas.openxmlformats.org/officeDocument/2006/relationships/hyperlink" Target="https://maps.app.goo.gl/aLLMfMnsUc8hHTGZ9?g_st=ac" TargetMode="External"/><Relationship Id="rId62" Type="http://schemas.openxmlformats.org/officeDocument/2006/relationships/hyperlink" Target="https://maps.app.goo.gl/ME8egH26gAcBtyLf8?g_st=ac" TargetMode="External"/><Relationship Id="rId61" Type="http://schemas.openxmlformats.org/officeDocument/2006/relationships/hyperlink" Target="https://maps.app.goo.gl/udGsBsaH16dUTczj9?g_st=ac" TargetMode="External"/><Relationship Id="rId20" Type="http://schemas.openxmlformats.org/officeDocument/2006/relationships/hyperlink" Target="https://maps.app.goo.gl/2AYAjRSM4kDyUpJV9" TargetMode="External"/><Relationship Id="rId64" Type="http://schemas.openxmlformats.org/officeDocument/2006/relationships/hyperlink" Target="https://maps.app.goo.gl/Dy5gUxFSBEUfCejQ8?g_st=ac" TargetMode="External"/><Relationship Id="rId63" Type="http://schemas.openxmlformats.org/officeDocument/2006/relationships/hyperlink" Target="https://maps.app.goo.gl/xMw6GkmdK9UJxraYA?g_st=ac" TargetMode="External"/><Relationship Id="rId22" Type="http://schemas.openxmlformats.org/officeDocument/2006/relationships/hyperlink" Target="https://maps.app.goo.gl/iE7jUjuRjgkX7sED7" TargetMode="External"/><Relationship Id="rId66" Type="http://schemas.openxmlformats.org/officeDocument/2006/relationships/hyperlink" Target="https://maps.app.goo.gl/ZrB3g2bKiCKdEZoA8?g_st=aw" TargetMode="External"/><Relationship Id="rId21" Type="http://schemas.openxmlformats.org/officeDocument/2006/relationships/hyperlink" Target="https://maps.app.goo.gl/hidc7tuj4K2YFunv6" TargetMode="External"/><Relationship Id="rId65" Type="http://schemas.openxmlformats.org/officeDocument/2006/relationships/hyperlink" Target="https://maps.app.goo.gl/Ppv6WiZregmkHN6k8" TargetMode="External"/><Relationship Id="rId24" Type="http://schemas.openxmlformats.org/officeDocument/2006/relationships/hyperlink" Target="https://maps.app.goo.gl/vtM7bYEmLB5KVjF6A" TargetMode="External"/><Relationship Id="rId68" Type="http://schemas.openxmlformats.org/officeDocument/2006/relationships/hyperlink" Target="https://maps.app.goo.gl/qaz5xP2txJfKQEEV9?g_st=ac" TargetMode="External"/><Relationship Id="rId23" Type="http://schemas.openxmlformats.org/officeDocument/2006/relationships/hyperlink" Target="https://maps.app.goo.gl/DNUkLroh5oNrMxZT9?g_st=ac" TargetMode="External"/><Relationship Id="rId67" Type="http://schemas.openxmlformats.org/officeDocument/2006/relationships/hyperlink" Target="https://maps.app.goo.gl/NV3kPAQ7VUhB3XXDA" TargetMode="External"/><Relationship Id="rId60" Type="http://schemas.openxmlformats.org/officeDocument/2006/relationships/hyperlink" Target="https://maps.app.goo.gl/BCbChoauKSZjWukP6?g_st=aw" TargetMode="External"/><Relationship Id="rId26" Type="http://schemas.openxmlformats.org/officeDocument/2006/relationships/hyperlink" Target="https://maps.app.goo.gl/ENqzHXioTYKFCdGn7?g_st=ac" TargetMode="External"/><Relationship Id="rId25" Type="http://schemas.openxmlformats.org/officeDocument/2006/relationships/hyperlink" Target="https://maps.app.goo.gl/nsBXDBq1mLLUvAse9?g_st=ac" TargetMode="External"/><Relationship Id="rId69" Type="http://schemas.openxmlformats.org/officeDocument/2006/relationships/hyperlink" Target="https://maps.app.goo.gl/k5K1WkmPjNq62AxK6?g_st=ac" TargetMode="External"/><Relationship Id="rId28" Type="http://schemas.openxmlformats.org/officeDocument/2006/relationships/hyperlink" Target="https://maps.app.goo.gl/6zdHvqHTTC6PdHED8?g_st=aw" TargetMode="External"/><Relationship Id="rId27" Type="http://schemas.openxmlformats.org/officeDocument/2006/relationships/hyperlink" Target="https://maps.app.goo.gl/Y3eum7zrkaS8r6x5A?g_st=aw" TargetMode="External"/><Relationship Id="rId29" Type="http://schemas.openxmlformats.org/officeDocument/2006/relationships/hyperlink" Target="https://maps.app.goo.gl/wmtEtw2BjTPyztSPA?g_st=aw" TargetMode="External"/><Relationship Id="rId51" Type="http://schemas.openxmlformats.org/officeDocument/2006/relationships/hyperlink" Target="https://maps.app.goo.gl/cBCLuAKmaJz9hLtt7" TargetMode="External"/><Relationship Id="rId50" Type="http://schemas.openxmlformats.org/officeDocument/2006/relationships/hyperlink" Target="https://maps.app.goo.gl/WiS3wTFawVYQAwJZ8?g_st=ac" TargetMode="External"/><Relationship Id="rId53" Type="http://schemas.openxmlformats.org/officeDocument/2006/relationships/hyperlink" Target="https://maps.app.goo.gl/UL6abyCJFhQd8mMr6?g_st=ac" TargetMode="External"/><Relationship Id="rId52" Type="http://schemas.openxmlformats.org/officeDocument/2006/relationships/hyperlink" Target="https://maps.app.goo.gl/NphrxateVPJcPwj28?g_st=ac" TargetMode="External"/><Relationship Id="rId11" Type="http://schemas.openxmlformats.org/officeDocument/2006/relationships/hyperlink" Target="https://maps.app.goo.gl/F9ihxc48Wqu8Ajuw8" TargetMode="External"/><Relationship Id="rId55" Type="http://schemas.openxmlformats.org/officeDocument/2006/relationships/hyperlink" Target="https://maps.app.goo.gl/VBWHPonGeDHEdWSFA?g_st=ac" TargetMode="External"/><Relationship Id="rId10" Type="http://schemas.openxmlformats.org/officeDocument/2006/relationships/hyperlink" Target="https://maps.app.goo.gl/LGsqRqdAasHecJCL6?g_st=ac" TargetMode="External"/><Relationship Id="rId54" Type="http://schemas.openxmlformats.org/officeDocument/2006/relationships/hyperlink" Target="https://maps.app.goo.gl/Ba5hLWSBHgBYrpDL6?g_st=aw" TargetMode="External"/><Relationship Id="rId13" Type="http://schemas.openxmlformats.org/officeDocument/2006/relationships/hyperlink" Target="https://maps.app.goo.gl/HUbJ9EAsDfwGhZpDA" TargetMode="External"/><Relationship Id="rId57" Type="http://schemas.openxmlformats.org/officeDocument/2006/relationships/hyperlink" Target="https://maps.app.goo.gl/7UxmiTiAffUA3grY7" TargetMode="External"/><Relationship Id="rId12" Type="http://schemas.openxmlformats.org/officeDocument/2006/relationships/hyperlink" Target="https://maps.app.goo.gl/TZHHPUWNhjTVUU3h6?g_st=ac" TargetMode="External"/><Relationship Id="rId56" Type="http://schemas.openxmlformats.org/officeDocument/2006/relationships/hyperlink" Target="https://maps.app.goo.gl/8P8S45GsV6ui47En6" TargetMode="External"/><Relationship Id="rId15" Type="http://schemas.openxmlformats.org/officeDocument/2006/relationships/hyperlink" Target="https://maps.app.goo.gl/frJ7v5KWf6tiW8sLA" TargetMode="External"/><Relationship Id="rId59" Type="http://schemas.openxmlformats.org/officeDocument/2006/relationships/hyperlink" Target="https://maps.app.goo.gl/7xT7frJkmQCgdXMj6?g_st=ac" TargetMode="External"/><Relationship Id="rId14" Type="http://schemas.openxmlformats.org/officeDocument/2006/relationships/hyperlink" Target="https://maps.app.goo.gl/GsKqif2Kj7VPqpmo9" TargetMode="External"/><Relationship Id="rId58" Type="http://schemas.openxmlformats.org/officeDocument/2006/relationships/hyperlink" Target="https://maps.app.goo.gl/bzpk1C2W6SapuVHx8?g_st=aw" TargetMode="External"/><Relationship Id="rId17" Type="http://schemas.openxmlformats.org/officeDocument/2006/relationships/hyperlink" Target="https://maps.app.goo.gl/Xy4pxByKu4tyAM9r7?g_st=ac" TargetMode="External"/><Relationship Id="rId16" Type="http://schemas.openxmlformats.org/officeDocument/2006/relationships/hyperlink" Target="https://maps.app.goo.gl/1VTCFnNki58cpZUk7" TargetMode="External"/><Relationship Id="rId19" Type="http://schemas.openxmlformats.org/officeDocument/2006/relationships/hyperlink" Target="https://maps.app.goo.gl/JqWXaTdcAv8z587NA?g_st=ac" TargetMode="External"/><Relationship Id="rId18" Type="http://schemas.openxmlformats.org/officeDocument/2006/relationships/hyperlink" Target="https://maps.app.goo.gl/x7YyipcuL4mpNRF1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hidden="1" min="2" max="2" width="18.88"/>
    <col customWidth="1" hidden="1" min="3" max="3" width="23.13"/>
    <col customWidth="1" hidden="1" min="4" max="4" width="14.0"/>
    <col customWidth="1" min="5" max="6" width="12.0"/>
    <col customWidth="1" min="7" max="7" width="25.5"/>
    <col customWidth="1" min="8" max="8" width="9.13"/>
    <col customWidth="1" min="9" max="9" width="19.25"/>
    <col customWidth="1" min="10" max="10" width="9.88"/>
    <col customWidth="1" min="11" max="11" width="11.13"/>
    <col customWidth="1" min="12" max="12" width="11.63"/>
    <col customWidth="1" min="13" max="13" width="9.88"/>
    <col customWidth="1" min="14" max="14" width="12.5"/>
    <col customWidth="1" min="15" max="15" width="9.75"/>
    <col customWidth="1" min="16" max="20" width="14.5"/>
    <col customWidth="1" hidden="1" min="21" max="25" width="14.5"/>
    <col customWidth="1" min="26" max="26" width="9.75"/>
    <col customWidth="1" min="27" max="31" width="14.5"/>
    <col customWidth="1" hidden="1" min="32" max="36" width="14.5"/>
    <col customWidth="1" min="37" max="37" width="12.88"/>
    <col customWidth="1" min="38" max="42" width="13.13"/>
    <col customWidth="1" min="43" max="43" width="12.88"/>
    <col customWidth="1" min="44" max="47" width="13.13"/>
    <col customWidth="1" min="48" max="52" width="12.63"/>
    <col customWidth="1" min="53" max="55" width="13.13"/>
    <col customWidth="1" min="56" max="57" width="12.75"/>
    <col customWidth="1" hidden="1" min="58" max="65" width="18.88"/>
  </cols>
  <sheetData>
    <row r="1" ht="29.2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9</v>
      </c>
      <c r="J1" s="8" t="s">
        <v>11</v>
      </c>
      <c r="K1" s="3" t="s">
        <v>12</v>
      </c>
      <c r="L1" s="3" t="s">
        <v>15</v>
      </c>
      <c r="M1" s="3" t="s">
        <v>18</v>
      </c>
      <c r="N1" s="5" t="s">
        <v>19</v>
      </c>
      <c r="O1" s="8" t="s">
        <v>20</v>
      </c>
      <c r="P1" s="3" t="s">
        <v>21</v>
      </c>
      <c r="Q1" s="3" t="s">
        <v>22</v>
      </c>
      <c r="R1" s="12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5" t="s">
        <v>30</v>
      </c>
      <c r="Z1" s="8" t="s">
        <v>32</v>
      </c>
      <c r="AA1" s="3" t="s">
        <v>33</v>
      </c>
      <c r="AB1" s="3" t="s">
        <v>34</v>
      </c>
      <c r="AC1" s="3" t="s">
        <v>35</v>
      </c>
      <c r="AD1" s="3" t="s">
        <v>37</v>
      </c>
      <c r="AE1" s="3" t="s">
        <v>38</v>
      </c>
      <c r="AF1" s="3" t="s">
        <v>40</v>
      </c>
      <c r="AG1" s="3" t="s">
        <v>42</v>
      </c>
      <c r="AH1" s="3" t="s">
        <v>43</v>
      </c>
      <c r="AI1" s="3" t="s">
        <v>45</v>
      </c>
      <c r="AJ1" s="5" t="s">
        <v>47</v>
      </c>
      <c r="AK1" s="8" t="s">
        <v>49</v>
      </c>
      <c r="AL1" s="3" t="s">
        <v>51</v>
      </c>
      <c r="AM1" s="3" t="s">
        <v>52</v>
      </c>
      <c r="AN1" s="3" t="s">
        <v>54</v>
      </c>
      <c r="AO1" s="3" t="s">
        <v>56</v>
      </c>
      <c r="AP1" s="5" t="s">
        <v>58</v>
      </c>
      <c r="AQ1" s="8" t="s">
        <v>59</v>
      </c>
      <c r="AR1" s="3" t="s">
        <v>60</v>
      </c>
      <c r="AS1" s="3" t="s">
        <v>61</v>
      </c>
      <c r="AT1" s="3" t="s">
        <v>63</v>
      </c>
      <c r="AU1" s="5" t="s">
        <v>64</v>
      </c>
      <c r="AV1" s="8" t="s">
        <v>65</v>
      </c>
      <c r="AW1" s="3" t="s">
        <v>67</v>
      </c>
      <c r="AX1" s="3" t="s">
        <v>68</v>
      </c>
      <c r="AY1" s="3" t="s">
        <v>69</v>
      </c>
      <c r="AZ1" s="5" t="s">
        <v>71</v>
      </c>
      <c r="BA1" s="8" t="s">
        <v>72</v>
      </c>
      <c r="BB1" s="3" t="s">
        <v>74</v>
      </c>
      <c r="BC1" s="5" t="s">
        <v>75</v>
      </c>
      <c r="BD1" s="8" t="s">
        <v>77</v>
      </c>
      <c r="BE1" s="5" t="s">
        <v>78</v>
      </c>
      <c r="BF1" s="25" t="s">
        <v>80</v>
      </c>
      <c r="BG1" s="25" t="s">
        <v>81</v>
      </c>
      <c r="BH1" s="27" t="s">
        <v>83</v>
      </c>
      <c r="BI1" s="27" t="s">
        <v>85</v>
      </c>
      <c r="BJ1" s="28"/>
      <c r="BK1" s="28"/>
      <c r="BL1" s="28"/>
      <c r="BM1" s="28"/>
    </row>
    <row r="2" ht="12.0" customHeight="1">
      <c r="A2" s="29">
        <v>3.0</v>
      </c>
      <c r="B2" s="31">
        <v>46224.49237546296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92</v>
      </c>
      <c r="H2" s="32">
        <v>100.0</v>
      </c>
      <c r="I2" s="33" t="s">
        <v>96</v>
      </c>
      <c r="J2" s="34" t="s">
        <v>99</v>
      </c>
      <c r="K2" s="35" t="s">
        <v>101</v>
      </c>
      <c r="L2" s="36" t="s">
        <v>102</v>
      </c>
      <c r="M2" s="32">
        <v>3.2</v>
      </c>
      <c r="N2" s="37" t="s">
        <v>103</v>
      </c>
      <c r="O2" s="38" t="s">
        <v>104</v>
      </c>
      <c r="P2" s="40" t="s">
        <v>105</v>
      </c>
      <c r="Q2" s="32">
        <v>2.0</v>
      </c>
      <c r="R2" s="42">
        <v>44821.0</v>
      </c>
      <c r="S2" s="37" t="s">
        <v>103</v>
      </c>
      <c r="T2" s="43" t="s">
        <v>107</v>
      </c>
      <c r="U2" s="45" t="s">
        <v>109</v>
      </c>
      <c r="V2" s="45" t="s">
        <v>109</v>
      </c>
      <c r="W2" s="45" t="s">
        <v>109</v>
      </c>
      <c r="X2" s="45" t="s">
        <v>109</v>
      </c>
      <c r="Y2" s="47" t="s">
        <v>109</v>
      </c>
      <c r="Z2" s="48" t="s">
        <v>111</v>
      </c>
      <c r="AA2" s="40" t="s">
        <v>105</v>
      </c>
      <c r="AB2" s="32">
        <v>0.6</v>
      </c>
      <c r="AC2" s="49">
        <v>44713.0</v>
      </c>
      <c r="AD2" s="37" t="s">
        <v>103</v>
      </c>
      <c r="AE2" s="43" t="s">
        <v>107</v>
      </c>
      <c r="AF2" s="45" t="s">
        <v>109</v>
      </c>
      <c r="AG2" s="45" t="s">
        <v>109</v>
      </c>
      <c r="AH2" s="45" t="s">
        <v>109</v>
      </c>
      <c r="AI2" s="45" t="s">
        <v>109</v>
      </c>
      <c r="AJ2" s="47" t="s">
        <v>109</v>
      </c>
      <c r="AK2" s="38" t="s">
        <v>104</v>
      </c>
      <c r="AL2" s="36" t="s">
        <v>115</v>
      </c>
      <c r="AM2" s="32">
        <v>0.2</v>
      </c>
      <c r="AN2" s="49">
        <v>45474.0</v>
      </c>
      <c r="AO2" s="37" t="s">
        <v>103</v>
      </c>
      <c r="AP2" s="33" t="s">
        <v>116</v>
      </c>
      <c r="AQ2" s="48" t="s">
        <v>111</v>
      </c>
      <c r="AR2" s="29">
        <v>0.2</v>
      </c>
      <c r="AS2" s="49">
        <v>44743.0</v>
      </c>
      <c r="AT2" s="37" t="s">
        <v>103</v>
      </c>
      <c r="AU2" s="33" t="s">
        <v>119</v>
      </c>
      <c r="AV2" s="34" t="s">
        <v>99</v>
      </c>
      <c r="AW2" s="53" t="s">
        <v>120</v>
      </c>
      <c r="AX2" s="49">
        <v>44562.0</v>
      </c>
      <c r="AY2" s="29">
        <v>0.15</v>
      </c>
      <c r="AZ2" s="37" t="s">
        <v>103</v>
      </c>
      <c r="BA2" s="34" t="s">
        <v>99</v>
      </c>
      <c r="BB2" s="37" t="s">
        <v>103</v>
      </c>
      <c r="BC2" s="54"/>
      <c r="BD2" s="34" t="s">
        <v>122</v>
      </c>
      <c r="BE2" s="37" t="s">
        <v>103</v>
      </c>
      <c r="BF2" s="55"/>
      <c r="BG2" s="55"/>
      <c r="BH2" s="56">
        <f t="shared" ref="BH2:BH30" si="1">Q2*H2</f>
        <v>200</v>
      </c>
      <c r="BI2" s="56">
        <f t="shared" ref="BI2:BI163" si="2">M2*H2</f>
        <v>320</v>
      </c>
      <c r="BJ2" s="57"/>
      <c r="BK2" s="57"/>
      <c r="BL2" s="57"/>
      <c r="BM2" s="57"/>
    </row>
    <row r="3" ht="12.0" customHeight="1">
      <c r="A3" s="58">
        <v>1.0</v>
      </c>
      <c r="B3" s="59">
        <v>46224.44905729167</v>
      </c>
      <c r="C3" s="58" t="s">
        <v>123</v>
      </c>
      <c r="D3" s="58" t="s">
        <v>124</v>
      </c>
      <c r="E3" s="58" t="s">
        <v>125</v>
      </c>
      <c r="F3" s="58" t="s">
        <v>126</v>
      </c>
      <c r="G3" s="58" t="s">
        <v>127</v>
      </c>
      <c r="H3" s="60">
        <v>100.0</v>
      </c>
      <c r="I3" s="61" t="s">
        <v>128</v>
      </c>
      <c r="J3" s="34" t="s">
        <v>99</v>
      </c>
      <c r="K3" s="35" t="s">
        <v>101</v>
      </c>
      <c r="L3" s="36" t="s">
        <v>102</v>
      </c>
      <c r="M3" s="60">
        <v>2.55</v>
      </c>
      <c r="N3" s="37" t="s">
        <v>103</v>
      </c>
      <c r="O3" s="38" t="s">
        <v>104</v>
      </c>
      <c r="P3" s="40" t="s">
        <v>105</v>
      </c>
      <c r="Q3" s="60">
        <v>1.1</v>
      </c>
      <c r="R3" s="62">
        <v>45474.0</v>
      </c>
      <c r="S3" s="37" t="s">
        <v>103</v>
      </c>
      <c r="T3" s="58" t="s">
        <v>129</v>
      </c>
      <c r="U3" s="45" t="s">
        <v>109</v>
      </c>
      <c r="V3" s="45" t="s">
        <v>109</v>
      </c>
      <c r="W3" s="45" t="s">
        <v>109</v>
      </c>
      <c r="X3" s="45" t="s">
        <v>109</v>
      </c>
      <c r="Y3" s="47" t="s">
        <v>109</v>
      </c>
      <c r="Z3" s="48" t="s">
        <v>111</v>
      </c>
      <c r="AA3" s="40" t="s">
        <v>105</v>
      </c>
      <c r="AB3" s="60">
        <v>1.1</v>
      </c>
      <c r="AC3" s="63">
        <v>45474.0</v>
      </c>
      <c r="AD3" s="37" t="s">
        <v>103</v>
      </c>
      <c r="AE3" s="43" t="s">
        <v>107</v>
      </c>
      <c r="AF3" s="45" t="s">
        <v>109</v>
      </c>
      <c r="AG3" s="45" t="s">
        <v>109</v>
      </c>
      <c r="AH3" s="45" t="s">
        <v>109</v>
      </c>
      <c r="AI3" s="45" t="s">
        <v>109</v>
      </c>
      <c r="AJ3" s="47" t="s">
        <v>109</v>
      </c>
      <c r="AK3" s="38" t="s">
        <v>104</v>
      </c>
      <c r="AL3" s="53" t="s">
        <v>130</v>
      </c>
      <c r="AM3" s="60">
        <v>0.6</v>
      </c>
      <c r="AN3" s="63">
        <v>45474.0</v>
      </c>
      <c r="AO3" s="37" t="s">
        <v>103</v>
      </c>
      <c r="AP3" s="61" t="s">
        <v>131</v>
      </c>
      <c r="AQ3" s="48" t="s">
        <v>111</v>
      </c>
      <c r="AR3" s="58">
        <v>0.6</v>
      </c>
      <c r="AS3" s="63">
        <v>45474.0</v>
      </c>
      <c r="AT3" s="37" t="s">
        <v>103</v>
      </c>
      <c r="AU3" s="61" t="s">
        <v>131</v>
      </c>
      <c r="AV3" s="34" t="s">
        <v>99</v>
      </c>
      <c r="AW3" s="53" t="s">
        <v>120</v>
      </c>
      <c r="AX3" s="63">
        <v>45474.0</v>
      </c>
      <c r="AY3" s="58">
        <v>200.0</v>
      </c>
      <c r="AZ3" s="37" t="s">
        <v>103</v>
      </c>
      <c r="BA3" s="34" t="s">
        <v>99</v>
      </c>
      <c r="BB3" s="37" t="s">
        <v>103</v>
      </c>
      <c r="BC3" s="64"/>
      <c r="BD3" s="34" t="s">
        <v>122</v>
      </c>
      <c r="BE3" s="37" t="s">
        <v>103</v>
      </c>
      <c r="BF3" s="56"/>
      <c r="BG3" s="56"/>
      <c r="BH3" s="56">
        <f t="shared" si="1"/>
        <v>110</v>
      </c>
      <c r="BI3" s="56">
        <f t="shared" si="2"/>
        <v>255</v>
      </c>
      <c r="BJ3" s="57"/>
      <c r="BK3" s="57"/>
      <c r="BL3" s="57"/>
      <c r="BM3" s="57"/>
    </row>
    <row r="4" ht="12.0" customHeight="1">
      <c r="A4" s="29">
        <v>2.0</v>
      </c>
      <c r="B4" s="31">
        <v>46224.47375493056</v>
      </c>
      <c r="C4" s="29" t="s">
        <v>87</v>
      </c>
      <c r="D4" s="29" t="s">
        <v>132</v>
      </c>
      <c r="E4" s="29" t="s">
        <v>89</v>
      </c>
      <c r="F4" s="29" t="s">
        <v>133</v>
      </c>
      <c r="G4" s="29" t="s">
        <v>92</v>
      </c>
      <c r="H4" s="32">
        <v>110.0</v>
      </c>
      <c r="I4" s="33" t="s">
        <v>134</v>
      </c>
      <c r="J4" s="34" t="s">
        <v>99</v>
      </c>
      <c r="K4" s="35" t="s">
        <v>101</v>
      </c>
      <c r="L4" s="36" t="s">
        <v>102</v>
      </c>
      <c r="M4" s="32">
        <v>3.0</v>
      </c>
      <c r="N4" s="37" t="s">
        <v>103</v>
      </c>
      <c r="O4" s="65" t="s">
        <v>117</v>
      </c>
      <c r="P4" s="40" t="s">
        <v>105</v>
      </c>
      <c r="Q4" s="32">
        <v>2.05</v>
      </c>
      <c r="R4" s="42">
        <v>45474.0</v>
      </c>
      <c r="S4" s="37" t="s">
        <v>103</v>
      </c>
      <c r="T4" s="29" t="s">
        <v>135</v>
      </c>
      <c r="U4" s="45" t="s">
        <v>109</v>
      </c>
      <c r="V4" s="45" t="s">
        <v>109</v>
      </c>
      <c r="W4" s="45" t="s">
        <v>109</v>
      </c>
      <c r="X4" s="45" t="s">
        <v>109</v>
      </c>
      <c r="Y4" s="47" t="s">
        <v>109</v>
      </c>
      <c r="Z4" s="66" t="s">
        <v>136</v>
      </c>
      <c r="AA4" s="40" t="s">
        <v>105</v>
      </c>
      <c r="AB4" s="32">
        <v>1.4</v>
      </c>
      <c r="AC4" s="49">
        <v>45474.0</v>
      </c>
      <c r="AD4" s="37" t="s">
        <v>103</v>
      </c>
      <c r="AE4" s="43" t="s">
        <v>107</v>
      </c>
      <c r="AF4" s="45" t="s">
        <v>109</v>
      </c>
      <c r="AG4" s="45" t="s">
        <v>109</v>
      </c>
      <c r="AH4" s="45" t="s">
        <v>109</v>
      </c>
      <c r="AI4" s="45" t="s">
        <v>109</v>
      </c>
      <c r="AJ4" s="47" t="s">
        <v>109</v>
      </c>
      <c r="AK4" s="65" t="s">
        <v>117</v>
      </c>
      <c r="AL4" s="36" t="s">
        <v>115</v>
      </c>
      <c r="AM4" s="32">
        <v>0.2</v>
      </c>
      <c r="AN4" s="49">
        <v>45494.0</v>
      </c>
      <c r="AO4" s="37" t="s">
        <v>103</v>
      </c>
      <c r="AP4" s="33" t="s">
        <v>137</v>
      </c>
      <c r="AQ4" s="66" t="s">
        <v>136</v>
      </c>
      <c r="AR4" s="29">
        <v>0.2</v>
      </c>
      <c r="AS4" s="49">
        <v>45494.0</v>
      </c>
      <c r="AT4" s="37" t="s">
        <v>103</v>
      </c>
      <c r="AU4" s="33" t="s">
        <v>137</v>
      </c>
      <c r="AV4" s="34" t="s">
        <v>99</v>
      </c>
      <c r="AW4" s="40" t="s">
        <v>102</v>
      </c>
      <c r="AX4" s="49">
        <v>45853.0</v>
      </c>
      <c r="AY4" s="29">
        <v>0.2</v>
      </c>
      <c r="AZ4" s="37" t="s">
        <v>103</v>
      </c>
      <c r="BA4" s="34" t="s">
        <v>99</v>
      </c>
      <c r="BB4" s="37" t="s">
        <v>103</v>
      </c>
      <c r="BC4" s="54"/>
      <c r="BD4" s="34" t="s">
        <v>122</v>
      </c>
      <c r="BE4" s="37" t="s">
        <v>103</v>
      </c>
      <c r="BF4" s="55"/>
      <c r="BG4" s="55"/>
      <c r="BH4" s="56">
        <f t="shared" si="1"/>
        <v>225.5</v>
      </c>
      <c r="BI4" s="56">
        <f t="shared" si="2"/>
        <v>330</v>
      </c>
      <c r="BJ4" s="57"/>
      <c r="BK4" s="57"/>
      <c r="BL4" s="57"/>
      <c r="BM4" s="57"/>
    </row>
    <row r="5" ht="12.0" customHeight="1">
      <c r="A5" s="29">
        <v>15.0</v>
      </c>
      <c r="B5" s="31">
        <v>46224.5769724537</v>
      </c>
      <c r="C5" s="29" t="s">
        <v>87</v>
      </c>
      <c r="D5" s="29" t="s">
        <v>132</v>
      </c>
      <c r="E5" s="29" t="s">
        <v>138</v>
      </c>
      <c r="F5" s="29" t="s">
        <v>139</v>
      </c>
      <c r="G5" s="29" t="s">
        <v>140</v>
      </c>
      <c r="H5" s="32">
        <v>256.0</v>
      </c>
      <c r="I5" s="67" t="s">
        <v>141</v>
      </c>
      <c r="J5" s="34" t="s">
        <v>99</v>
      </c>
      <c r="K5" s="35" t="s">
        <v>101</v>
      </c>
      <c r="L5" s="36" t="s">
        <v>102</v>
      </c>
      <c r="M5" s="32">
        <v>5.5</v>
      </c>
      <c r="N5" s="37" t="s">
        <v>103</v>
      </c>
      <c r="O5" s="38" t="s">
        <v>104</v>
      </c>
      <c r="P5" s="40" t="s">
        <v>105</v>
      </c>
      <c r="Q5" s="32">
        <v>1.9</v>
      </c>
      <c r="R5" s="42">
        <v>45586.0</v>
      </c>
      <c r="S5" s="37" t="s">
        <v>103</v>
      </c>
      <c r="T5" s="29" t="s">
        <v>142</v>
      </c>
      <c r="U5" s="45" t="s">
        <v>109</v>
      </c>
      <c r="V5" s="45" t="s">
        <v>109</v>
      </c>
      <c r="W5" s="45" t="s">
        <v>109</v>
      </c>
      <c r="X5" s="45" t="s">
        <v>109</v>
      </c>
      <c r="Y5" s="47" t="s">
        <v>109</v>
      </c>
      <c r="Z5" s="48" t="s">
        <v>111</v>
      </c>
      <c r="AA5" s="40" t="s">
        <v>105</v>
      </c>
      <c r="AB5" s="32">
        <v>1.9</v>
      </c>
      <c r="AC5" s="49">
        <v>45494.0</v>
      </c>
      <c r="AD5" s="68" t="s">
        <v>143</v>
      </c>
      <c r="AE5" s="29" t="s">
        <v>144</v>
      </c>
      <c r="AF5" s="45" t="s">
        <v>109</v>
      </c>
      <c r="AG5" s="45" t="s">
        <v>109</v>
      </c>
      <c r="AH5" s="45" t="s">
        <v>109</v>
      </c>
      <c r="AI5" s="45" t="s">
        <v>109</v>
      </c>
      <c r="AJ5" s="47" t="s">
        <v>109</v>
      </c>
      <c r="AK5" s="69" t="s">
        <v>145</v>
      </c>
      <c r="AL5" s="36" t="s">
        <v>115</v>
      </c>
      <c r="AM5" s="32">
        <v>0.6</v>
      </c>
      <c r="AN5" s="49">
        <v>45494.0</v>
      </c>
      <c r="AO5" s="37" t="s">
        <v>103</v>
      </c>
      <c r="AP5" s="43" t="s">
        <v>107</v>
      </c>
      <c r="AQ5" s="48" t="s">
        <v>111</v>
      </c>
      <c r="AR5" s="29">
        <v>1.9</v>
      </c>
      <c r="AS5" s="49">
        <v>45494.0</v>
      </c>
      <c r="AT5" s="37" t="s">
        <v>103</v>
      </c>
      <c r="AU5" s="43" t="s">
        <v>107</v>
      </c>
      <c r="AV5" s="34" t="s">
        <v>99</v>
      </c>
      <c r="AW5" s="53" t="s">
        <v>120</v>
      </c>
      <c r="AX5" s="49">
        <v>43851.0</v>
      </c>
      <c r="AY5" s="29">
        <v>0.15</v>
      </c>
      <c r="AZ5" s="37" t="s">
        <v>103</v>
      </c>
      <c r="BA5" s="34" t="s">
        <v>99</v>
      </c>
      <c r="BB5" s="37" t="s">
        <v>103</v>
      </c>
      <c r="BC5" s="54"/>
      <c r="BD5" s="34" t="s">
        <v>122</v>
      </c>
      <c r="BE5" s="37" t="s">
        <v>103</v>
      </c>
      <c r="BF5" s="55"/>
      <c r="BG5" s="55"/>
      <c r="BH5" s="56">
        <f t="shared" si="1"/>
        <v>486.4</v>
      </c>
      <c r="BI5" s="56">
        <f t="shared" si="2"/>
        <v>1408</v>
      </c>
      <c r="BJ5" s="57"/>
      <c r="BK5" s="57"/>
      <c r="BL5" s="57"/>
      <c r="BM5" s="57"/>
    </row>
    <row r="6" ht="12.0" customHeight="1">
      <c r="A6" s="29">
        <v>18.0</v>
      </c>
      <c r="B6" s="31">
        <v>46224.59152266204</v>
      </c>
      <c r="C6" s="29" t="s">
        <v>87</v>
      </c>
      <c r="D6" s="29" t="s">
        <v>132</v>
      </c>
      <c r="E6" s="29" t="s">
        <v>89</v>
      </c>
      <c r="F6" s="29" t="s">
        <v>146</v>
      </c>
      <c r="G6" s="29" t="s">
        <v>140</v>
      </c>
      <c r="H6" s="32">
        <v>73.0</v>
      </c>
      <c r="I6" s="67" t="s">
        <v>147</v>
      </c>
      <c r="J6" s="34" t="s">
        <v>99</v>
      </c>
      <c r="K6" s="35" t="s">
        <v>101</v>
      </c>
      <c r="L6" s="36" t="s">
        <v>102</v>
      </c>
      <c r="M6" s="32">
        <v>4.0</v>
      </c>
      <c r="N6" s="37" t="s">
        <v>103</v>
      </c>
      <c r="O6" s="38" t="s">
        <v>104</v>
      </c>
      <c r="P6" s="40" t="s">
        <v>105</v>
      </c>
      <c r="Q6" s="32">
        <v>0.8</v>
      </c>
      <c r="R6" s="42">
        <v>44750.0</v>
      </c>
      <c r="S6" s="68" t="s">
        <v>143</v>
      </c>
      <c r="T6" s="29" t="s">
        <v>148</v>
      </c>
      <c r="U6" s="45" t="s">
        <v>109</v>
      </c>
      <c r="V6" s="45" t="s">
        <v>109</v>
      </c>
      <c r="W6" s="45" t="s">
        <v>109</v>
      </c>
      <c r="X6" s="45" t="s">
        <v>109</v>
      </c>
      <c r="Y6" s="47" t="s">
        <v>109</v>
      </c>
      <c r="Z6" s="48" t="s">
        <v>111</v>
      </c>
      <c r="AA6" s="40" t="s">
        <v>105</v>
      </c>
      <c r="AB6" s="32">
        <v>0.8</v>
      </c>
      <c r="AC6" s="49">
        <v>45120.0</v>
      </c>
      <c r="AD6" s="68" t="s">
        <v>143</v>
      </c>
      <c r="AE6" s="29" t="s">
        <v>148</v>
      </c>
      <c r="AF6" s="45" t="s">
        <v>109</v>
      </c>
      <c r="AG6" s="45" t="s">
        <v>109</v>
      </c>
      <c r="AH6" s="45" t="s">
        <v>109</v>
      </c>
      <c r="AI6" s="45" t="s">
        <v>109</v>
      </c>
      <c r="AJ6" s="47" t="s">
        <v>109</v>
      </c>
      <c r="AK6" s="38" t="s">
        <v>104</v>
      </c>
      <c r="AL6" s="68" t="s">
        <v>143</v>
      </c>
      <c r="AM6" s="32">
        <v>0.46</v>
      </c>
      <c r="AN6" s="49">
        <v>45856.0</v>
      </c>
      <c r="AO6" s="68" t="s">
        <v>143</v>
      </c>
      <c r="AP6" s="43" t="s">
        <v>107</v>
      </c>
      <c r="AQ6" s="48" t="s">
        <v>111</v>
      </c>
      <c r="AR6" s="29">
        <v>0.6</v>
      </c>
      <c r="AS6" s="49">
        <v>45484.0</v>
      </c>
      <c r="AT6" s="68" t="s">
        <v>143</v>
      </c>
      <c r="AU6" s="33" t="s">
        <v>149</v>
      </c>
      <c r="AV6" s="34" t="s">
        <v>99</v>
      </c>
      <c r="AW6" s="53" t="s">
        <v>120</v>
      </c>
      <c r="AX6" s="49">
        <v>45122.0</v>
      </c>
      <c r="AY6" s="29">
        <v>0.15</v>
      </c>
      <c r="AZ6" s="37" t="s">
        <v>103</v>
      </c>
      <c r="BA6" s="34" t="s">
        <v>99</v>
      </c>
      <c r="BB6" s="37" t="s">
        <v>103</v>
      </c>
      <c r="BC6" s="54"/>
      <c r="BD6" s="34" t="s">
        <v>122</v>
      </c>
      <c r="BE6" s="37" t="s">
        <v>103</v>
      </c>
      <c r="BF6" s="55"/>
      <c r="BG6" s="55"/>
      <c r="BH6" s="56">
        <f t="shared" si="1"/>
        <v>58.4</v>
      </c>
      <c r="BI6" s="56">
        <f t="shared" si="2"/>
        <v>292</v>
      </c>
      <c r="BJ6" s="57"/>
      <c r="BK6" s="57"/>
      <c r="BL6" s="57"/>
      <c r="BM6" s="57"/>
    </row>
    <row r="7" ht="12.0" customHeight="1">
      <c r="A7" s="29">
        <v>20.0</v>
      </c>
      <c r="B7" s="31">
        <v>46224.601366874995</v>
      </c>
      <c r="C7" s="29" t="s">
        <v>87</v>
      </c>
      <c r="D7" s="29" t="s">
        <v>132</v>
      </c>
      <c r="E7" s="29" t="s">
        <v>89</v>
      </c>
      <c r="F7" s="29" t="s">
        <v>150</v>
      </c>
      <c r="G7" s="29" t="s">
        <v>151</v>
      </c>
      <c r="H7" s="32">
        <v>200.0</v>
      </c>
      <c r="I7" s="67" t="s">
        <v>147</v>
      </c>
      <c r="J7" s="34" t="s">
        <v>99</v>
      </c>
      <c r="K7" s="35" t="s">
        <v>101</v>
      </c>
      <c r="L7" s="36" t="s">
        <v>102</v>
      </c>
      <c r="M7" s="32">
        <v>4.0</v>
      </c>
      <c r="N7" s="37" t="s">
        <v>103</v>
      </c>
      <c r="O7" s="38" t="s">
        <v>104</v>
      </c>
      <c r="P7" s="68" t="s">
        <v>152</v>
      </c>
      <c r="Q7" s="32">
        <v>0.46</v>
      </c>
      <c r="R7" s="42">
        <v>44750.0</v>
      </c>
      <c r="S7" s="68" t="s">
        <v>143</v>
      </c>
      <c r="T7" s="29" t="s">
        <v>148</v>
      </c>
      <c r="U7" s="45" t="s">
        <v>109</v>
      </c>
      <c r="V7" s="45" t="s">
        <v>109</v>
      </c>
      <c r="W7" s="45" t="s">
        <v>109</v>
      </c>
      <c r="X7" s="45" t="s">
        <v>109</v>
      </c>
      <c r="Y7" s="47" t="s">
        <v>109</v>
      </c>
      <c r="Z7" s="48" t="s">
        <v>111</v>
      </c>
      <c r="AA7" s="40" t="s">
        <v>105</v>
      </c>
      <c r="AB7" s="32">
        <v>2.0</v>
      </c>
      <c r="AC7" s="49">
        <v>45116.0</v>
      </c>
      <c r="AD7" s="36" t="s">
        <v>103</v>
      </c>
      <c r="AE7" s="43" t="s">
        <v>107</v>
      </c>
      <c r="AF7" s="45" t="s">
        <v>109</v>
      </c>
      <c r="AG7" s="45" t="s">
        <v>109</v>
      </c>
      <c r="AH7" s="45" t="s">
        <v>109</v>
      </c>
      <c r="AI7" s="45" t="s">
        <v>109</v>
      </c>
      <c r="AJ7" s="47" t="s">
        <v>109</v>
      </c>
      <c r="AK7" s="38" t="s">
        <v>104</v>
      </c>
      <c r="AL7" s="36" t="s">
        <v>115</v>
      </c>
      <c r="AM7" s="32">
        <v>0.46</v>
      </c>
      <c r="AN7" s="45" t="s">
        <v>109</v>
      </c>
      <c r="AO7" s="70" t="s">
        <v>153</v>
      </c>
      <c r="AP7" s="33" t="s">
        <v>154</v>
      </c>
      <c r="AQ7" s="48" t="s">
        <v>111</v>
      </c>
      <c r="AR7" s="29">
        <v>0.46</v>
      </c>
      <c r="AS7" s="49">
        <v>45116.0</v>
      </c>
      <c r="AT7" s="68" t="s">
        <v>143</v>
      </c>
      <c r="AU7" s="33" t="s">
        <v>149</v>
      </c>
      <c r="AV7" s="34" t="s">
        <v>99</v>
      </c>
      <c r="AW7" s="53" t="s">
        <v>120</v>
      </c>
      <c r="AX7" s="49">
        <v>45123.0</v>
      </c>
      <c r="AY7" s="29">
        <v>0.15</v>
      </c>
      <c r="AZ7" s="37" t="s">
        <v>103</v>
      </c>
      <c r="BA7" s="34" t="s">
        <v>99</v>
      </c>
      <c r="BB7" s="36" t="s">
        <v>103</v>
      </c>
      <c r="BC7" s="54"/>
      <c r="BD7" s="34" t="s">
        <v>122</v>
      </c>
      <c r="BE7" s="37" t="s">
        <v>103</v>
      </c>
      <c r="BF7" s="71"/>
      <c r="BG7" s="71"/>
      <c r="BH7" s="72">
        <f t="shared" si="1"/>
        <v>92</v>
      </c>
      <c r="BI7" s="72">
        <f t="shared" si="2"/>
        <v>800</v>
      </c>
      <c r="BJ7" s="57"/>
      <c r="BK7" s="57"/>
      <c r="BL7" s="57"/>
      <c r="BM7" s="57"/>
    </row>
    <row r="8" ht="12.0" customHeight="1">
      <c r="A8" s="29">
        <v>4.0</v>
      </c>
      <c r="B8" s="31">
        <v>46224.51017384259</v>
      </c>
      <c r="C8" s="29" t="s">
        <v>155</v>
      </c>
      <c r="D8" s="29" t="s">
        <v>156</v>
      </c>
      <c r="E8" s="29" t="s">
        <v>157</v>
      </c>
      <c r="F8" s="29" t="s">
        <v>158</v>
      </c>
      <c r="G8" s="29" t="s">
        <v>159</v>
      </c>
      <c r="H8" s="32">
        <v>110.0</v>
      </c>
      <c r="I8" s="67" t="s">
        <v>160</v>
      </c>
      <c r="J8" s="73" t="s">
        <v>113</v>
      </c>
      <c r="K8" s="35" t="s">
        <v>101</v>
      </c>
      <c r="L8" s="36" t="s">
        <v>102</v>
      </c>
      <c r="M8" s="32">
        <v>3.5</v>
      </c>
      <c r="N8" s="37" t="s">
        <v>103</v>
      </c>
      <c r="O8" s="65" t="s">
        <v>117</v>
      </c>
      <c r="P8" s="68" t="s">
        <v>152</v>
      </c>
      <c r="Q8" s="32">
        <v>0.6</v>
      </c>
      <c r="R8" s="42">
        <v>44378.0</v>
      </c>
      <c r="S8" s="68" t="s">
        <v>143</v>
      </c>
      <c r="T8" s="29" t="s">
        <v>161</v>
      </c>
      <c r="U8" s="45" t="s">
        <v>109</v>
      </c>
      <c r="V8" s="45" t="s">
        <v>109</v>
      </c>
      <c r="W8" s="45" t="s">
        <v>109</v>
      </c>
      <c r="X8" s="45" t="s">
        <v>109</v>
      </c>
      <c r="Y8" s="47" t="s">
        <v>109</v>
      </c>
      <c r="Z8" s="66" t="s">
        <v>136</v>
      </c>
      <c r="AA8" s="68" t="s">
        <v>152</v>
      </c>
      <c r="AB8" s="32">
        <v>1.1</v>
      </c>
      <c r="AC8" s="49">
        <v>44378.0</v>
      </c>
      <c r="AD8" s="68" t="s">
        <v>143</v>
      </c>
      <c r="AE8" s="29" t="s">
        <v>162</v>
      </c>
      <c r="AF8" s="45" t="s">
        <v>109</v>
      </c>
      <c r="AG8" s="45" t="s">
        <v>109</v>
      </c>
      <c r="AH8" s="45" t="s">
        <v>109</v>
      </c>
      <c r="AI8" s="45" t="s">
        <v>109</v>
      </c>
      <c r="AJ8" s="47" t="s">
        <v>109</v>
      </c>
      <c r="AK8" s="65" t="s">
        <v>117</v>
      </c>
      <c r="AL8" s="36" t="s">
        <v>115</v>
      </c>
      <c r="AM8" s="32">
        <v>0.6</v>
      </c>
      <c r="AN8" s="49">
        <v>44743.0</v>
      </c>
      <c r="AO8" s="37" t="s">
        <v>103</v>
      </c>
      <c r="AP8" s="43" t="s">
        <v>107</v>
      </c>
      <c r="AQ8" s="66" t="s">
        <v>136</v>
      </c>
      <c r="AR8" s="29">
        <v>0.6</v>
      </c>
      <c r="AS8" s="49">
        <v>44743.0</v>
      </c>
      <c r="AT8" s="37" t="s">
        <v>103</v>
      </c>
      <c r="AU8" s="43" t="s">
        <v>107</v>
      </c>
      <c r="AV8" s="34" t="s">
        <v>99</v>
      </c>
      <c r="AW8" s="53" t="s">
        <v>120</v>
      </c>
      <c r="AX8" s="49">
        <v>44743.0</v>
      </c>
      <c r="AY8" s="29">
        <v>0.2</v>
      </c>
      <c r="AZ8" s="37" t="s">
        <v>103</v>
      </c>
      <c r="BA8" s="34" t="s">
        <v>99</v>
      </c>
      <c r="BB8" s="37" t="s">
        <v>103</v>
      </c>
      <c r="BC8" s="54"/>
      <c r="BD8" s="34" t="s">
        <v>122</v>
      </c>
      <c r="BE8" s="37" t="s">
        <v>103</v>
      </c>
      <c r="BF8" s="55"/>
      <c r="BG8" s="55"/>
      <c r="BH8" s="56">
        <f t="shared" si="1"/>
        <v>66</v>
      </c>
      <c r="BI8" s="56">
        <f t="shared" si="2"/>
        <v>385</v>
      </c>
      <c r="BJ8" s="57"/>
      <c r="BK8" s="57"/>
      <c r="BL8" s="57"/>
      <c r="BM8" s="57"/>
    </row>
    <row r="9" ht="12.0" customHeight="1">
      <c r="A9" s="29">
        <v>5.0</v>
      </c>
      <c r="B9" s="31">
        <v>46224.523739212964</v>
      </c>
      <c r="C9" s="29" t="s">
        <v>87</v>
      </c>
      <c r="D9" s="29" t="s">
        <v>132</v>
      </c>
      <c r="E9" s="29" t="s">
        <v>89</v>
      </c>
      <c r="F9" s="45" t="s">
        <v>109</v>
      </c>
      <c r="G9" s="29" t="s">
        <v>163</v>
      </c>
      <c r="H9" s="32">
        <v>338.0</v>
      </c>
      <c r="I9" s="67" t="s">
        <v>164</v>
      </c>
      <c r="J9" s="34" t="s">
        <v>99</v>
      </c>
      <c r="K9" s="74" t="s">
        <v>165</v>
      </c>
      <c r="L9" s="36" t="s">
        <v>102</v>
      </c>
      <c r="M9" s="32">
        <v>4.0</v>
      </c>
      <c r="N9" s="37" t="s">
        <v>103</v>
      </c>
      <c r="O9" s="65" t="s">
        <v>117</v>
      </c>
      <c r="P9" s="40" t="s">
        <v>105</v>
      </c>
      <c r="Q9" s="32">
        <v>2.0</v>
      </c>
      <c r="R9" s="42">
        <v>44330.0</v>
      </c>
      <c r="S9" s="37" t="s">
        <v>103</v>
      </c>
      <c r="T9" s="43" t="s">
        <v>107</v>
      </c>
      <c r="U9" s="45" t="s">
        <v>109</v>
      </c>
      <c r="V9" s="45" t="s">
        <v>109</v>
      </c>
      <c r="W9" s="45" t="s">
        <v>109</v>
      </c>
      <c r="X9" s="45" t="s">
        <v>109</v>
      </c>
      <c r="Y9" s="47" t="s">
        <v>109</v>
      </c>
      <c r="Z9" s="66" t="s">
        <v>136</v>
      </c>
      <c r="AA9" s="40" t="s">
        <v>105</v>
      </c>
      <c r="AB9" s="32">
        <v>1.8</v>
      </c>
      <c r="AC9" s="49">
        <v>45220.0</v>
      </c>
      <c r="AD9" s="37" t="s">
        <v>103</v>
      </c>
      <c r="AE9" s="43" t="s">
        <v>107</v>
      </c>
      <c r="AF9" s="45" t="s">
        <v>109</v>
      </c>
      <c r="AG9" s="45" t="s">
        <v>109</v>
      </c>
      <c r="AH9" s="45" t="s">
        <v>109</v>
      </c>
      <c r="AI9" s="45" t="s">
        <v>109</v>
      </c>
      <c r="AJ9" s="47" t="s">
        <v>109</v>
      </c>
      <c r="AK9" s="65" t="s">
        <v>117</v>
      </c>
      <c r="AL9" s="53" t="s">
        <v>130</v>
      </c>
      <c r="AM9" s="32">
        <v>0.6</v>
      </c>
      <c r="AN9" s="49">
        <v>45281.0</v>
      </c>
      <c r="AO9" s="37" t="s">
        <v>103</v>
      </c>
      <c r="AP9" s="33" t="s">
        <v>166</v>
      </c>
      <c r="AQ9" s="66" t="s">
        <v>136</v>
      </c>
      <c r="AR9" s="29">
        <v>0.6</v>
      </c>
      <c r="AS9" s="49">
        <v>45281.0</v>
      </c>
      <c r="AT9" s="37" t="s">
        <v>103</v>
      </c>
      <c r="AU9" s="33" t="s">
        <v>166</v>
      </c>
      <c r="AV9" s="34" t="s">
        <v>99</v>
      </c>
      <c r="AW9" s="53" t="s">
        <v>120</v>
      </c>
      <c r="AX9" s="49">
        <v>44978.0</v>
      </c>
      <c r="AY9" s="29">
        <v>0.2</v>
      </c>
      <c r="AZ9" s="37" t="s">
        <v>103</v>
      </c>
      <c r="BA9" s="34" t="s">
        <v>99</v>
      </c>
      <c r="BB9" s="37" t="s">
        <v>103</v>
      </c>
      <c r="BC9" s="54"/>
      <c r="BD9" s="34" t="s">
        <v>122</v>
      </c>
      <c r="BE9" s="37" t="s">
        <v>103</v>
      </c>
      <c r="BF9" s="55"/>
      <c r="BG9" s="55"/>
      <c r="BH9" s="56">
        <f t="shared" si="1"/>
        <v>676</v>
      </c>
      <c r="BI9" s="56">
        <f t="shared" si="2"/>
        <v>1352</v>
      </c>
      <c r="BJ9" s="57"/>
      <c r="BK9" s="57"/>
      <c r="BL9" s="57"/>
      <c r="BM9" s="57"/>
    </row>
    <row r="10" ht="12.0" customHeight="1">
      <c r="A10" s="58">
        <v>21.0</v>
      </c>
      <c r="B10" s="31">
        <v>46225.43794243055</v>
      </c>
      <c r="C10" s="29" t="s">
        <v>167</v>
      </c>
      <c r="D10" s="29" t="s">
        <v>132</v>
      </c>
      <c r="E10" s="29" t="s">
        <v>89</v>
      </c>
      <c r="F10" s="29" t="s">
        <v>168</v>
      </c>
      <c r="G10" s="29" t="s">
        <v>140</v>
      </c>
      <c r="H10" s="32">
        <v>78.0</v>
      </c>
      <c r="I10" s="67" t="s">
        <v>169</v>
      </c>
      <c r="J10" s="34" t="s">
        <v>99</v>
      </c>
      <c r="K10" s="35" t="s">
        <v>101</v>
      </c>
      <c r="L10" s="36" t="s">
        <v>102</v>
      </c>
      <c r="M10" s="32">
        <v>4.0</v>
      </c>
      <c r="N10" s="37" t="s">
        <v>103</v>
      </c>
      <c r="O10" s="65" t="s">
        <v>117</v>
      </c>
      <c r="P10" s="68" t="s">
        <v>152</v>
      </c>
      <c r="Q10" s="32">
        <v>1.4</v>
      </c>
      <c r="R10" s="75" t="s">
        <v>109</v>
      </c>
      <c r="S10" s="68" t="s">
        <v>143</v>
      </c>
      <c r="T10" s="29" t="s">
        <v>148</v>
      </c>
      <c r="U10" s="45" t="s">
        <v>109</v>
      </c>
      <c r="V10" s="45" t="s">
        <v>109</v>
      </c>
      <c r="W10" s="45" t="s">
        <v>109</v>
      </c>
      <c r="X10" s="45" t="s">
        <v>109</v>
      </c>
      <c r="Y10" s="47" t="s">
        <v>109</v>
      </c>
      <c r="Z10" s="66" t="s">
        <v>136</v>
      </c>
      <c r="AA10" s="68" t="s">
        <v>152</v>
      </c>
      <c r="AB10" s="32">
        <v>1.4</v>
      </c>
      <c r="AC10" s="75" t="s">
        <v>109</v>
      </c>
      <c r="AD10" s="68" t="s">
        <v>143</v>
      </c>
      <c r="AE10" s="29" t="s">
        <v>148</v>
      </c>
      <c r="AF10" s="45" t="s">
        <v>109</v>
      </c>
      <c r="AG10" s="45" t="s">
        <v>109</v>
      </c>
      <c r="AH10" s="45" t="s">
        <v>109</v>
      </c>
      <c r="AI10" s="45" t="s">
        <v>109</v>
      </c>
      <c r="AJ10" s="47" t="s">
        <v>109</v>
      </c>
      <c r="AK10" s="65" t="s">
        <v>117</v>
      </c>
      <c r="AL10" s="36" t="s">
        <v>115</v>
      </c>
      <c r="AM10" s="32">
        <v>0.6</v>
      </c>
      <c r="AN10" s="49">
        <v>44684.0</v>
      </c>
      <c r="AO10" s="70" t="s">
        <v>153</v>
      </c>
      <c r="AP10" s="33" t="s">
        <v>170</v>
      </c>
      <c r="AQ10" s="66" t="s">
        <v>136</v>
      </c>
      <c r="AR10" s="29">
        <v>0.6</v>
      </c>
      <c r="AS10" s="49">
        <v>44684.0</v>
      </c>
      <c r="AT10" s="70" t="s">
        <v>153</v>
      </c>
      <c r="AU10" s="33" t="s">
        <v>171</v>
      </c>
      <c r="AV10" s="34" t="s">
        <v>99</v>
      </c>
      <c r="AW10" s="53" t="s">
        <v>120</v>
      </c>
      <c r="AX10" s="49">
        <v>44688.0</v>
      </c>
      <c r="AY10" s="29">
        <v>0.15</v>
      </c>
      <c r="AZ10" s="37" t="s">
        <v>103</v>
      </c>
      <c r="BA10" s="34" t="s">
        <v>99</v>
      </c>
      <c r="BB10" s="36" t="s">
        <v>103</v>
      </c>
      <c r="BC10" s="54"/>
      <c r="BD10" s="34" t="s">
        <v>122</v>
      </c>
      <c r="BE10" s="37" t="s">
        <v>103</v>
      </c>
      <c r="BF10" s="71"/>
      <c r="BG10" s="71"/>
      <c r="BH10" s="76">
        <f t="shared" si="1"/>
        <v>109.2</v>
      </c>
      <c r="BI10" s="76">
        <f t="shared" si="2"/>
        <v>312</v>
      </c>
    </row>
    <row r="11" ht="12.0" customHeight="1">
      <c r="A11" s="29">
        <v>22.0</v>
      </c>
      <c r="B11" s="31">
        <v>46225.44310420139</v>
      </c>
      <c r="C11" s="29" t="s">
        <v>167</v>
      </c>
      <c r="D11" s="77"/>
      <c r="E11" s="29" t="s">
        <v>89</v>
      </c>
      <c r="F11" s="29" t="s">
        <v>172</v>
      </c>
      <c r="G11" s="29" t="s">
        <v>140</v>
      </c>
      <c r="H11" s="32">
        <v>47.0</v>
      </c>
      <c r="I11" s="67" t="s">
        <v>173</v>
      </c>
      <c r="J11" s="34" t="s">
        <v>99</v>
      </c>
      <c r="K11" s="35" t="s">
        <v>101</v>
      </c>
      <c r="L11" s="36" t="s">
        <v>102</v>
      </c>
      <c r="M11" s="32">
        <v>4.0</v>
      </c>
      <c r="N11" s="37" t="s">
        <v>103</v>
      </c>
      <c r="O11" s="65" t="s">
        <v>117</v>
      </c>
      <c r="P11" s="68" t="s">
        <v>152</v>
      </c>
      <c r="Q11" s="32">
        <v>0.45</v>
      </c>
      <c r="R11" s="75" t="s">
        <v>109</v>
      </c>
      <c r="S11" s="68" t="s">
        <v>143</v>
      </c>
      <c r="T11" s="29" t="s">
        <v>148</v>
      </c>
      <c r="U11" s="45" t="s">
        <v>109</v>
      </c>
      <c r="V11" s="45" t="s">
        <v>109</v>
      </c>
      <c r="W11" s="45" t="s">
        <v>109</v>
      </c>
      <c r="X11" s="45" t="s">
        <v>109</v>
      </c>
      <c r="Y11" s="47" t="s">
        <v>109</v>
      </c>
      <c r="Z11" s="66" t="s">
        <v>136</v>
      </c>
      <c r="AA11" s="68" t="s">
        <v>152</v>
      </c>
      <c r="AB11" s="32">
        <v>0.45</v>
      </c>
      <c r="AC11" s="75" t="s">
        <v>109</v>
      </c>
      <c r="AD11" s="68" t="s">
        <v>143</v>
      </c>
      <c r="AE11" s="29" t="s">
        <v>148</v>
      </c>
      <c r="AF11" s="45" t="s">
        <v>109</v>
      </c>
      <c r="AG11" s="45" t="s">
        <v>109</v>
      </c>
      <c r="AH11" s="45" t="s">
        <v>109</v>
      </c>
      <c r="AI11" s="45" t="s">
        <v>109</v>
      </c>
      <c r="AJ11" s="47" t="s">
        <v>109</v>
      </c>
      <c r="AK11" s="65" t="s">
        <v>117</v>
      </c>
      <c r="AL11" s="36" t="s">
        <v>115</v>
      </c>
      <c r="AM11" s="32">
        <v>0.6</v>
      </c>
      <c r="AN11" s="49">
        <v>44734.0</v>
      </c>
      <c r="AO11" s="37" t="s">
        <v>103</v>
      </c>
      <c r="AP11" s="43" t="s">
        <v>107</v>
      </c>
      <c r="AQ11" s="66" t="s">
        <v>136</v>
      </c>
      <c r="AR11" s="29">
        <v>0.6</v>
      </c>
      <c r="AS11" s="49">
        <v>44734.0</v>
      </c>
      <c r="AT11" s="37" t="s">
        <v>103</v>
      </c>
      <c r="AU11" s="43" t="s">
        <v>107</v>
      </c>
      <c r="AV11" s="34" t="s">
        <v>99</v>
      </c>
      <c r="AW11" s="53" t="s">
        <v>120</v>
      </c>
      <c r="AX11" s="49">
        <v>45038.0</v>
      </c>
      <c r="AY11" s="29">
        <v>0.15</v>
      </c>
      <c r="AZ11" s="37" t="s">
        <v>103</v>
      </c>
      <c r="BA11" s="34" t="s">
        <v>99</v>
      </c>
      <c r="BB11" s="36" t="s">
        <v>103</v>
      </c>
      <c r="BC11" s="54"/>
      <c r="BD11" s="34" t="s">
        <v>122</v>
      </c>
      <c r="BE11" s="37" t="s">
        <v>103</v>
      </c>
      <c r="BF11" s="71"/>
      <c r="BG11" s="71"/>
      <c r="BH11" s="76">
        <f t="shared" si="1"/>
        <v>21.15</v>
      </c>
      <c r="BI11" s="76">
        <f t="shared" si="2"/>
        <v>188</v>
      </c>
    </row>
    <row r="12" ht="12.0" customHeight="1">
      <c r="A12" s="29">
        <v>23.0</v>
      </c>
      <c r="B12" s="31">
        <v>46225.44883731482</v>
      </c>
      <c r="C12" s="29" t="s">
        <v>167</v>
      </c>
      <c r="D12" s="77"/>
      <c r="E12" s="29" t="s">
        <v>174</v>
      </c>
      <c r="F12" s="29" t="s">
        <v>175</v>
      </c>
      <c r="G12" s="29" t="s">
        <v>140</v>
      </c>
      <c r="H12" s="32">
        <v>18.0</v>
      </c>
      <c r="I12" s="67" t="s">
        <v>176</v>
      </c>
      <c r="J12" s="34" t="s">
        <v>99</v>
      </c>
      <c r="K12" s="35" t="s">
        <v>101</v>
      </c>
      <c r="L12" s="36" t="s">
        <v>102</v>
      </c>
      <c r="M12" s="32">
        <v>4.0</v>
      </c>
      <c r="N12" s="37" t="s">
        <v>103</v>
      </c>
      <c r="O12" s="38" t="s">
        <v>104</v>
      </c>
      <c r="P12" s="68" t="s">
        <v>152</v>
      </c>
      <c r="Q12" s="32">
        <v>0.9</v>
      </c>
      <c r="R12" s="75" t="s">
        <v>109</v>
      </c>
      <c r="S12" s="68" t="s">
        <v>143</v>
      </c>
      <c r="T12" s="29" t="s">
        <v>148</v>
      </c>
      <c r="U12" s="45" t="s">
        <v>109</v>
      </c>
      <c r="V12" s="45" t="s">
        <v>109</v>
      </c>
      <c r="W12" s="45" t="s">
        <v>109</v>
      </c>
      <c r="X12" s="45" t="s">
        <v>109</v>
      </c>
      <c r="Y12" s="47" t="s">
        <v>109</v>
      </c>
      <c r="Z12" s="48" t="s">
        <v>111</v>
      </c>
      <c r="AA12" s="68" t="s">
        <v>152</v>
      </c>
      <c r="AB12" s="32">
        <v>0.9</v>
      </c>
      <c r="AC12" s="75" t="s">
        <v>109</v>
      </c>
      <c r="AD12" s="68" t="s">
        <v>143</v>
      </c>
      <c r="AE12" s="29" t="s">
        <v>148</v>
      </c>
      <c r="AF12" s="45" t="s">
        <v>109</v>
      </c>
      <c r="AG12" s="45" t="s">
        <v>109</v>
      </c>
      <c r="AH12" s="45" t="s">
        <v>109</v>
      </c>
      <c r="AI12" s="45" t="s">
        <v>109</v>
      </c>
      <c r="AJ12" s="47" t="s">
        <v>109</v>
      </c>
      <c r="AK12" s="38" t="s">
        <v>104</v>
      </c>
      <c r="AL12" s="36" t="s">
        <v>115</v>
      </c>
      <c r="AM12" s="32">
        <v>0.6</v>
      </c>
      <c r="AN12" s="49">
        <v>44308.0</v>
      </c>
      <c r="AO12" s="70" t="s">
        <v>153</v>
      </c>
      <c r="AP12" s="43" t="s">
        <v>107</v>
      </c>
      <c r="AQ12" s="48" t="s">
        <v>111</v>
      </c>
      <c r="AR12" s="29">
        <v>0.6</v>
      </c>
      <c r="AS12" s="49">
        <v>44642.0</v>
      </c>
      <c r="AT12" s="70" t="s">
        <v>153</v>
      </c>
      <c r="AU12" s="43" t="s">
        <v>107</v>
      </c>
      <c r="AV12" s="34" t="s">
        <v>99</v>
      </c>
      <c r="AW12" s="53" t="s">
        <v>120</v>
      </c>
      <c r="AX12" s="49">
        <v>44703.0</v>
      </c>
      <c r="AY12" s="29">
        <v>0.15</v>
      </c>
      <c r="AZ12" s="37" t="s">
        <v>103</v>
      </c>
      <c r="BA12" s="34" t="s">
        <v>99</v>
      </c>
      <c r="BB12" s="36" t="s">
        <v>103</v>
      </c>
      <c r="BC12" s="54"/>
      <c r="BD12" s="34" t="s">
        <v>122</v>
      </c>
      <c r="BE12" s="37" t="s">
        <v>103</v>
      </c>
      <c r="BF12" s="71"/>
      <c r="BG12" s="71"/>
      <c r="BH12" s="76">
        <f t="shared" si="1"/>
        <v>16.2</v>
      </c>
      <c r="BI12" s="76">
        <f t="shared" si="2"/>
        <v>72</v>
      </c>
    </row>
    <row r="13" ht="12.0" customHeight="1">
      <c r="A13" s="58">
        <v>6.0</v>
      </c>
      <c r="B13" s="31">
        <v>46224.533417569444</v>
      </c>
      <c r="C13" s="29" t="s">
        <v>87</v>
      </c>
      <c r="D13" s="29" t="s">
        <v>132</v>
      </c>
      <c r="E13" s="29" t="s">
        <v>174</v>
      </c>
      <c r="F13" s="29" t="s">
        <v>177</v>
      </c>
      <c r="G13" s="29" t="s">
        <v>140</v>
      </c>
      <c r="H13" s="32">
        <v>97.0</v>
      </c>
      <c r="I13" s="67" t="s">
        <v>178</v>
      </c>
      <c r="J13" s="34" t="s">
        <v>99</v>
      </c>
      <c r="K13" s="35" t="s">
        <v>101</v>
      </c>
      <c r="L13" s="36" t="s">
        <v>102</v>
      </c>
      <c r="M13" s="32">
        <v>4.0</v>
      </c>
      <c r="N13" s="37" t="s">
        <v>103</v>
      </c>
      <c r="O13" s="65" t="s">
        <v>117</v>
      </c>
      <c r="P13" s="78" t="s">
        <v>118</v>
      </c>
      <c r="Q13" s="32">
        <v>2.0</v>
      </c>
      <c r="R13" s="42">
        <v>45556.0</v>
      </c>
      <c r="S13" s="37" t="s">
        <v>103</v>
      </c>
      <c r="T13" s="43" t="s">
        <v>107</v>
      </c>
      <c r="U13" s="45" t="s">
        <v>109</v>
      </c>
      <c r="V13" s="45" t="s">
        <v>109</v>
      </c>
      <c r="W13" s="45" t="s">
        <v>109</v>
      </c>
      <c r="X13" s="45" t="s">
        <v>109</v>
      </c>
      <c r="Y13" s="47" t="s">
        <v>109</v>
      </c>
      <c r="Z13" s="48" t="s">
        <v>111</v>
      </c>
      <c r="AA13" s="78" t="s">
        <v>118</v>
      </c>
      <c r="AB13" s="32">
        <v>2.0</v>
      </c>
      <c r="AC13" s="49">
        <v>45343.0</v>
      </c>
      <c r="AD13" s="37" t="s">
        <v>103</v>
      </c>
      <c r="AE13" s="43" t="s">
        <v>107</v>
      </c>
      <c r="AF13" s="45" t="s">
        <v>109</v>
      </c>
      <c r="AG13" s="45" t="s">
        <v>109</v>
      </c>
      <c r="AH13" s="45" t="s">
        <v>109</v>
      </c>
      <c r="AI13" s="45" t="s">
        <v>109</v>
      </c>
      <c r="AJ13" s="47" t="s">
        <v>109</v>
      </c>
      <c r="AK13" s="38" t="s">
        <v>104</v>
      </c>
      <c r="AL13" s="36" t="s">
        <v>115</v>
      </c>
      <c r="AM13" s="79">
        <v>0.0</v>
      </c>
      <c r="AN13" s="49">
        <v>45647.0</v>
      </c>
      <c r="AO13" s="37" t="s">
        <v>103</v>
      </c>
      <c r="AP13" s="33" t="s">
        <v>103</v>
      </c>
      <c r="AQ13" s="66" t="s">
        <v>136</v>
      </c>
      <c r="AR13" s="29">
        <v>0.6</v>
      </c>
      <c r="AS13" s="49">
        <v>45343.0</v>
      </c>
      <c r="AT13" s="37" t="s">
        <v>103</v>
      </c>
      <c r="AU13" s="33" t="s">
        <v>179</v>
      </c>
      <c r="AV13" s="34" t="s">
        <v>99</v>
      </c>
      <c r="AW13" s="53" t="s">
        <v>120</v>
      </c>
      <c r="AX13" s="49">
        <v>43759.0</v>
      </c>
      <c r="AY13" s="29">
        <v>0.15</v>
      </c>
      <c r="AZ13" s="37" t="s">
        <v>103</v>
      </c>
      <c r="BA13" s="34" t="s">
        <v>99</v>
      </c>
      <c r="BB13" s="37" t="s">
        <v>103</v>
      </c>
      <c r="BC13" s="54"/>
      <c r="BD13" s="34" t="s">
        <v>122</v>
      </c>
      <c r="BE13" s="37" t="s">
        <v>103</v>
      </c>
      <c r="BF13" s="55"/>
      <c r="BG13" s="55"/>
      <c r="BH13" s="56">
        <f t="shared" si="1"/>
        <v>194</v>
      </c>
      <c r="BI13" s="56">
        <f t="shared" si="2"/>
        <v>388</v>
      </c>
      <c r="BJ13" s="57"/>
      <c r="BK13" s="57"/>
      <c r="BL13" s="57"/>
      <c r="BM13" s="57"/>
    </row>
    <row r="14" ht="12.0" customHeight="1">
      <c r="A14" s="29">
        <v>7.0</v>
      </c>
      <c r="B14" s="31">
        <v>46224.54124910879</v>
      </c>
      <c r="C14" s="29" t="s">
        <v>180</v>
      </c>
      <c r="D14" s="29" t="s">
        <v>181</v>
      </c>
      <c r="E14" s="29" t="s">
        <v>182</v>
      </c>
      <c r="F14" s="29" t="s">
        <v>133</v>
      </c>
      <c r="G14" s="29" t="s">
        <v>140</v>
      </c>
      <c r="H14" s="32">
        <v>42.0</v>
      </c>
      <c r="I14" s="67" t="s">
        <v>183</v>
      </c>
      <c r="J14" s="34" t="s">
        <v>99</v>
      </c>
      <c r="K14" s="35" t="s">
        <v>101</v>
      </c>
      <c r="L14" s="36" t="s">
        <v>102</v>
      </c>
      <c r="M14" s="32">
        <v>3.52</v>
      </c>
      <c r="N14" s="37" t="s">
        <v>103</v>
      </c>
      <c r="O14" s="38" t="s">
        <v>104</v>
      </c>
      <c r="P14" s="68" t="s">
        <v>152</v>
      </c>
      <c r="Q14" s="32">
        <v>1.6</v>
      </c>
      <c r="R14" s="42">
        <v>44763.0</v>
      </c>
      <c r="S14" s="68" t="s">
        <v>143</v>
      </c>
      <c r="T14" s="29" t="s">
        <v>184</v>
      </c>
      <c r="U14" s="45" t="s">
        <v>109</v>
      </c>
      <c r="V14" s="45" t="s">
        <v>109</v>
      </c>
      <c r="W14" s="45" t="s">
        <v>109</v>
      </c>
      <c r="X14" s="45" t="s">
        <v>109</v>
      </c>
      <c r="Y14" s="47" t="s">
        <v>109</v>
      </c>
      <c r="Z14" s="48" t="s">
        <v>111</v>
      </c>
      <c r="AA14" s="68" t="s">
        <v>152</v>
      </c>
      <c r="AB14" s="32">
        <v>1.33</v>
      </c>
      <c r="AC14" s="49">
        <v>40380.0</v>
      </c>
      <c r="AD14" s="68" t="s">
        <v>143</v>
      </c>
      <c r="AE14" s="29" t="s">
        <v>185</v>
      </c>
      <c r="AF14" s="45" t="s">
        <v>109</v>
      </c>
      <c r="AG14" s="45" t="s">
        <v>109</v>
      </c>
      <c r="AH14" s="45" t="s">
        <v>109</v>
      </c>
      <c r="AI14" s="45" t="s">
        <v>109</v>
      </c>
      <c r="AJ14" s="47" t="s">
        <v>109</v>
      </c>
      <c r="AK14" s="38" t="s">
        <v>104</v>
      </c>
      <c r="AL14" s="36" t="s">
        <v>115</v>
      </c>
      <c r="AM14" s="32">
        <v>0.45</v>
      </c>
      <c r="AN14" s="49">
        <v>40380.0</v>
      </c>
      <c r="AO14" s="68" t="s">
        <v>143</v>
      </c>
      <c r="AP14" s="33" t="s">
        <v>186</v>
      </c>
      <c r="AQ14" s="48" t="s">
        <v>111</v>
      </c>
      <c r="AR14" s="29">
        <v>1.32</v>
      </c>
      <c r="AS14" s="49">
        <v>40380.0</v>
      </c>
      <c r="AT14" s="68" t="s">
        <v>143</v>
      </c>
      <c r="AU14" s="33" t="s">
        <v>187</v>
      </c>
      <c r="AV14" s="34" t="s">
        <v>99</v>
      </c>
      <c r="AW14" s="53" t="s">
        <v>120</v>
      </c>
      <c r="AX14" s="49">
        <v>45494.0</v>
      </c>
      <c r="AY14" s="29">
        <v>0.15</v>
      </c>
      <c r="AZ14" s="37" t="s">
        <v>103</v>
      </c>
      <c r="BA14" s="34" t="s">
        <v>99</v>
      </c>
      <c r="BB14" s="37" t="s">
        <v>103</v>
      </c>
      <c r="BC14" s="54"/>
      <c r="BD14" s="80" t="s">
        <v>188</v>
      </c>
      <c r="BE14" s="37" t="s">
        <v>103</v>
      </c>
      <c r="BF14" s="55"/>
      <c r="BG14" s="55"/>
      <c r="BH14" s="56">
        <f t="shared" si="1"/>
        <v>67.2</v>
      </c>
      <c r="BI14" s="56">
        <f t="shared" si="2"/>
        <v>147.84</v>
      </c>
      <c r="BJ14" s="57"/>
      <c r="BK14" s="57"/>
      <c r="BL14" s="57"/>
      <c r="BM14" s="57"/>
    </row>
    <row r="15" ht="12.0" customHeight="1">
      <c r="A15" s="29">
        <v>8.0</v>
      </c>
      <c r="B15" s="31">
        <v>46224.54181761574</v>
      </c>
      <c r="C15" s="29" t="s">
        <v>87</v>
      </c>
      <c r="D15" s="29" t="s">
        <v>88</v>
      </c>
      <c r="E15" s="29" t="s">
        <v>174</v>
      </c>
      <c r="F15" s="29" t="s">
        <v>139</v>
      </c>
      <c r="G15" s="29" t="s">
        <v>140</v>
      </c>
      <c r="H15" s="32">
        <v>41.0</v>
      </c>
      <c r="I15" s="67" t="s">
        <v>189</v>
      </c>
      <c r="J15" s="34" t="s">
        <v>99</v>
      </c>
      <c r="K15" s="35" t="s">
        <v>101</v>
      </c>
      <c r="L15" s="36" t="s">
        <v>102</v>
      </c>
      <c r="M15" s="32">
        <v>4.0</v>
      </c>
      <c r="N15" s="37" t="s">
        <v>103</v>
      </c>
      <c r="O15" s="38" t="s">
        <v>104</v>
      </c>
      <c r="P15" s="40" t="s">
        <v>105</v>
      </c>
      <c r="Q15" s="81"/>
      <c r="R15" s="82"/>
      <c r="S15" s="83"/>
      <c r="T15" s="84" t="s">
        <v>107</v>
      </c>
      <c r="U15" s="45" t="s">
        <v>109</v>
      </c>
      <c r="V15" s="45" t="s">
        <v>109</v>
      </c>
      <c r="W15" s="45" t="s">
        <v>109</v>
      </c>
      <c r="X15" s="45" t="s">
        <v>109</v>
      </c>
      <c r="Y15" s="47" t="s">
        <v>109</v>
      </c>
      <c r="Z15" s="48" t="s">
        <v>111</v>
      </c>
      <c r="AA15" s="40" t="s">
        <v>105</v>
      </c>
      <c r="AB15" s="45" t="s">
        <v>109</v>
      </c>
      <c r="AC15" s="45" t="s">
        <v>109</v>
      </c>
      <c r="AD15" s="85" t="s">
        <v>190</v>
      </c>
      <c r="AE15" s="43" t="s">
        <v>107</v>
      </c>
      <c r="AF15" s="45" t="s">
        <v>109</v>
      </c>
      <c r="AG15" s="45" t="s">
        <v>109</v>
      </c>
      <c r="AH15" s="45" t="s">
        <v>109</v>
      </c>
      <c r="AI15" s="45" t="s">
        <v>109</v>
      </c>
      <c r="AJ15" s="47" t="s">
        <v>109</v>
      </c>
      <c r="AK15" s="38" t="s">
        <v>104</v>
      </c>
      <c r="AL15" s="86" t="s">
        <v>191</v>
      </c>
      <c r="AM15" s="79">
        <v>0.0</v>
      </c>
      <c r="AN15" s="45" t="s">
        <v>109</v>
      </c>
      <c r="AO15" s="68" t="s">
        <v>143</v>
      </c>
      <c r="AP15" s="43" t="s">
        <v>107</v>
      </c>
      <c r="AQ15" s="48" t="s">
        <v>111</v>
      </c>
      <c r="AR15" s="29">
        <v>0.4</v>
      </c>
      <c r="AS15" s="77"/>
      <c r="AT15" s="68" t="s">
        <v>143</v>
      </c>
      <c r="AU15" s="43" t="s">
        <v>107</v>
      </c>
      <c r="AV15" s="73" t="s">
        <v>113</v>
      </c>
      <c r="AW15" s="68" t="s">
        <v>143</v>
      </c>
      <c r="AX15" s="77"/>
      <c r="AY15" s="77"/>
      <c r="AZ15" s="87" t="s">
        <v>143</v>
      </c>
      <c r="BA15" s="34" t="s">
        <v>99</v>
      </c>
      <c r="BB15" s="37" t="s">
        <v>103</v>
      </c>
      <c r="BC15" s="54"/>
      <c r="BD15" s="34" t="s">
        <v>122</v>
      </c>
      <c r="BE15" s="37" t="s">
        <v>103</v>
      </c>
      <c r="BF15" s="55"/>
      <c r="BG15" s="55"/>
      <c r="BH15" s="56">
        <f t="shared" si="1"/>
        <v>0</v>
      </c>
      <c r="BI15" s="56">
        <f t="shared" si="2"/>
        <v>164</v>
      </c>
      <c r="BJ15" s="57"/>
      <c r="BK15" s="57"/>
      <c r="BL15" s="57"/>
      <c r="BM15" s="57"/>
    </row>
    <row r="16" ht="12.0" customHeight="1">
      <c r="A16" s="29">
        <v>9.0</v>
      </c>
      <c r="B16" s="31">
        <v>46224.55115612269</v>
      </c>
      <c r="C16" s="29" t="s">
        <v>87</v>
      </c>
      <c r="D16" s="29" t="s">
        <v>88</v>
      </c>
      <c r="E16" s="29" t="s">
        <v>174</v>
      </c>
      <c r="F16" s="29" t="s">
        <v>146</v>
      </c>
      <c r="G16" s="29" t="s">
        <v>140</v>
      </c>
      <c r="H16" s="32">
        <v>40.0</v>
      </c>
      <c r="I16" s="67" t="s">
        <v>192</v>
      </c>
      <c r="J16" s="34" t="s">
        <v>99</v>
      </c>
      <c r="K16" s="35" t="s">
        <v>101</v>
      </c>
      <c r="L16" s="36" t="s">
        <v>102</v>
      </c>
      <c r="M16" s="32">
        <v>4.0</v>
      </c>
      <c r="N16" s="37" t="s">
        <v>103</v>
      </c>
      <c r="O16" s="38" t="s">
        <v>104</v>
      </c>
      <c r="P16" s="40" t="s">
        <v>105</v>
      </c>
      <c r="Q16" s="81"/>
      <c r="R16" s="82"/>
      <c r="S16" s="83"/>
      <c r="T16" s="84" t="s">
        <v>107</v>
      </c>
      <c r="U16" s="45" t="s">
        <v>109</v>
      </c>
      <c r="V16" s="45" t="s">
        <v>109</v>
      </c>
      <c r="W16" s="45" t="s">
        <v>109</v>
      </c>
      <c r="X16" s="45" t="s">
        <v>109</v>
      </c>
      <c r="Y16" s="47" t="s">
        <v>109</v>
      </c>
      <c r="Z16" s="48" t="s">
        <v>111</v>
      </c>
      <c r="AA16" s="40" t="s">
        <v>105</v>
      </c>
      <c r="AB16" s="45" t="s">
        <v>109</v>
      </c>
      <c r="AC16" s="45" t="s">
        <v>109</v>
      </c>
      <c r="AD16" s="85" t="s">
        <v>190</v>
      </c>
      <c r="AE16" s="43" t="s">
        <v>107</v>
      </c>
      <c r="AF16" s="45" t="s">
        <v>109</v>
      </c>
      <c r="AG16" s="45" t="s">
        <v>109</v>
      </c>
      <c r="AH16" s="45" t="s">
        <v>109</v>
      </c>
      <c r="AI16" s="45" t="s">
        <v>109</v>
      </c>
      <c r="AJ16" s="47" t="s">
        <v>109</v>
      </c>
      <c r="AK16" s="38" t="s">
        <v>104</v>
      </c>
      <c r="AL16" s="68" t="s">
        <v>143</v>
      </c>
      <c r="AM16" s="32">
        <v>0.45</v>
      </c>
      <c r="AN16" s="49">
        <v>43667.0</v>
      </c>
      <c r="AO16" s="68" t="s">
        <v>143</v>
      </c>
      <c r="AP16" s="33" t="s">
        <v>193</v>
      </c>
      <c r="AQ16" s="48" t="s">
        <v>111</v>
      </c>
      <c r="AR16" s="29">
        <v>0.45</v>
      </c>
      <c r="AS16" s="49">
        <v>43667.0</v>
      </c>
      <c r="AT16" s="68" t="s">
        <v>143</v>
      </c>
      <c r="AU16" s="33" t="s">
        <v>149</v>
      </c>
      <c r="AV16" s="73" t="s">
        <v>113</v>
      </c>
      <c r="AW16" s="68" t="s">
        <v>143</v>
      </c>
      <c r="AX16" s="77"/>
      <c r="AY16" s="77"/>
      <c r="AZ16" s="87" t="s">
        <v>143</v>
      </c>
      <c r="BA16" s="34" t="s">
        <v>99</v>
      </c>
      <c r="BB16" s="37" t="s">
        <v>103</v>
      </c>
      <c r="BC16" s="54"/>
      <c r="BD16" s="34" t="s">
        <v>122</v>
      </c>
      <c r="BE16" s="37" t="s">
        <v>103</v>
      </c>
      <c r="BF16" s="55"/>
      <c r="BG16" s="55"/>
      <c r="BH16" s="56">
        <f t="shared" si="1"/>
        <v>0</v>
      </c>
      <c r="BI16" s="56">
        <f t="shared" si="2"/>
        <v>160</v>
      </c>
      <c r="BJ16" s="57"/>
      <c r="BK16" s="57"/>
      <c r="BL16" s="57"/>
      <c r="BM16" s="57"/>
    </row>
    <row r="17" ht="12.0" customHeight="1">
      <c r="A17" s="29">
        <v>12.0</v>
      </c>
      <c r="B17" s="31">
        <v>46224.562350057866</v>
      </c>
      <c r="C17" s="29" t="s">
        <v>87</v>
      </c>
      <c r="D17" s="29" t="s">
        <v>132</v>
      </c>
      <c r="E17" s="29" t="s">
        <v>88</v>
      </c>
      <c r="F17" s="29" t="s">
        <v>109</v>
      </c>
      <c r="G17" s="29" t="s">
        <v>194</v>
      </c>
      <c r="H17" s="32">
        <v>20.0</v>
      </c>
      <c r="I17" s="67" t="s">
        <v>195</v>
      </c>
      <c r="J17" s="34" t="s">
        <v>99</v>
      </c>
      <c r="K17" s="35" t="s">
        <v>101</v>
      </c>
      <c r="L17" s="36" t="s">
        <v>102</v>
      </c>
      <c r="M17" s="32">
        <v>4.0</v>
      </c>
      <c r="N17" s="37" t="s">
        <v>103</v>
      </c>
      <c r="O17" s="38" t="s">
        <v>104</v>
      </c>
      <c r="P17" s="68" t="s">
        <v>152</v>
      </c>
      <c r="Q17" s="32">
        <v>1.0</v>
      </c>
      <c r="R17" s="42">
        <v>43517.0</v>
      </c>
      <c r="S17" s="68" t="s">
        <v>143</v>
      </c>
      <c r="T17" s="29" t="s">
        <v>196</v>
      </c>
      <c r="U17" s="45" t="s">
        <v>109</v>
      </c>
      <c r="V17" s="45" t="s">
        <v>109</v>
      </c>
      <c r="W17" s="45" t="s">
        <v>109</v>
      </c>
      <c r="X17" s="45" t="s">
        <v>109</v>
      </c>
      <c r="Y17" s="47" t="s">
        <v>109</v>
      </c>
      <c r="Z17" s="48" t="s">
        <v>111</v>
      </c>
      <c r="AA17" s="68" t="s">
        <v>152</v>
      </c>
      <c r="AB17" s="32">
        <v>1.0</v>
      </c>
      <c r="AC17" s="49">
        <v>43302.0</v>
      </c>
      <c r="AD17" s="68" t="s">
        <v>143</v>
      </c>
      <c r="AE17" s="29" t="s">
        <v>197</v>
      </c>
      <c r="AF17" s="45" t="s">
        <v>109</v>
      </c>
      <c r="AG17" s="45" t="s">
        <v>109</v>
      </c>
      <c r="AH17" s="45" t="s">
        <v>109</v>
      </c>
      <c r="AI17" s="45" t="s">
        <v>109</v>
      </c>
      <c r="AJ17" s="47" t="s">
        <v>109</v>
      </c>
      <c r="AK17" s="38" t="s">
        <v>104</v>
      </c>
      <c r="AL17" s="68" t="s">
        <v>143</v>
      </c>
      <c r="AM17" s="32">
        <v>0.45</v>
      </c>
      <c r="AN17" s="49">
        <v>34901.0</v>
      </c>
      <c r="AO17" s="68" t="s">
        <v>143</v>
      </c>
      <c r="AP17" s="33" t="s">
        <v>198</v>
      </c>
      <c r="AQ17" s="48" t="s">
        <v>111</v>
      </c>
      <c r="AR17" s="29">
        <v>0.45</v>
      </c>
      <c r="AS17" s="49">
        <v>35267.0</v>
      </c>
      <c r="AT17" s="68" t="s">
        <v>143</v>
      </c>
      <c r="AU17" s="33" t="s">
        <v>199</v>
      </c>
      <c r="AV17" s="73" t="s">
        <v>113</v>
      </c>
      <c r="AW17" s="68" t="s">
        <v>143</v>
      </c>
      <c r="AX17" s="77"/>
      <c r="AY17" s="77"/>
      <c r="AZ17" s="33" t="s">
        <v>200</v>
      </c>
      <c r="BA17" s="34" t="s">
        <v>99</v>
      </c>
      <c r="BB17" s="37" t="s">
        <v>103</v>
      </c>
      <c r="BC17" s="54"/>
      <c r="BD17" s="73" t="s">
        <v>143</v>
      </c>
      <c r="BE17" s="87" t="s">
        <v>143</v>
      </c>
      <c r="BF17" s="55"/>
      <c r="BG17" s="55"/>
      <c r="BH17" s="56">
        <f t="shared" si="1"/>
        <v>20</v>
      </c>
      <c r="BI17" s="56">
        <f t="shared" si="2"/>
        <v>80</v>
      </c>
      <c r="BJ17" s="57"/>
      <c r="BK17" s="57"/>
      <c r="BL17" s="57"/>
      <c r="BM17" s="57"/>
    </row>
    <row r="18" ht="12.0" customHeight="1">
      <c r="A18" s="58">
        <v>11.0</v>
      </c>
      <c r="B18" s="31">
        <v>46224.56023225695</v>
      </c>
      <c r="C18" s="29" t="s">
        <v>180</v>
      </c>
      <c r="D18" s="29" t="s">
        <v>181</v>
      </c>
      <c r="E18" s="29" t="s">
        <v>182</v>
      </c>
      <c r="F18" s="29" t="s">
        <v>201</v>
      </c>
      <c r="G18" s="29" t="s">
        <v>202</v>
      </c>
      <c r="H18" s="32">
        <v>155.0</v>
      </c>
      <c r="I18" s="67" t="s">
        <v>203</v>
      </c>
      <c r="J18" s="34" t="s">
        <v>99</v>
      </c>
      <c r="K18" s="35" t="s">
        <v>101</v>
      </c>
      <c r="L18" s="36" t="s">
        <v>102</v>
      </c>
      <c r="M18" s="32">
        <v>4.35</v>
      </c>
      <c r="N18" s="37" t="s">
        <v>103</v>
      </c>
      <c r="O18" s="65" t="s">
        <v>117</v>
      </c>
      <c r="P18" s="68" t="s">
        <v>152</v>
      </c>
      <c r="Q18" s="32">
        <v>0.9</v>
      </c>
      <c r="R18" s="42">
        <v>41841.0</v>
      </c>
      <c r="S18" s="68" t="s">
        <v>143</v>
      </c>
      <c r="T18" s="29" t="s">
        <v>204</v>
      </c>
      <c r="U18" s="45" t="s">
        <v>109</v>
      </c>
      <c r="V18" s="45" t="s">
        <v>109</v>
      </c>
      <c r="W18" s="45" t="s">
        <v>109</v>
      </c>
      <c r="X18" s="45" t="s">
        <v>109</v>
      </c>
      <c r="Y18" s="47" t="s">
        <v>109</v>
      </c>
      <c r="Z18" s="66" t="s">
        <v>136</v>
      </c>
      <c r="AA18" s="40" t="s">
        <v>105</v>
      </c>
      <c r="AB18" s="32">
        <v>0.25</v>
      </c>
      <c r="AC18" s="49">
        <v>42206.0</v>
      </c>
      <c r="AD18" s="68" t="s">
        <v>143</v>
      </c>
      <c r="AE18" s="29" t="s">
        <v>205</v>
      </c>
      <c r="AF18" s="45" t="s">
        <v>109</v>
      </c>
      <c r="AG18" s="45" t="s">
        <v>109</v>
      </c>
      <c r="AH18" s="45" t="s">
        <v>109</v>
      </c>
      <c r="AI18" s="45" t="s">
        <v>109</v>
      </c>
      <c r="AJ18" s="47" t="s">
        <v>109</v>
      </c>
      <c r="AK18" s="38" t="s">
        <v>104</v>
      </c>
      <c r="AL18" s="36" t="s">
        <v>115</v>
      </c>
      <c r="AM18" s="32">
        <v>0.15</v>
      </c>
      <c r="AN18" s="49">
        <v>42206.0</v>
      </c>
      <c r="AO18" s="37" t="s">
        <v>103</v>
      </c>
      <c r="AP18" s="43" t="s">
        <v>107</v>
      </c>
      <c r="AQ18" s="48" t="s">
        <v>111</v>
      </c>
      <c r="AR18" s="29">
        <v>0.15</v>
      </c>
      <c r="AS18" s="49">
        <v>41841.0</v>
      </c>
      <c r="AT18" s="37" t="s">
        <v>103</v>
      </c>
      <c r="AU18" s="43" t="s">
        <v>107</v>
      </c>
      <c r="AV18" s="34" t="s">
        <v>99</v>
      </c>
      <c r="AW18" s="53" t="s">
        <v>120</v>
      </c>
      <c r="AX18" s="49">
        <v>43302.0</v>
      </c>
      <c r="AY18" s="29">
        <v>0.15</v>
      </c>
      <c r="AZ18" s="37" t="s">
        <v>103</v>
      </c>
      <c r="BA18" s="34" t="s">
        <v>99</v>
      </c>
      <c r="BB18" s="37" t="s">
        <v>103</v>
      </c>
      <c r="BC18" s="54"/>
      <c r="BD18" s="88" t="s">
        <v>206</v>
      </c>
      <c r="BE18" s="37" t="s">
        <v>103</v>
      </c>
      <c r="BF18" s="55"/>
      <c r="BG18" s="55"/>
      <c r="BH18" s="56">
        <f t="shared" si="1"/>
        <v>139.5</v>
      </c>
      <c r="BI18" s="56">
        <f t="shared" si="2"/>
        <v>674.25</v>
      </c>
      <c r="BJ18" s="57"/>
      <c r="BK18" s="57"/>
      <c r="BL18" s="57"/>
      <c r="BM18" s="57"/>
    </row>
    <row r="19" ht="12.0" customHeight="1">
      <c r="A19" s="29">
        <v>10.0</v>
      </c>
      <c r="B19" s="31">
        <v>46224.55318894676</v>
      </c>
      <c r="C19" s="29" t="s">
        <v>180</v>
      </c>
      <c r="D19" s="29" t="s">
        <v>181</v>
      </c>
      <c r="E19" s="29" t="s">
        <v>174</v>
      </c>
      <c r="F19" s="45" t="s">
        <v>109</v>
      </c>
      <c r="G19" s="29" t="s">
        <v>207</v>
      </c>
      <c r="H19" s="32">
        <v>155.0</v>
      </c>
      <c r="I19" s="67" t="s">
        <v>208</v>
      </c>
      <c r="J19" s="34" t="s">
        <v>99</v>
      </c>
      <c r="K19" s="35" t="s">
        <v>101</v>
      </c>
      <c r="L19" s="36" t="s">
        <v>102</v>
      </c>
      <c r="M19" s="32">
        <v>3.57</v>
      </c>
      <c r="N19" s="37" t="s">
        <v>103</v>
      </c>
      <c r="O19" s="38" t="s">
        <v>104</v>
      </c>
      <c r="P19" s="68" t="s">
        <v>152</v>
      </c>
      <c r="Q19" s="32">
        <v>0.38</v>
      </c>
      <c r="R19" s="42">
        <v>45128.0</v>
      </c>
      <c r="S19" s="68" t="s">
        <v>143</v>
      </c>
      <c r="T19" s="29" t="s">
        <v>209</v>
      </c>
      <c r="U19" s="45" t="s">
        <v>109</v>
      </c>
      <c r="V19" s="45" t="s">
        <v>109</v>
      </c>
      <c r="W19" s="45" t="s">
        <v>109</v>
      </c>
      <c r="X19" s="45" t="s">
        <v>109</v>
      </c>
      <c r="Y19" s="47" t="s">
        <v>109</v>
      </c>
      <c r="Z19" s="48" t="s">
        <v>111</v>
      </c>
      <c r="AA19" s="89" t="s">
        <v>210</v>
      </c>
      <c r="AB19" s="32">
        <v>0.0</v>
      </c>
      <c r="AC19" s="49">
        <v>44763.0</v>
      </c>
      <c r="AD19" s="85" t="s">
        <v>190</v>
      </c>
      <c r="AE19" s="29" t="s">
        <v>211</v>
      </c>
      <c r="AF19" s="45" t="s">
        <v>109</v>
      </c>
      <c r="AG19" s="45" t="s">
        <v>109</v>
      </c>
      <c r="AH19" s="45" t="s">
        <v>109</v>
      </c>
      <c r="AI19" s="45" t="s">
        <v>109</v>
      </c>
      <c r="AJ19" s="47" t="s">
        <v>109</v>
      </c>
      <c r="AK19" s="38" t="s">
        <v>104</v>
      </c>
      <c r="AL19" s="53" t="s">
        <v>130</v>
      </c>
      <c r="AM19" s="32">
        <v>0.6</v>
      </c>
      <c r="AN19" s="49">
        <v>44763.0</v>
      </c>
      <c r="AO19" s="37" t="s">
        <v>103</v>
      </c>
      <c r="AP19" s="33" t="s">
        <v>212</v>
      </c>
      <c r="AQ19" s="48" t="s">
        <v>111</v>
      </c>
      <c r="AR19" s="29">
        <v>0.6</v>
      </c>
      <c r="AS19" s="77"/>
      <c r="AT19" s="37" t="s">
        <v>103</v>
      </c>
      <c r="AU19" s="33" t="s">
        <v>213</v>
      </c>
      <c r="AV19" s="34" t="s">
        <v>99</v>
      </c>
      <c r="AW19" s="53" t="s">
        <v>120</v>
      </c>
      <c r="AX19" s="49">
        <v>43302.0</v>
      </c>
      <c r="AY19" s="29">
        <v>0.2</v>
      </c>
      <c r="AZ19" s="37" t="s">
        <v>103</v>
      </c>
      <c r="BA19" s="34" t="s">
        <v>99</v>
      </c>
      <c r="BB19" s="37" t="s">
        <v>103</v>
      </c>
      <c r="BC19" s="54"/>
      <c r="BD19" s="34" t="s">
        <v>122</v>
      </c>
      <c r="BE19" s="37" t="s">
        <v>103</v>
      </c>
      <c r="BF19" s="55"/>
      <c r="BG19" s="55"/>
      <c r="BH19" s="56">
        <f t="shared" si="1"/>
        <v>58.9</v>
      </c>
      <c r="BI19" s="56">
        <f t="shared" si="2"/>
        <v>553.35</v>
      </c>
      <c r="BJ19" s="57"/>
      <c r="BK19" s="57"/>
      <c r="BL19" s="57"/>
      <c r="BM19" s="57"/>
    </row>
    <row r="20" ht="12.0" customHeight="1">
      <c r="A20" s="29">
        <v>13.0</v>
      </c>
      <c r="B20" s="31">
        <v>46224.566151203704</v>
      </c>
      <c r="C20" s="29" t="s">
        <v>180</v>
      </c>
      <c r="D20" s="29" t="s">
        <v>181</v>
      </c>
      <c r="E20" s="29" t="s">
        <v>182</v>
      </c>
      <c r="F20" s="29" t="s">
        <v>214</v>
      </c>
      <c r="G20" s="29" t="s">
        <v>207</v>
      </c>
      <c r="H20" s="32">
        <v>125.0</v>
      </c>
      <c r="I20" s="67" t="s">
        <v>215</v>
      </c>
      <c r="J20" s="34" t="s">
        <v>99</v>
      </c>
      <c r="K20" s="35" t="s">
        <v>101</v>
      </c>
      <c r="L20" s="36" t="s">
        <v>102</v>
      </c>
      <c r="M20" s="32">
        <v>2.5</v>
      </c>
      <c r="N20" s="37" t="s">
        <v>103</v>
      </c>
      <c r="O20" s="65" t="s">
        <v>117</v>
      </c>
      <c r="P20" s="85" t="s">
        <v>190</v>
      </c>
      <c r="Q20" s="79">
        <v>0.0</v>
      </c>
      <c r="R20" s="75" t="s">
        <v>109</v>
      </c>
      <c r="S20" s="85" t="s">
        <v>190</v>
      </c>
      <c r="T20" s="43" t="s">
        <v>107</v>
      </c>
      <c r="U20" s="45" t="s">
        <v>109</v>
      </c>
      <c r="V20" s="45" t="s">
        <v>109</v>
      </c>
      <c r="W20" s="45" t="s">
        <v>109</v>
      </c>
      <c r="X20" s="45" t="s">
        <v>109</v>
      </c>
      <c r="Y20" s="47" t="s">
        <v>109</v>
      </c>
      <c r="Z20" s="66" t="s">
        <v>136</v>
      </c>
      <c r="AA20" s="68" t="s">
        <v>152</v>
      </c>
      <c r="AB20" s="32">
        <v>0.6</v>
      </c>
      <c r="AC20" s="49">
        <v>42572.0</v>
      </c>
      <c r="AD20" s="68" t="s">
        <v>143</v>
      </c>
      <c r="AE20" s="29" t="s">
        <v>216</v>
      </c>
      <c r="AF20" s="45" t="s">
        <v>109</v>
      </c>
      <c r="AG20" s="45" t="s">
        <v>109</v>
      </c>
      <c r="AH20" s="45" t="s">
        <v>109</v>
      </c>
      <c r="AI20" s="45" t="s">
        <v>109</v>
      </c>
      <c r="AJ20" s="47" t="s">
        <v>109</v>
      </c>
      <c r="AK20" s="65" t="s">
        <v>117</v>
      </c>
      <c r="AL20" s="36" t="s">
        <v>115</v>
      </c>
      <c r="AM20" s="32">
        <v>0.15</v>
      </c>
      <c r="AN20" s="49">
        <v>42572.0</v>
      </c>
      <c r="AO20" s="37" t="s">
        <v>103</v>
      </c>
      <c r="AP20" s="43" t="s">
        <v>107</v>
      </c>
      <c r="AQ20" s="66" t="s">
        <v>136</v>
      </c>
      <c r="AR20" s="29">
        <v>0.6</v>
      </c>
      <c r="AS20" s="49">
        <v>42206.0</v>
      </c>
      <c r="AT20" s="37" t="s">
        <v>103</v>
      </c>
      <c r="AU20" s="43" t="s">
        <v>107</v>
      </c>
      <c r="AV20" s="34" t="s">
        <v>99</v>
      </c>
      <c r="AW20" s="53" t="s">
        <v>120</v>
      </c>
      <c r="AX20" s="49">
        <v>42206.0</v>
      </c>
      <c r="AY20" s="29">
        <v>0.15</v>
      </c>
      <c r="AZ20" s="37" t="s">
        <v>103</v>
      </c>
      <c r="BA20" s="34" t="s">
        <v>99</v>
      </c>
      <c r="BB20" s="37" t="s">
        <v>103</v>
      </c>
      <c r="BC20" s="54"/>
      <c r="BD20" s="34" t="s">
        <v>122</v>
      </c>
      <c r="BE20" s="37" t="s">
        <v>103</v>
      </c>
      <c r="BF20" s="55"/>
      <c r="BG20" s="55"/>
      <c r="BH20" s="56">
        <f t="shared" si="1"/>
        <v>0</v>
      </c>
      <c r="BI20" s="56">
        <f t="shared" si="2"/>
        <v>312.5</v>
      </c>
      <c r="BJ20" s="57"/>
      <c r="BK20" s="57"/>
      <c r="BL20" s="57"/>
      <c r="BM20" s="57"/>
    </row>
    <row r="21" ht="12.0" customHeight="1">
      <c r="A21" s="29">
        <v>14.0</v>
      </c>
      <c r="B21" s="31">
        <v>46224.57203398148</v>
      </c>
      <c r="C21" s="29" t="s">
        <v>180</v>
      </c>
      <c r="D21" s="29" t="s">
        <v>217</v>
      </c>
      <c r="E21" s="29" t="s">
        <v>174</v>
      </c>
      <c r="F21" s="29" t="s">
        <v>133</v>
      </c>
      <c r="G21" s="29" t="s">
        <v>218</v>
      </c>
      <c r="H21" s="32">
        <v>104.0</v>
      </c>
      <c r="I21" s="67" t="s">
        <v>219</v>
      </c>
      <c r="J21" s="34" t="s">
        <v>99</v>
      </c>
      <c r="K21" s="35" t="s">
        <v>101</v>
      </c>
      <c r="L21" s="36" t="s">
        <v>102</v>
      </c>
      <c r="M21" s="32">
        <v>2.65</v>
      </c>
      <c r="N21" s="37" t="s">
        <v>103</v>
      </c>
      <c r="O21" s="65" t="s">
        <v>117</v>
      </c>
      <c r="P21" s="40" t="s">
        <v>105</v>
      </c>
      <c r="Q21" s="32">
        <v>0.85</v>
      </c>
      <c r="R21" s="42">
        <v>42206.0</v>
      </c>
      <c r="S21" s="68" t="s">
        <v>143</v>
      </c>
      <c r="T21" s="43" t="s">
        <v>107</v>
      </c>
      <c r="U21" s="45" t="s">
        <v>109</v>
      </c>
      <c r="V21" s="45" t="s">
        <v>109</v>
      </c>
      <c r="W21" s="45" t="s">
        <v>109</v>
      </c>
      <c r="X21" s="45" t="s">
        <v>109</v>
      </c>
      <c r="Y21" s="47" t="s">
        <v>109</v>
      </c>
      <c r="Z21" s="66" t="s">
        <v>136</v>
      </c>
      <c r="AA21" s="40" t="s">
        <v>105</v>
      </c>
      <c r="AB21" s="32">
        <v>0.0</v>
      </c>
      <c r="AC21" s="75" t="s">
        <v>109</v>
      </c>
      <c r="AD21" s="77"/>
      <c r="AE21" s="29" t="s">
        <v>220</v>
      </c>
      <c r="AF21" s="45" t="s">
        <v>109</v>
      </c>
      <c r="AG21" s="45" t="s">
        <v>109</v>
      </c>
      <c r="AH21" s="45" t="s">
        <v>109</v>
      </c>
      <c r="AI21" s="45" t="s">
        <v>109</v>
      </c>
      <c r="AJ21" s="47" t="s">
        <v>109</v>
      </c>
      <c r="AK21" s="65" t="s">
        <v>117</v>
      </c>
      <c r="AL21" s="36" t="s">
        <v>115</v>
      </c>
      <c r="AM21" s="32">
        <v>0.5</v>
      </c>
      <c r="AN21" s="49">
        <v>45128.0</v>
      </c>
      <c r="AO21" s="37" t="s">
        <v>103</v>
      </c>
      <c r="AP21" s="43" t="s">
        <v>107</v>
      </c>
      <c r="AQ21" s="66" t="s">
        <v>136</v>
      </c>
      <c r="AR21" s="29">
        <v>0.5</v>
      </c>
      <c r="AS21" s="49">
        <v>45128.0</v>
      </c>
      <c r="AT21" s="37" t="s">
        <v>103</v>
      </c>
      <c r="AU21" s="43" t="s">
        <v>107</v>
      </c>
      <c r="AV21" s="34" t="s">
        <v>99</v>
      </c>
      <c r="AW21" s="53" t="s">
        <v>120</v>
      </c>
      <c r="AX21" s="49">
        <v>45128.0</v>
      </c>
      <c r="AY21" s="29">
        <v>0.15</v>
      </c>
      <c r="AZ21" s="37" t="s">
        <v>103</v>
      </c>
      <c r="BA21" s="34" t="s">
        <v>99</v>
      </c>
      <c r="BB21" s="37" t="s">
        <v>103</v>
      </c>
      <c r="BC21" s="54"/>
      <c r="BD21" s="34" t="s">
        <v>122</v>
      </c>
      <c r="BE21" s="37" t="s">
        <v>103</v>
      </c>
      <c r="BF21" s="90"/>
      <c r="BG21" s="90"/>
      <c r="BH21" s="91">
        <f t="shared" si="1"/>
        <v>88.4</v>
      </c>
      <c r="BI21" s="91">
        <f t="shared" si="2"/>
        <v>275.6</v>
      </c>
      <c r="BJ21" s="57"/>
      <c r="BK21" s="57"/>
      <c r="BL21" s="57"/>
      <c r="BM21" s="57"/>
    </row>
    <row r="22" ht="12.0" customHeight="1">
      <c r="A22" s="58">
        <v>16.0</v>
      </c>
      <c r="B22" s="31">
        <v>46224.577318738426</v>
      </c>
      <c r="C22" s="29" t="s">
        <v>180</v>
      </c>
      <c r="D22" s="29" t="s">
        <v>221</v>
      </c>
      <c r="E22" s="29" t="s">
        <v>182</v>
      </c>
      <c r="F22" s="29" t="s">
        <v>139</v>
      </c>
      <c r="G22" s="29" t="s">
        <v>202</v>
      </c>
      <c r="H22" s="32">
        <v>98.0</v>
      </c>
      <c r="I22" s="67" t="s">
        <v>222</v>
      </c>
      <c r="J22" s="34" t="s">
        <v>99</v>
      </c>
      <c r="K22" s="35" t="s">
        <v>101</v>
      </c>
      <c r="L22" s="36" t="s">
        <v>102</v>
      </c>
      <c r="M22" s="32">
        <v>3.19</v>
      </c>
      <c r="N22" s="37" t="s">
        <v>103</v>
      </c>
      <c r="O22" s="65" t="s">
        <v>117</v>
      </c>
      <c r="P22" s="68" t="s">
        <v>152</v>
      </c>
      <c r="Q22" s="32">
        <v>0.52</v>
      </c>
      <c r="R22" s="42">
        <v>44398.0</v>
      </c>
      <c r="S22" s="68" t="s">
        <v>143</v>
      </c>
      <c r="T22" s="29" t="s">
        <v>223</v>
      </c>
      <c r="U22" s="45" t="s">
        <v>109</v>
      </c>
      <c r="V22" s="45" t="s">
        <v>109</v>
      </c>
      <c r="W22" s="45" t="s">
        <v>109</v>
      </c>
      <c r="X22" s="45" t="s">
        <v>109</v>
      </c>
      <c r="Y22" s="47" t="s">
        <v>109</v>
      </c>
      <c r="Z22" s="66" t="s">
        <v>136</v>
      </c>
      <c r="AA22" s="68" t="s">
        <v>152</v>
      </c>
      <c r="AB22" s="32">
        <v>0.52</v>
      </c>
      <c r="AC22" s="49">
        <v>44763.0</v>
      </c>
      <c r="AD22" s="68" t="s">
        <v>143</v>
      </c>
      <c r="AE22" s="29" t="s">
        <v>224</v>
      </c>
      <c r="AF22" s="45" t="s">
        <v>109</v>
      </c>
      <c r="AG22" s="45" t="s">
        <v>109</v>
      </c>
      <c r="AH22" s="45" t="s">
        <v>109</v>
      </c>
      <c r="AI22" s="45" t="s">
        <v>109</v>
      </c>
      <c r="AJ22" s="47" t="s">
        <v>109</v>
      </c>
      <c r="AK22" s="65" t="s">
        <v>117</v>
      </c>
      <c r="AL22" s="36" t="s">
        <v>115</v>
      </c>
      <c r="AM22" s="32">
        <v>0.5</v>
      </c>
      <c r="AN22" s="49">
        <v>44398.0</v>
      </c>
      <c r="AO22" s="37" t="s">
        <v>103</v>
      </c>
      <c r="AP22" s="43" t="s">
        <v>107</v>
      </c>
      <c r="AQ22" s="66" t="s">
        <v>136</v>
      </c>
      <c r="AR22" s="29">
        <v>0.5</v>
      </c>
      <c r="AS22" s="49">
        <v>44398.0</v>
      </c>
      <c r="AT22" s="37" t="s">
        <v>103</v>
      </c>
      <c r="AU22" s="43" t="s">
        <v>107</v>
      </c>
      <c r="AV22" s="34" t="s">
        <v>99</v>
      </c>
      <c r="AW22" s="53" t="s">
        <v>120</v>
      </c>
      <c r="AX22" s="49">
        <v>44398.0</v>
      </c>
      <c r="AY22" s="29">
        <v>0.15</v>
      </c>
      <c r="AZ22" s="37" t="s">
        <v>103</v>
      </c>
      <c r="BA22" s="34" t="s">
        <v>99</v>
      </c>
      <c r="BB22" s="70" t="s">
        <v>153</v>
      </c>
      <c r="BC22" s="33" t="s">
        <v>225</v>
      </c>
      <c r="BD22" s="34" t="s">
        <v>122</v>
      </c>
      <c r="BE22" s="37" t="s">
        <v>103</v>
      </c>
      <c r="BF22" s="55"/>
      <c r="BG22" s="55"/>
      <c r="BH22" s="56">
        <f t="shared" si="1"/>
        <v>50.96</v>
      </c>
      <c r="BI22" s="56">
        <f t="shared" si="2"/>
        <v>312.62</v>
      </c>
      <c r="BJ22" s="57"/>
      <c r="BK22" s="57"/>
      <c r="BL22" s="57"/>
      <c r="BM22" s="57"/>
    </row>
    <row r="23" ht="12.0" customHeight="1">
      <c r="A23" s="29">
        <v>17.0</v>
      </c>
      <c r="B23" s="31">
        <v>46224.58339071759</v>
      </c>
      <c r="C23" s="29" t="s">
        <v>180</v>
      </c>
      <c r="D23" s="29" t="s">
        <v>221</v>
      </c>
      <c r="E23" s="29" t="s">
        <v>174</v>
      </c>
      <c r="F23" s="29" t="s">
        <v>146</v>
      </c>
      <c r="G23" s="29" t="s">
        <v>218</v>
      </c>
      <c r="H23" s="32">
        <v>309.0</v>
      </c>
      <c r="I23" s="67" t="s">
        <v>226</v>
      </c>
      <c r="J23" s="34" t="s">
        <v>99</v>
      </c>
      <c r="K23" s="35" t="s">
        <v>101</v>
      </c>
      <c r="L23" s="36" t="s">
        <v>102</v>
      </c>
      <c r="M23" s="32">
        <v>3.5</v>
      </c>
      <c r="N23" s="37" t="s">
        <v>103</v>
      </c>
      <c r="O23" s="65" t="s">
        <v>117</v>
      </c>
      <c r="P23" s="40" t="s">
        <v>105</v>
      </c>
      <c r="Q23" s="32">
        <v>1.5</v>
      </c>
      <c r="R23" s="42">
        <v>42206.0</v>
      </c>
      <c r="S23" s="68" t="s">
        <v>143</v>
      </c>
      <c r="T23" s="29" t="s">
        <v>227</v>
      </c>
      <c r="U23" s="45" t="s">
        <v>109</v>
      </c>
      <c r="V23" s="45" t="s">
        <v>109</v>
      </c>
      <c r="W23" s="45" t="s">
        <v>109</v>
      </c>
      <c r="X23" s="45" t="s">
        <v>109</v>
      </c>
      <c r="Y23" s="47" t="s">
        <v>109</v>
      </c>
      <c r="Z23" s="66" t="s">
        <v>136</v>
      </c>
      <c r="AA23" s="40" t="s">
        <v>105</v>
      </c>
      <c r="AB23" s="32">
        <v>0.0</v>
      </c>
      <c r="AC23" s="75" t="s">
        <v>109</v>
      </c>
      <c r="AD23" s="68" t="s">
        <v>143</v>
      </c>
      <c r="AE23" s="29" t="s">
        <v>220</v>
      </c>
      <c r="AF23" s="45" t="s">
        <v>109</v>
      </c>
      <c r="AG23" s="45" t="s">
        <v>109</v>
      </c>
      <c r="AH23" s="45" t="s">
        <v>109</v>
      </c>
      <c r="AI23" s="45" t="s">
        <v>109</v>
      </c>
      <c r="AJ23" s="47" t="s">
        <v>109</v>
      </c>
      <c r="AK23" s="65" t="s">
        <v>117</v>
      </c>
      <c r="AL23" s="36" t="s">
        <v>115</v>
      </c>
      <c r="AM23" s="32">
        <v>0.5</v>
      </c>
      <c r="AN23" s="49">
        <v>42572.0</v>
      </c>
      <c r="AO23" s="37" t="s">
        <v>103</v>
      </c>
      <c r="AP23" s="43" t="s">
        <v>107</v>
      </c>
      <c r="AQ23" s="66" t="s">
        <v>136</v>
      </c>
      <c r="AR23" s="29">
        <v>0.5</v>
      </c>
      <c r="AS23" s="49">
        <v>42572.0</v>
      </c>
      <c r="AT23" s="37" t="s">
        <v>103</v>
      </c>
      <c r="AU23" s="43" t="s">
        <v>107</v>
      </c>
      <c r="AV23" s="34" t="s">
        <v>99</v>
      </c>
      <c r="AW23" s="53" t="s">
        <v>120</v>
      </c>
      <c r="AX23" s="49">
        <v>42206.0</v>
      </c>
      <c r="AY23" s="29">
        <v>0.15</v>
      </c>
      <c r="AZ23" s="37" t="s">
        <v>103</v>
      </c>
      <c r="BA23" s="34" t="s">
        <v>99</v>
      </c>
      <c r="BB23" s="70" t="s">
        <v>153</v>
      </c>
      <c r="BC23" s="33" t="s">
        <v>228</v>
      </c>
      <c r="BD23" s="34" t="s">
        <v>122</v>
      </c>
      <c r="BE23" s="37" t="s">
        <v>103</v>
      </c>
      <c r="BF23" s="55"/>
      <c r="BG23" s="55"/>
      <c r="BH23" s="56">
        <f t="shared" si="1"/>
        <v>463.5</v>
      </c>
      <c r="BI23" s="56">
        <f t="shared" si="2"/>
        <v>1081.5</v>
      </c>
      <c r="BJ23" s="57"/>
      <c r="BK23" s="57"/>
      <c r="BL23" s="57"/>
      <c r="BM23" s="57"/>
    </row>
    <row r="24" ht="12.0" customHeight="1">
      <c r="A24" s="29">
        <v>19.0</v>
      </c>
      <c r="B24" s="31">
        <v>46224.59176634259</v>
      </c>
      <c r="C24" s="29" t="s">
        <v>180</v>
      </c>
      <c r="D24" s="29" t="s">
        <v>229</v>
      </c>
      <c r="E24" s="29" t="s">
        <v>182</v>
      </c>
      <c r="F24" s="29" t="s">
        <v>230</v>
      </c>
      <c r="G24" s="29" t="s">
        <v>218</v>
      </c>
      <c r="H24" s="32">
        <v>69.0</v>
      </c>
      <c r="I24" s="67" t="s">
        <v>231</v>
      </c>
      <c r="J24" s="34" t="s">
        <v>99</v>
      </c>
      <c r="K24" s="35" t="s">
        <v>101</v>
      </c>
      <c r="L24" s="36" t="s">
        <v>102</v>
      </c>
      <c r="M24" s="32">
        <v>2.54</v>
      </c>
      <c r="N24" s="37" t="s">
        <v>103</v>
      </c>
      <c r="O24" s="65" t="s">
        <v>117</v>
      </c>
      <c r="P24" s="68" t="s">
        <v>152</v>
      </c>
      <c r="Q24" s="32">
        <v>0.9</v>
      </c>
      <c r="R24" s="42">
        <v>43667.0</v>
      </c>
      <c r="S24" s="37" t="s">
        <v>103</v>
      </c>
      <c r="T24" s="77"/>
      <c r="U24" s="45" t="s">
        <v>109</v>
      </c>
      <c r="V24" s="45" t="s">
        <v>109</v>
      </c>
      <c r="W24" s="45" t="s">
        <v>109</v>
      </c>
      <c r="X24" s="45" t="s">
        <v>109</v>
      </c>
      <c r="Y24" s="47" t="s">
        <v>109</v>
      </c>
      <c r="Z24" s="66" t="s">
        <v>136</v>
      </c>
      <c r="AA24" s="68" t="s">
        <v>152</v>
      </c>
      <c r="AB24" s="32">
        <v>0.3</v>
      </c>
      <c r="AC24" s="49">
        <v>43667.0</v>
      </c>
      <c r="AD24" s="68" t="s">
        <v>143</v>
      </c>
      <c r="AE24" s="43" t="s">
        <v>107</v>
      </c>
      <c r="AF24" s="45" t="s">
        <v>109</v>
      </c>
      <c r="AG24" s="45" t="s">
        <v>109</v>
      </c>
      <c r="AH24" s="45" t="s">
        <v>109</v>
      </c>
      <c r="AI24" s="45" t="s">
        <v>109</v>
      </c>
      <c r="AJ24" s="47" t="s">
        <v>109</v>
      </c>
      <c r="AK24" s="65" t="s">
        <v>117</v>
      </c>
      <c r="AL24" s="36" t="s">
        <v>115</v>
      </c>
      <c r="AM24" s="32">
        <v>0.6</v>
      </c>
      <c r="AN24" s="49">
        <v>45494.0</v>
      </c>
      <c r="AO24" s="37" t="s">
        <v>103</v>
      </c>
      <c r="AP24" s="43" t="s">
        <v>107</v>
      </c>
      <c r="AQ24" s="66" t="s">
        <v>136</v>
      </c>
      <c r="AR24" s="29">
        <v>0.6</v>
      </c>
      <c r="AS24" s="49">
        <v>45494.0</v>
      </c>
      <c r="AT24" s="37" t="s">
        <v>103</v>
      </c>
      <c r="AU24" s="43" t="s">
        <v>107</v>
      </c>
      <c r="AV24" s="34" t="s">
        <v>99</v>
      </c>
      <c r="AW24" s="53" t="s">
        <v>120</v>
      </c>
      <c r="AX24" s="49">
        <v>45494.0</v>
      </c>
      <c r="AY24" s="29">
        <v>0.15</v>
      </c>
      <c r="AZ24" s="37" t="s">
        <v>103</v>
      </c>
      <c r="BA24" s="73" t="s">
        <v>113</v>
      </c>
      <c r="BB24" s="68" t="s">
        <v>143</v>
      </c>
      <c r="BC24" s="33" t="s">
        <v>232</v>
      </c>
      <c r="BD24" s="73" t="s">
        <v>143</v>
      </c>
      <c r="BE24" s="87" t="s">
        <v>233</v>
      </c>
      <c r="BF24" s="55"/>
      <c r="BG24" s="55"/>
      <c r="BH24" s="56">
        <f t="shared" si="1"/>
        <v>62.1</v>
      </c>
      <c r="BI24" s="56">
        <f t="shared" si="2"/>
        <v>175.26</v>
      </c>
      <c r="BJ24" s="57"/>
      <c r="BK24" s="57"/>
      <c r="BL24" s="57"/>
      <c r="BM24" s="57"/>
    </row>
    <row r="25" ht="12.0" customHeight="1">
      <c r="A25" s="29">
        <v>24.0</v>
      </c>
      <c r="B25" s="31">
        <v>46225.45966282407</v>
      </c>
      <c r="C25" s="29" t="s">
        <v>167</v>
      </c>
      <c r="D25" s="77"/>
      <c r="E25" s="29" t="s">
        <v>234</v>
      </c>
      <c r="F25" s="29" t="s">
        <v>230</v>
      </c>
      <c r="G25" s="29" t="s">
        <v>234</v>
      </c>
      <c r="H25" s="32">
        <v>110.0</v>
      </c>
      <c r="I25" s="67" t="s">
        <v>235</v>
      </c>
      <c r="J25" s="34" t="s">
        <v>99</v>
      </c>
      <c r="K25" s="35" t="s">
        <v>101</v>
      </c>
      <c r="L25" s="36" t="s">
        <v>102</v>
      </c>
      <c r="M25" s="32">
        <v>3.0</v>
      </c>
      <c r="N25" s="37" t="s">
        <v>103</v>
      </c>
      <c r="O25" s="38" t="s">
        <v>104</v>
      </c>
      <c r="P25" s="40" t="s">
        <v>105</v>
      </c>
      <c r="Q25" s="79">
        <v>0.0</v>
      </c>
      <c r="R25" s="75" t="s">
        <v>109</v>
      </c>
      <c r="S25" s="68" t="s">
        <v>143</v>
      </c>
      <c r="T25" s="29" t="s">
        <v>236</v>
      </c>
      <c r="U25" s="45" t="s">
        <v>109</v>
      </c>
      <c r="V25" s="45" t="s">
        <v>109</v>
      </c>
      <c r="W25" s="45" t="s">
        <v>109</v>
      </c>
      <c r="X25" s="45" t="s">
        <v>109</v>
      </c>
      <c r="Y25" s="47" t="s">
        <v>109</v>
      </c>
      <c r="Z25" s="48" t="s">
        <v>111</v>
      </c>
      <c r="AA25" s="40" t="s">
        <v>105</v>
      </c>
      <c r="AB25" s="92"/>
      <c r="AC25" s="75" t="s">
        <v>109</v>
      </c>
      <c r="AD25" s="68" t="s">
        <v>143</v>
      </c>
      <c r="AE25" s="29" t="s">
        <v>237</v>
      </c>
      <c r="AF25" s="45" t="s">
        <v>109</v>
      </c>
      <c r="AG25" s="45" t="s">
        <v>109</v>
      </c>
      <c r="AH25" s="45" t="s">
        <v>109</v>
      </c>
      <c r="AI25" s="45" t="s">
        <v>109</v>
      </c>
      <c r="AJ25" s="47" t="s">
        <v>109</v>
      </c>
      <c r="AK25" s="38" t="s">
        <v>104</v>
      </c>
      <c r="AL25" s="68" t="s">
        <v>143</v>
      </c>
      <c r="AM25" s="79">
        <v>0.0</v>
      </c>
      <c r="AN25" s="45" t="s">
        <v>109</v>
      </c>
      <c r="AO25" s="68" t="s">
        <v>143</v>
      </c>
      <c r="AP25" s="33" t="s">
        <v>238</v>
      </c>
      <c r="AQ25" s="48" t="s">
        <v>111</v>
      </c>
      <c r="AR25" s="77"/>
      <c r="AS25" s="77"/>
      <c r="AT25" s="68" t="s">
        <v>143</v>
      </c>
      <c r="AU25" s="33" t="s">
        <v>238</v>
      </c>
      <c r="AV25" s="34" t="s">
        <v>99</v>
      </c>
      <c r="AW25" s="53" t="s">
        <v>120</v>
      </c>
      <c r="AX25" s="49">
        <v>43883.0</v>
      </c>
      <c r="AY25" s="29">
        <v>0.15</v>
      </c>
      <c r="AZ25" s="37" t="s">
        <v>103</v>
      </c>
      <c r="BA25" s="34" t="s">
        <v>99</v>
      </c>
      <c r="BB25" s="36" t="s">
        <v>103</v>
      </c>
      <c r="BC25" s="54"/>
      <c r="BD25" s="34" t="s">
        <v>122</v>
      </c>
      <c r="BE25" s="37" t="s">
        <v>103</v>
      </c>
      <c r="BF25" s="71"/>
      <c r="BG25" s="71"/>
      <c r="BH25" s="76">
        <f t="shared" si="1"/>
        <v>0</v>
      </c>
      <c r="BI25" s="76">
        <f t="shared" si="2"/>
        <v>330</v>
      </c>
    </row>
    <row r="26" ht="12.0" customHeight="1">
      <c r="A26" s="29">
        <v>25.0</v>
      </c>
      <c r="B26" s="31">
        <v>46225.468725439816</v>
      </c>
      <c r="C26" s="29" t="s">
        <v>167</v>
      </c>
      <c r="D26" s="77"/>
      <c r="E26" s="29" t="s">
        <v>234</v>
      </c>
      <c r="F26" s="29" t="s">
        <v>239</v>
      </c>
      <c r="G26" s="29" t="s">
        <v>234</v>
      </c>
      <c r="H26" s="32">
        <v>20.0</v>
      </c>
      <c r="I26" s="67" t="s">
        <v>240</v>
      </c>
      <c r="J26" s="34" t="s">
        <v>99</v>
      </c>
      <c r="K26" s="35" t="s">
        <v>101</v>
      </c>
      <c r="L26" s="36" t="s">
        <v>102</v>
      </c>
      <c r="M26" s="32">
        <v>3.0</v>
      </c>
      <c r="N26" s="37" t="s">
        <v>103</v>
      </c>
      <c r="O26" s="38" t="s">
        <v>104</v>
      </c>
      <c r="P26" s="40" t="s">
        <v>105</v>
      </c>
      <c r="Q26" s="32">
        <v>3.0</v>
      </c>
      <c r="R26" s="42">
        <v>44369.0</v>
      </c>
      <c r="S26" s="37" t="s">
        <v>103</v>
      </c>
      <c r="T26" s="43" t="s">
        <v>107</v>
      </c>
      <c r="U26" s="45" t="s">
        <v>109</v>
      </c>
      <c r="V26" s="45" t="s">
        <v>109</v>
      </c>
      <c r="W26" s="45" t="s">
        <v>109</v>
      </c>
      <c r="X26" s="45" t="s">
        <v>109</v>
      </c>
      <c r="Y26" s="47" t="s">
        <v>109</v>
      </c>
      <c r="Z26" s="48" t="s">
        <v>111</v>
      </c>
      <c r="AA26" s="40" t="s">
        <v>105</v>
      </c>
      <c r="AB26" s="32">
        <v>3.0</v>
      </c>
      <c r="AC26" s="49">
        <v>44673.0</v>
      </c>
      <c r="AD26" s="36" t="s">
        <v>103</v>
      </c>
      <c r="AE26" s="43" t="s">
        <v>107</v>
      </c>
      <c r="AF26" s="45" t="s">
        <v>109</v>
      </c>
      <c r="AG26" s="45" t="s">
        <v>109</v>
      </c>
      <c r="AH26" s="45" t="s">
        <v>109</v>
      </c>
      <c r="AI26" s="45" t="s">
        <v>109</v>
      </c>
      <c r="AJ26" s="47" t="s">
        <v>109</v>
      </c>
      <c r="AK26" s="65" t="s">
        <v>117</v>
      </c>
      <c r="AL26" s="86" t="s">
        <v>191</v>
      </c>
      <c r="AM26" s="79">
        <v>0.0</v>
      </c>
      <c r="AN26" s="45" t="s">
        <v>109</v>
      </c>
      <c r="AO26" s="68" t="s">
        <v>143</v>
      </c>
      <c r="AP26" s="33" t="s">
        <v>241</v>
      </c>
      <c r="AQ26" s="66" t="s">
        <v>136</v>
      </c>
      <c r="AR26" s="77"/>
      <c r="AS26" s="77"/>
      <c r="AT26" s="68" t="s">
        <v>143</v>
      </c>
      <c r="AU26" s="43" t="s">
        <v>107</v>
      </c>
      <c r="AV26" s="34" t="s">
        <v>99</v>
      </c>
      <c r="AW26" s="53" t="s">
        <v>120</v>
      </c>
      <c r="AX26" s="49">
        <v>45465.0</v>
      </c>
      <c r="AY26" s="29">
        <v>0.15</v>
      </c>
      <c r="AZ26" s="37" t="s">
        <v>103</v>
      </c>
      <c r="BA26" s="34" t="s">
        <v>99</v>
      </c>
      <c r="BB26" s="36" t="s">
        <v>103</v>
      </c>
      <c r="BC26" s="54"/>
      <c r="BD26" s="34" t="s">
        <v>122</v>
      </c>
      <c r="BE26" s="37" t="s">
        <v>103</v>
      </c>
      <c r="BF26" s="71"/>
      <c r="BG26" s="71"/>
      <c r="BH26" s="76">
        <f t="shared" si="1"/>
        <v>60</v>
      </c>
      <c r="BI26" s="76">
        <f t="shared" si="2"/>
        <v>60</v>
      </c>
    </row>
    <row r="27" ht="12.0" customHeight="1">
      <c r="A27" s="58">
        <v>26.0</v>
      </c>
      <c r="B27" s="31">
        <v>46225.47311873843</v>
      </c>
      <c r="C27" s="29" t="s">
        <v>167</v>
      </c>
      <c r="D27" s="77"/>
      <c r="E27" s="29" t="s">
        <v>200</v>
      </c>
      <c r="F27" s="29" t="s">
        <v>200</v>
      </c>
      <c r="G27" s="29" t="s">
        <v>200</v>
      </c>
      <c r="H27" s="32">
        <v>20.0</v>
      </c>
      <c r="I27" s="67" t="s">
        <v>242</v>
      </c>
      <c r="J27" s="73" t="s">
        <v>113</v>
      </c>
      <c r="K27" s="35" t="s">
        <v>101</v>
      </c>
      <c r="L27" s="36" t="s">
        <v>102</v>
      </c>
      <c r="M27" s="32">
        <v>3.0</v>
      </c>
      <c r="N27" s="37" t="s">
        <v>103</v>
      </c>
      <c r="O27" s="65" t="s">
        <v>117</v>
      </c>
      <c r="P27" s="40" t="s">
        <v>105</v>
      </c>
      <c r="Q27" s="79">
        <v>0.0</v>
      </c>
      <c r="R27" s="75" t="s">
        <v>109</v>
      </c>
      <c r="S27" s="86" t="s">
        <v>109</v>
      </c>
      <c r="T27" s="43" t="s">
        <v>107</v>
      </c>
      <c r="U27" s="45" t="s">
        <v>109</v>
      </c>
      <c r="V27" s="45" t="s">
        <v>109</v>
      </c>
      <c r="W27" s="45" t="s">
        <v>109</v>
      </c>
      <c r="X27" s="45" t="s">
        <v>109</v>
      </c>
      <c r="Y27" s="47" t="s">
        <v>109</v>
      </c>
      <c r="Z27" s="66" t="s">
        <v>136</v>
      </c>
      <c r="AA27" s="40" t="s">
        <v>105</v>
      </c>
      <c r="AB27" s="92"/>
      <c r="AC27" s="75" t="s">
        <v>109</v>
      </c>
      <c r="AD27" s="68" t="s">
        <v>143</v>
      </c>
      <c r="AE27" s="29" t="s">
        <v>243</v>
      </c>
      <c r="AF27" s="45" t="s">
        <v>109</v>
      </c>
      <c r="AG27" s="45" t="s">
        <v>109</v>
      </c>
      <c r="AH27" s="45" t="s">
        <v>109</v>
      </c>
      <c r="AI27" s="45" t="s">
        <v>109</v>
      </c>
      <c r="AJ27" s="47" t="s">
        <v>109</v>
      </c>
      <c r="AK27" s="65" t="s">
        <v>117</v>
      </c>
      <c r="AL27" s="86" t="s">
        <v>191</v>
      </c>
      <c r="AM27" s="79">
        <v>0.0</v>
      </c>
      <c r="AN27" s="45" t="s">
        <v>109</v>
      </c>
      <c r="AO27" s="68" t="s">
        <v>143</v>
      </c>
      <c r="AP27" s="33" t="s">
        <v>244</v>
      </c>
      <c r="AQ27" s="66" t="s">
        <v>136</v>
      </c>
      <c r="AR27" s="77"/>
      <c r="AS27" s="77"/>
      <c r="AT27" s="68" t="s">
        <v>143</v>
      </c>
      <c r="AU27" s="33" t="s">
        <v>244</v>
      </c>
      <c r="AV27" s="34" t="s">
        <v>99</v>
      </c>
      <c r="AW27" s="53" t="s">
        <v>120</v>
      </c>
      <c r="AX27" s="49">
        <v>45129.0</v>
      </c>
      <c r="AY27" s="29">
        <v>0.15</v>
      </c>
      <c r="AZ27" s="37" t="s">
        <v>103</v>
      </c>
      <c r="BA27" s="34" t="s">
        <v>99</v>
      </c>
      <c r="BB27" s="36" t="s">
        <v>103</v>
      </c>
      <c r="BC27" s="54"/>
      <c r="BD27" s="34" t="s">
        <v>122</v>
      </c>
      <c r="BE27" s="37" t="s">
        <v>103</v>
      </c>
      <c r="BF27" s="71"/>
      <c r="BG27" s="71"/>
      <c r="BH27" s="76">
        <f t="shared" si="1"/>
        <v>0</v>
      </c>
      <c r="BI27" s="76">
        <f t="shared" si="2"/>
        <v>60</v>
      </c>
    </row>
    <row r="28" ht="12.0" customHeight="1">
      <c r="A28" s="29">
        <v>27.0</v>
      </c>
      <c r="B28" s="31">
        <v>46225.479767349534</v>
      </c>
      <c r="C28" s="29" t="s">
        <v>167</v>
      </c>
      <c r="D28" s="77"/>
      <c r="E28" s="29" t="s">
        <v>174</v>
      </c>
      <c r="F28" s="29" t="s">
        <v>245</v>
      </c>
      <c r="G28" s="29" t="s">
        <v>234</v>
      </c>
      <c r="H28" s="32">
        <v>400.0</v>
      </c>
      <c r="I28" s="67" t="s">
        <v>246</v>
      </c>
      <c r="J28" s="34" t="s">
        <v>99</v>
      </c>
      <c r="K28" s="35" t="s">
        <v>101</v>
      </c>
      <c r="L28" s="36" t="s">
        <v>102</v>
      </c>
      <c r="M28" s="32">
        <v>4.0</v>
      </c>
      <c r="N28" s="37" t="s">
        <v>103</v>
      </c>
      <c r="O28" s="65" t="s">
        <v>117</v>
      </c>
      <c r="P28" s="78" t="s">
        <v>118</v>
      </c>
      <c r="Q28" s="32">
        <v>0.8</v>
      </c>
      <c r="R28" s="42">
        <v>45038.0</v>
      </c>
      <c r="S28" s="37" t="s">
        <v>103</v>
      </c>
      <c r="T28" s="29" t="s">
        <v>148</v>
      </c>
      <c r="U28" s="93" t="s">
        <v>109</v>
      </c>
      <c r="V28" s="29">
        <v>0.2</v>
      </c>
      <c r="W28" s="49">
        <v>44734.0</v>
      </c>
      <c r="X28" s="36" t="s">
        <v>103</v>
      </c>
      <c r="Y28" s="47" t="s">
        <v>109</v>
      </c>
      <c r="Z28" s="66" t="s">
        <v>136</v>
      </c>
      <c r="AA28" s="78" t="s">
        <v>118</v>
      </c>
      <c r="AB28" s="32">
        <v>0.2</v>
      </c>
      <c r="AC28" s="49">
        <v>44308.0</v>
      </c>
      <c r="AD28" s="68" t="s">
        <v>143</v>
      </c>
      <c r="AE28" s="29" t="s">
        <v>148</v>
      </c>
      <c r="AF28" s="78" t="s">
        <v>118</v>
      </c>
      <c r="AG28" s="29">
        <v>0.2</v>
      </c>
      <c r="AH28" s="49">
        <v>43912.0</v>
      </c>
      <c r="AI28" s="36" t="s">
        <v>103</v>
      </c>
      <c r="AJ28" s="47" t="s">
        <v>109</v>
      </c>
      <c r="AK28" s="65" t="s">
        <v>117</v>
      </c>
      <c r="AL28" s="36" t="s">
        <v>115</v>
      </c>
      <c r="AM28" s="32">
        <v>0.6</v>
      </c>
      <c r="AN28" s="49">
        <v>45068.0</v>
      </c>
      <c r="AO28" s="37" t="s">
        <v>103</v>
      </c>
      <c r="AP28" s="43" t="s">
        <v>107</v>
      </c>
      <c r="AQ28" s="66" t="s">
        <v>136</v>
      </c>
      <c r="AR28" s="29">
        <v>0.6</v>
      </c>
      <c r="AS28" s="49">
        <v>44673.0</v>
      </c>
      <c r="AT28" s="37" t="s">
        <v>103</v>
      </c>
      <c r="AU28" s="43" t="s">
        <v>107</v>
      </c>
      <c r="AV28" s="34" t="s">
        <v>99</v>
      </c>
      <c r="AW28" s="94" t="s">
        <v>102</v>
      </c>
      <c r="AX28" s="49">
        <v>43973.0</v>
      </c>
      <c r="AY28" s="29">
        <v>0.2</v>
      </c>
      <c r="AZ28" s="37" t="s">
        <v>103</v>
      </c>
      <c r="BA28" s="34" t="s">
        <v>99</v>
      </c>
      <c r="BB28" s="36" t="s">
        <v>103</v>
      </c>
      <c r="BC28" s="54"/>
      <c r="BD28" s="34" t="s">
        <v>122</v>
      </c>
      <c r="BE28" s="37" t="s">
        <v>103</v>
      </c>
      <c r="BF28" s="71"/>
      <c r="BG28" s="71"/>
      <c r="BH28" s="76">
        <f t="shared" si="1"/>
        <v>320</v>
      </c>
      <c r="BI28" s="76">
        <f t="shared" si="2"/>
        <v>1600</v>
      </c>
    </row>
    <row r="29" ht="12.0" customHeight="1">
      <c r="A29" s="29">
        <v>28.0</v>
      </c>
      <c r="B29" s="31">
        <v>46225.48471849537</v>
      </c>
      <c r="C29" s="29" t="s">
        <v>167</v>
      </c>
      <c r="D29" s="77"/>
      <c r="E29" s="29" t="s">
        <v>174</v>
      </c>
      <c r="F29" s="29" t="s">
        <v>239</v>
      </c>
      <c r="G29" s="29" t="s">
        <v>234</v>
      </c>
      <c r="H29" s="32">
        <v>50.0</v>
      </c>
      <c r="I29" s="67" t="s">
        <v>247</v>
      </c>
      <c r="J29" s="34" t="s">
        <v>99</v>
      </c>
      <c r="K29" s="35" t="s">
        <v>101</v>
      </c>
      <c r="L29" s="36" t="s">
        <v>102</v>
      </c>
      <c r="M29" s="32">
        <v>2.2</v>
      </c>
      <c r="N29" s="37" t="s">
        <v>103</v>
      </c>
      <c r="O29" s="38" t="s">
        <v>104</v>
      </c>
      <c r="P29" s="40" t="s">
        <v>105</v>
      </c>
      <c r="Q29" s="32">
        <v>0.48</v>
      </c>
      <c r="R29" s="75" t="s">
        <v>109</v>
      </c>
      <c r="S29" s="68" t="s">
        <v>143</v>
      </c>
      <c r="T29" s="29" t="s">
        <v>148</v>
      </c>
      <c r="U29" s="45" t="s">
        <v>109</v>
      </c>
      <c r="V29" s="45" t="s">
        <v>109</v>
      </c>
      <c r="W29" s="77"/>
      <c r="X29" s="45" t="s">
        <v>109</v>
      </c>
      <c r="Y29" s="47" t="s">
        <v>109</v>
      </c>
      <c r="Z29" s="48" t="s">
        <v>111</v>
      </c>
      <c r="AA29" s="40" t="s">
        <v>105</v>
      </c>
      <c r="AB29" s="32">
        <v>0.46</v>
      </c>
      <c r="AC29" s="75" t="s">
        <v>109</v>
      </c>
      <c r="AD29" s="68" t="s">
        <v>143</v>
      </c>
      <c r="AE29" s="29" t="s">
        <v>148</v>
      </c>
      <c r="AF29" s="45" t="s">
        <v>109</v>
      </c>
      <c r="AG29" s="45" t="s">
        <v>109</v>
      </c>
      <c r="AH29" s="45" t="s">
        <v>109</v>
      </c>
      <c r="AI29" s="45" t="s">
        <v>109</v>
      </c>
      <c r="AJ29" s="47" t="s">
        <v>109</v>
      </c>
      <c r="AK29" s="38" t="s">
        <v>104</v>
      </c>
      <c r="AL29" s="68" t="s">
        <v>143</v>
      </c>
      <c r="AM29" s="79">
        <v>0.0</v>
      </c>
      <c r="AN29" s="45" t="s">
        <v>109</v>
      </c>
      <c r="AO29" s="68" t="s">
        <v>143</v>
      </c>
      <c r="AP29" s="33" t="s">
        <v>248</v>
      </c>
      <c r="AQ29" s="66" t="s">
        <v>136</v>
      </c>
      <c r="AR29" s="77"/>
      <c r="AS29" s="77"/>
      <c r="AT29" s="68" t="s">
        <v>143</v>
      </c>
      <c r="AU29" s="33" t="s">
        <v>249</v>
      </c>
      <c r="AV29" s="34" t="s">
        <v>99</v>
      </c>
      <c r="AW29" s="53" t="s">
        <v>250</v>
      </c>
      <c r="AX29" s="49">
        <v>44764.0</v>
      </c>
      <c r="AY29" s="29">
        <v>0.15</v>
      </c>
      <c r="AZ29" s="37" t="s">
        <v>103</v>
      </c>
      <c r="BA29" s="34" t="s">
        <v>99</v>
      </c>
      <c r="BB29" s="36" t="s">
        <v>103</v>
      </c>
      <c r="BC29" s="54"/>
      <c r="BD29" s="34" t="s">
        <v>122</v>
      </c>
      <c r="BE29" s="37" t="s">
        <v>103</v>
      </c>
      <c r="BF29" s="71"/>
      <c r="BG29" s="71"/>
      <c r="BH29" s="76">
        <f t="shared" si="1"/>
        <v>24</v>
      </c>
      <c r="BI29" s="76">
        <f t="shared" si="2"/>
        <v>110</v>
      </c>
    </row>
    <row r="30" ht="12.0" customHeight="1">
      <c r="A30" s="29">
        <v>29.0</v>
      </c>
      <c r="B30" s="31">
        <v>46224.601366874995</v>
      </c>
      <c r="C30" s="29" t="s">
        <v>87</v>
      </c>
      <c r="D30" s="29" t="s">
        <v>132</v>
      </c>
      <c r="E30" s="29" t="s">
        <v>89</v>
      </c>
      <c r="F30" s="29" t="s">
        <v>150</v>
      </c>
      <c r="G30" s="29" t="s">
        <v>151</v>
      </c>
      <c r="H30" s="32">
        <v>130.944444444444</v>
      </c>
      <c r="I30" s="33" t="s">
        <v>251</v>
      </c>
      <c r="J30" s="34" t="s">
        <v>99</v>
      </c>
      <c r="K30" s="35" t="s">
        <v>101</v>
      </c>
      <c r="L30" s="36" t="s">
        <v>102</v>
      </c>
      <c r="M30" s="32">
        <v>2.62</v>
      </c>
      <c r="N30" s="37" t="s">
        <v>103</v>
      </c>
      <c r="O30" s="38" t="s">
        <v>104</v>
      </c>
      <c r="P30" s="68" t="s">
        <v>152</v>
      </c>
      <c r="Q30" s="32">
        <v>0.895000000000001</v>
      </c>
      <c r="R30" s="42">
        <v>44751.0</v>
      </c>
      <c r="S30" s="68" t="s">
        <v>143</v>
      </c>
      <c r="T30" s="29" t="s">
        <v>148</v>
      </c>
      <c r="U30" s="45" t="s">
        <v>109</v>
      </c>
      <c r="V30" s="45" t="s">
        <v>109</v>
      </c>
      <c r="W30" s="45" t="s">
        <v>109</v>
      </c>
      <c r="X30" s="45" t="s">
        <v>109</v>
      </c>
      <c r="Y30" s="47" t="s">
        <v>109</v>
      </c>
      <c r="Z30" s="48" t="s">
        <v>111</v>
      </c>
      <c r="AA30" s="40" t="s">
        <v>105</v>
      </c>
      <c r="AB30" s="32">
        <v>0.125</v>
      </c>
      <c r="AC30" s="49">
        <v>45117.0</v>
      </c>
      <c r="AD30" s="36" t="s">
        <v>103</v>
      </c>
      <c r="AE30" s="43" t="s">
        <v>107</v>
      </c>
      <c r="AF30" s="45" t="s">
        <v>109</v>
      </c>
      <c r="AG30" s="45" t="s">
        <v>109</v>
      </c>
      <c r="AH30" s="45" t="s">
        <v>109</v>
      </c>
      <c r="AI30" s="45" t="s">
        <v>109</v>
      </c>
      <c r="AJ30" s="47" t="s">
        <v>109</v>
      </c>
      <c r="AK30" s="38" t="s">
        <v>104</v>
      </c>
      <c r="AL30" s="36" t="s">
        <v>115</v>
      </c>
      <c r="AM30" s="32">
        <v>0.669999999999999</v>
      </c>
      <c r="AN30" s="45" t="s">
        <v>109</v>
      </c>
      <c r="AO30" s="70" t="s">
        <v>153</v>
      </c>
      <c r="AP30" s="33" t="s">
        <v>154</v>
      </c>
      <c r="AQ30" s="48" t="s">
        <v>111</v>
      </c>
      <c r="AR30" s="29">
        <v>0.669999999999999</v>
      </c>
      <c r="AS30" s="49">
        <v>45116.0</v>
      </c>
      <c r="AT30" s="68" t="s">
        <v>143</v>
      </c>
      <c r="AU30" s="33" t="s">
        <v>149</v>
      </c>
      <c r="AV30" s="34" t="s">
        <v>99</v>
      </c>
      <c r="AW30" s="53" t="s">
        <v>250</v>
      </c>
      <c r="AX30" s="49">
        <v>45123.0</v>
      </c>
      <c r="AY30" s="29">
        <v>0.17</v>
      </c>
      <c r="AZ30" s="37" t="s">
        <v>103</v>
      </c>
      <c r="BA30" s="34" t="s">
        <v>99</v>
      </c>
      <c r="BB30" s="36" t="s">
        <v>103</v>
      </c>
      <c r="BC30" s="54"/>
      <c r="BD30" s="34" t="s">
        <v>122</v>
      </c>
      <c r="BE30" s="37" t="s">
        <v>103</v>
      </c>
      <c r="BF30" s="71"/>
      <c r="BG30" s="71"/>
      <c r="BH30" s="76">
        <f t="shared" si="1"/>
        <v>117.1952778</v>
      </c>
      <c r="BI30" s="76">
        <f t="shared" si="2"/>
        <v>343.0744444</v>
      </c>
    </row>
    <row r="31" ht="12.0" customHeight="1">
      <c r="A31" s="29">
        <v>30.0</v>
      </c>
      <c r="B31" s="31">
        <v>46225.49585006945</v>
      </c>
      <c r="C31" s="29" t="s">
        <v>167</v>
      </c>
      <c r="D31" s="77"/>
      <c r="E31" s="29" t="s">
        <v>174</v>
      </c>
      <c r="F31" s="29" t="s">
        <v>150</v>
      </c>
      <c r="G31" s="29" t="s">
        <v>234</v>
      </c>
      <c r="H31" s="32">
        <v>110.0</v>
      </c>
      <c r="I31" s="67" t="s">
        <v>252</v>
      </c>
      <c r="J31" s="34" t="s">
        <v>99</v>
      </c>
      <c r="K31" s="35" t="s">
        <v>101</v>
      </c>
      <c r="L31" s="36" t="s">
        <v>102</v>
      </c>
      <c r="M31" s="32">
        <v>3.0</v>
      </c>
      <c r="N31" s="37" t="s">
        <v>103</v>
      </c>
      <c r="O31" s="38" t="s">
        <v>104</v>
      </c>
      <c r="P31" s="68" t="s">
        <v>152</v>
      </c>
      <c r="Q31" s="79">
        <v>0.0</v>
      </c>
      <c r="R31" s="75" t="s">
        <v>109</v>
      </c>
      <c r="S31" s="68" t="s">
        <v>143</v>
      </c>
      <c r="T31" s="29" t="s">
        <v>148</v>
      </c>
      <c r="U31" s="45" t="s">
        <v>109</v>
      </c>
      <c r="V31" s="45" t="s">
        <v>109</v>
      </c>
      <c r="W31" s="45" t="s">
        <v>109</v>
      </c>
      <c r="X31" s="45" t="s">
        <v>109</v>
      </c>
      <c r="Y31" s="47" t="s">
        <v>109</v>
      </c>
      <c r="Z31" s="48" t="s">
        <v>111</v>
      </c>
      <c r="AA31" s="95" t="s">
        <v>145</v>
      </c>
      <c r="AB31" s="93" t="s">
        <v>145</v>
      </c>
      <c r="AC31" s="95" t="s">
        <v>145</v>
      </c>
      <c r="AD31" s="68" t="s">
        <v>143</v>
      </c>
      <c r="AE31" s="96" t="s">
        <v>148</v>
      </c>
      <c r="AF31" s="45" t="s">
        <v>109</v>
      </c>
      <c r="AG31" s="45" t="s">
        <v>109</v>
      </c>
      <c r="AH31" s="45" t="s">
        <v>109</v>
      </c>
      <c r="AI31" s="45" t="s">
        <v>109</v>
      </c>
      <c r="AJ31" s="47" t="s">
        <v>109</v>
      </c>
      <c r="AK31" s="38" t="s">
        <v>104</v>
      </c>
      <c r="AL31" s="68" t="s">
        <v>143</v>
      </c>
      <c r="AM31" s="29" t="s">
        <v>200</v>
      </c>
      <c r="AN31" s="45" t="s">
        <v>109</v>
      </c>
      <c r="AO31" s="68" t="s">
        <v>143</v>
      </c>
      <c r="AP31" s="43" t="s">
        <v>107</v>
      </c>
      <c r="AQ31" s="48" t="s">
        <v>111</v>
      </c>
      <c r="AR31" s="77"/>
      <c r="AS31" s="77"/>
      <c r="AT31" s="68" t="s">
        <v>143</v>
      </c>
      <c r="AU31" s="43" t="s">
        <v>107</v>
      </c>
      <c r="AV31" s="34" t="s">
        <v>99</v>
      </c>
      <c r="AW31" s="53" t="s">
        <v>120</v>
      </c>
      <c r="AX31" s="97" t="s">
        <v>253</v>
      </c>
      <c r="AY31" s="29">
        <v>0.2</v>
      </c>
      <c r="AZ31" s="37" t="s">
        <v>103</v>
      </c>
      <c r="BA31" s="34" t="s">
        <v>99</v>
      </c>
      <c r="BB31" s="36" t="s">
        <v>103</v>
      </c>
      <c r="BC31" s="54"/>
      <c r="BD31" s="34" t="s">
        <v>122</v>
      </c>
      <c r="BE31" s="37" t="s">
        <v>103</v>
      </c>
      <c r="BF31" s="77"/>
      <c r="BG31" s="77"/>
      <c r="BH31" s="98"/>
      <c r="BI31" s="98">
        <f t="shared" si="2"/>
        <v>330</v>
      </c>
    </row>
    <row r="32" ht="12.0" customHeight="1">
      <c r="A32" s="29">
        <v>31.0</v>
      </c>
      <c r="B32" s="31">
        <v>46225.49785836806</v>
      </c>
      <c r="C32" s="29" t="s">
        <v>167</v>
      </c>
      <c r="D32" s="77"/>
      <c r="E32" s="29" t="s">
        <v>254</v>
      </c>
      <c r="F32" s="29" t="s">
        <v>255</v>
      </c>
      <c r="G32" s="29" t="s">
        <v>256</v>
      </c>
      <c r="H32" s="32">
        <v>50.0</v>
      </c>
      <c r="I32" s="67" t="s">
        <v>257</v>
      </c>
      <c r="J32" s="34" t="s">
        <v>99</v>
      </c>
      <c r="K32" s="35" t="s">
        <v>101</v>
      </c>
      <c r="L32" s="36" t="s">
        <v>102</v>
      </c>
      <c r="M32" s="32">
        <v>3.0</v>
      </c>
      <c r="N32" s="37" t="s">
        <v>103</v>
      </c>
      <c r="O32" s="38" t="s">
        <v>104</v>
      </c>
      <c r="P32" s="40" t="s">
        <v>105</v>
      </c>
      <c r="Q32" s="32">
        <v>0.46</v>
      </c>
      <c r="R32" s="75" t="s">
        <v>109</v>
      </c>
      <c r="S32" s="68" t="s">
        <v>143</v>
      </c>
      <c r="T32" s="29" t="s">
        <v>258</v>
      </c>
      <c r="U32" s="45" t="s">
        <v>109</v>
      </c>
      <c r="V32" s="45" t="s">
        <v>109</v>
      </c>
      <c r="W32" s="45" t="s">
        <v>109</v>
      </c>
      <c r="X32" s="45" t="s">
        <v>109</v>
      </c>
      <c r="Y32" s="47" t="s">
        <v>109</v>
      </c>
      <c r="Z32" s="48" t="s">
        <v>111</v>
      </c>
      <c r="AA32" s="40" t="s">
        <v>105</v>
      </c>
      <c r="AB32" s="32">
        <v>0.46</v>
      </c>
      <c r="AC32" s="75" t="s">
        <v>109</v>
      </c>
      <c r="AD32" s="68" t="s">
        <v>143</v>
      </c>
      <c r="AE32" s="29" t="s">
        <v>258</v>
      </c>
      <c r="AF32" s="45" t="s">
        <v>109</v>
      </c>
      <c r="AG32" s="45" t="s">
        <v>109</v>
      </c>
      <c r="AH32" s="45" t="s">
        <v>109</v>
      </c>
      <c r="AI32" s="45" t="s">
        <v>109</v>
      </c>
      <c r="AJ32" s="47" t="s">
        <v>109</v>
      </c>
      <c r="AK32" s="38" t="s">
        <v>104</v>
      </c>
      <c r="AL32" s="36" t="s">
        <v>115</v>
      </c>
      <c r="AM32" s="32">
        <v>0.6</v>
      </c>
      <c r="AN32" s="97" t="s">
        <v>259</v>
      </c>
      <c r="AO32" s="68" t="s">
        <v>143</v>
      </c>
      <c r="AP32" s="33" t="s">
        <v>260</v>
      </c>
      <c r="AQ32" s="48" t="s">
        <v>111</v>
      </c>
      <c r="AR32" s="29">
        <v>0.6</v>
      </c>
      <c r="AS32" s="97" t="s">
        <v>259</v>
      </c>
      <c r="AT32" s="68" t="s">
        <v>143</v>
      </c>
      <c r="AU32" s="33" t="s">
        <v>260</v>
      </c>
      <c r="AV32" s="34" t="s">
        <v>99</v>
      </c>
      <c r="AW32" s="53" t="s">
        <v>120</v>
      </c>
      <c r="AX32" s="97" t="s">
        <v>261</v>
      </c>
      <c r="AY32" s="29">
        <v>0.1</v>
      </c>
      <c r="AZ32" s="37" t="s">
        <v>103</v>
      </c>
      <c r="BA32" s="34" t="s">
        <v>99</v>
      </c>
      <c r="BB32" s="36" t="s">
        <v>103</v>
      </c>
      <c r="BC32" s="54"/>
      <c r="BD32" s="34" t="s">
        <v>122</v>
      </c>
      <c r="BE32" s="37" t="s">
        <v>103</v>
      </c>
      <c r="BF32" s="77"/>
      <c r="BG32" s="77"/>
      <c r="BH32" s="98">
        <f>Q32*H32</f>
        <v>23</v>
      </c>
      <c r="BI32" s="98">
        <f t="shared" si="2"/>
        <v>150</v>
      </c>
    </row>
    <row r="33" ht="12.0" customHeight="1">
      <c r="A33" s="29">
        <v>32.0</v>
      </c>
      <c r="B33" s="31">
        <v>46225.50015820602</v>
      </c>
      <c r="C33" s="29" t="s">
        <v>167</v>
      </c>
      <c r="D33" s="77"/>
      <c r="E33" s="29" t="s">
        <v>262</v>
      </c>
      <c r="F33" s="29" t="s">
        <v>146</v>
      </c>
      <c r="G33" s="29" t="s">
        <v>234</v>
      </c>
      <c r="H33" s="32">
        <v>110.0</v>
      </c>
      <c r="I33" s="67" t="s">
        <v>263</v>
      </c>
      <c r="J33" s="34" t="s">
        <v>99</v>
      </c>
      <c r="K33" s="35" t="s">
        <v>101</v>
      </c>
      <c r="L33" s="36" t="s">
        <v>102</v>
      </c>
      <c r="M33" s="32">
        <v>3.0</v>
      </c>
      <c r="N33" s="99" t="s">
        <v>153</v>
      </c>
      <c r="O33" s="38" t="s">
        <v>104</v>
      </c>
      <c r="P33" s="40" t="s">
        <v>105</v>
      </c>
      <c r="Q33" s="93" t="s">
        <v>200</v>
      </c>
      <c r="R33" s="75" t="s">
        <v>109</v>
      </c>
      <c r="S33" s="68" t="s">
        <v>143</v>
      </c>
      <c r="T33" s="29" t="s">
        <v>148</v>
      </c>
      <c r="U33" s="45" t="s">
        <v>109</v>
      </c>
      <c r="V33" s="45" t="s">
        <v>109</v>
      </c>
      <c r="W33" s="45" t="s">
        <v>109</v>
      </c>
      <c r="X33" s="45" t="s">
        <v>109</v>
      </c>
      <c r="Y33" s="47" t="s">
        <v>109</v>
      </c>
      <c r="Z33" s="48" t="s">
        <v>111</v>
      </c>
      <c r="AA33" s="40" t="s">
        <v>105</v>
      </c>
      <c r="AB33" s="96" t="s">
        <v>200</v>
      </c>
      <c r="AC33" s="75" t="s">
        <v>109</v>
      </c>
      <c r="AD33" s="85" t="s">
        <v>190</v>
      </c>
      <c r="AE33" s="29" t="s">
        <v>264</v>
      </c>
      <c r="AF33" s="45" t="s">
        <v>109</v>
      </c>
      <c r="AG33" s="45" t="s">
        <v>109</v>
      </c>
      <c r="AH33" s="45" t="s">
        <v>109</v>
      </c>
      <c r="AI33" s="45" t="s">
        <v>109</v>
      </c>
      <c r="AJ33" s="47" t="s">
        <v>109</v>
      </c>
      <c r="AK33" s="38" t="s">
        <v>104</v>
      </c>
      <c r="AL33" s="100" t="s">
        <v>191</v>
      </c>
      <c r="AM33" s="45" t="s">
        <v>109</v>
      </c>
      <c r="AN33" s="45" t="s">
        <v>109</v>
      </c>
      <c r="AO33" s="68" t="s">
        <v>143</v>
      </c>
      <c r="AP33" s="43" t="s">
        <v>107</v>
      </c>
      <c r="AQ33" s="48" t="s">
        <v>111</v>
      </c>
      <c r="AR33" s="29" t="s">
        <v>200</v>
      </c>
      <c r="AS33" s="77"/>
      <c r="AT33" s="68" t="s">
        <v>143</v>
      </c>
      <c r="AU33" s="33" t="s">
        <v>265</v>
      </c>
      <c r="AV33" s="34" t="s">
        <v>99</v>
      </c>
      <c r="AW33" s="53" t="s">
        <v>120</v>
      </c>
      <c r="AX33" s="97" t="s">
        <v>266</v>
      </c>
      <c r="AY33" s="29">
        <v>0.2</v>
      </c>
      <c r="AZ33" s="37" t="s">
        <v>103</v>
      </c>
      <c r="BA33" s="34" t="s">
        <v>99</v>
      </c>
      <c r="BB33" s="36" t="s">
        <v>103</v>
      </c>
      <c r="BC33" s="54"/>
      <c r="BD33" s="34" t="s">
        <v>122</v>
      </c>
      <c r="BE33" s="37" t="s">
        <v>103</v>
      </c>
      <c r="BF33" s="77"/>
      <c r="BG33" s="77"/>
      <c r="BH33" s="98"/>
      <c r="BI33" s="98">
        <f t="shared" si="2"/>
        <v>330</v>
      </c>
    </row>
    <row r="34" ht="12.0" customHeight="1">
      <c r="A34" s="29">
        <v>33.0</v>
      </c>
      <c r="B34" s="31">
        <v>46225.502497141206</v>
      </c>
      <c r="C34" s="29" t="s">
        <v>167</v>
      </c>
      <c r="D34" s="77"/>
      <c r="E34" s="29" t="s">
        <v>254</v>
      </c>
      <c r="F34" s="29" t="s">
        <v>267</v>
      </c>
      <c r="G34" s="29" t="s">
        <v>268</v>
      </c>
      <c r="H34" s="32">
        <v>20.0</v>
      </c>
      <c r="I34" s="67" t="s">
        <v>269</v>
      </c>
      <c r="J34" s="34" t="s">
        <v>99</v>
      </c>
      <c r="K34" s="35" t="s">
        <v>101</v>
      </c>
      <c r="L34" s="36" t="s">
        <v>102</v>
      </c>
      <c r="M34" s="32">
        <v>4.0</v>
      </c>
      <c r="N34" s="37" t="s">
        <v>103</v>
      </c>
      <c r="O34" s="38" t="s">
        <v>104</v>
      </c>
      <c r="P34" s="40" t="s">
        <v>105</v>
      </c>
      <c r="Q34" s="92"/>
      <c r="R34" s="75" t="s">
        <v>109</v>
      </c>
      <c r="S34" s="68" t="s">
        <v>143</v>
      </c>
      <c r="T34" s="29" t="s">
        <v>258</v>
      </c>
      <c r="U34" s="45" t="s">
        <v>109</v>
      </c>
      <c r="V34" s="45" t="s">
        <v>109</v>
      </c>
      <c r="W34" s="45" t="s">
        <v>109</v>
      </c>
      <c r="X34" s="45" t="s">
        <v>109</v>
      </c>
      <c r="Y34" s="47" t="s">
        <v>109</v>
      </c>
      <c r="Z34" s="48" t="s">
        <v>111</v>
      </c>
      <c r="AA34" s="40" t="s">
        <v>105</v>
      </c>
      <c r="AB34" s="92"/>
      <c r="AC34" s="75" t="s">
        <v>109</v>
      </c>
      <c r="AD34" s="68" t="s">
        <v>143</v>
      </c>
      <c r="AE34" s="29" t="s">
        <v>270</v>
      </c>
      <c r="AF34" s="45" t="s">
        <v>109</v>
      </c>
      <c r="AG34" s="45" t="s">
        <v>109</v>
      </c>
      <c r="AH34" s="45" t="s">
        <v>109</v>
      </c>
      <c r="AI34" s="45" t="s">
        <v>109</v>
      </c>
      <c r="AJ34" s="47" t="s">
        <v>109</v>
      </c>
      <c r="AK34" s="38" t="s">
        <v>104</v>
      </c>
      <c r="AL34" s="100" t="s">
        <v>191</v>
      </c>
      <c r="AM34" s="45" t="s">
        <v>109</v>
      </c>
      <c r="AN34" s="45" t="s">
        <v>109</v>
      </c>
      <c r="AO34" s="68" t="s">
        <v>143</v>
      </c>
      <c r="AP34" s="33" t="s">
        <v>271</v>
      </c>
      <c r="AQ34" s="48" t="s">
        <v>111</v>
      </c>
      <c r="AR34" s="77"/>
      <c r="AS34" s="77"/>
      <c r="AT34" s="68" t="s">
        <v>143</v>
      </c>
      <c r="AU34" s="33" t="s">
        <v>272</v>
      </c>
      <c r="AV34" s="34" t="s">
        <v>99</v>
      </c>
      <c r="AW34" s="53" t="s">
        <v>120</v>
      </c>
      <c r="AX34" s="97" t="s">
        <v>273</v>
      </c>
      <c r="AY34" s="29">
        <v>0.15</v>
      </c>
      <c r="AZ34" s="37" t="s">
        <v>103</v>
      </c>
      <c r="BA34" s="34" t="s">
        <v>99</v>
      </c>
      <c r="BB34" s="36" t="s">
        <v>103</v>
      </c>
      <c r="BC34" s="54"/>
      <c r="BD34" s="34" t="s">
        <v>122</v>
      </c>
      <c r="BE34" s="37" t="s">
        <v>103</v>
      </c>
      <c r="BF34" s="77"/>
      <c r="BG34" s="77"/>
      <c r="BH34" s="98">
        <f>Q34*H34</f>
        <v>0</v>
      </c>
      <c r="BI34" s="98">
        <f t="shared" si="2"/>
        <v>80</v>
      </c>
    </row>
    <row r="35" ht="12.0" customHeight="1">
      <c r="A35" s="29">
        <v>34.0</v>
      </c>
      <c r="B35" s="31">
        <v>46225.503758287035</v>
      </c>
      <c r="C35" s="29" t="s">
        <v>167</v>
      </c>
      <c r="D35" s="77"/>
      <c r="E35" s="29" t="s">
        <v>174</v>
      </c>
      <c r="F35" s="29" t="s">
        <v>139</v>
      </c>
      <c r="G35" s="29" t="s">
        <v>234</v>
      </c>
      <c r="H35" s="32">
        <v>80.0</v>
      </c>
      <c r="I35" s="67" t="s">
        <v>274</v>
      </c>
      <c r="J35" s="34" t="s">
        <v>99</v>
      </c>
      <c r="K35" s="35" t="s">
        <v>101</v>
      </c>
      <c r="L35" s="36" t="s">
        <v>102</v>
      </c>
      <c r="M35" s="32">
        <v>3.0</v>
      </c>
      <c r="N35" s="99" t="s">
        <v>153</v>
      </c>
      <c r="O35" s="38" t="s">
        <v>104</v>
      </c>
      <c r="P35" s="40" t="s">
        <v>105</v>
      </c>
      <c r="Q35" s="93" t="s">
        <v>200</v>
      </c>
      <c r="R35" s="75" t="s">
        <v>109</v>
      </c>
      <c r="S35" s="86" t="s">
        <v>109</v>
      </c>
      <c r="T35" s="29" t="s">
        <v>275</v>
      </c>
      <c r="U35" s="45" t="s">
        <v>109</v>
      </c>
      <c r="V35" s="45" t="s">
        <v>109</v>
      </c>
      <c r="W35" s="45" t="s">
        <v>109</v>
      </c>
      <c r="X35" s="45" t="s">
        <v>109</v>
      </c>
      <c r="Y35" s="47" t="s">
        <v>109</v>
      </c>
      <c r="Z35" s="48" t="s">
        <v>111</v>
      </c>
      <c r="AA35" s="40" t="s">
        <v>105</v>
      </c>
      <c r="AB35" s="96" t="s">
        <v>200</v>
      </c>
      <c r="AC35" s="75" t="s">
        <v>109</v>
      </c>
      <c r="AD35" s="85" t="s">
        <v>190</v>
      </c>
      <c r="AE35" s="29" t="s">
        <v>276</v>
      </c>
      <c r="AF35" s="45" t="s">
        <v>109</v>
      </c>
      <c r="AG35" s="45" t="s">
        <v>109</v>
      </c>
      <c r="AH35" s="45" t="s">
        <v>109</v>
      </c>
      <c r="AI35" s="45" t="s">
        <v>109</v>
      </c>
      <c r="AJ35" s="47" t="s">
        <v>109</v>
      </c>
      <c r="AK35" s="38" t="s">
        <v>104</v>
      </c>
      <c r="AL35" s="100" t="s">
        <v>191</v>
      </c>
      <c r="AM35" s="45" t="s">
        <v>109</v>
      </c>
      <c r="AN35" s="45" t="s">
        <v>109</v>
      </c>
      <c r="AO35" s="45" t="s">
        <v>109</v>
      </c>
      <c r="AP35" s="33" t="s">
        <v>277</v>
      </c>
      <c r="AQ35" s="48" t="s">
        <v>111</v>
      </c>
      <c r="AR35" s="77"/>
      <c r="AS35" s="77"/>
      <c r="AT35" s="29" t="s">
        <v>200</v>
      </c>
      <c r="AU35" s="33" t="s">
        <v>277</v>
      </c>
      <c r="AV35" s="34" t="s">
        <v>99</v>
      </c>
      <c r="AW35" s="53" t="s">
        <v>120</v>
      </c>
      <c r="AX35" s="97" t="s">
        <v>278</v>
      </c>
      <c r="AY35" s="29">
        <v>0.2</v>
      </c>
      <c r="AZ35" s="37" t="s">
        <v>103</v>
      </c>
      <c r="BA35" s="34" t="s">
        <v>99</v>
      </c>
      <c r="BB35" s="36" t="s">
        <v>103</v>
      </c>
      <c r="BC35" s="54"/>
      <c r="BD35" s="34" t="s">
        <v>122</v>
      </c>
      <c r="BE35" s="37" t="s">
        <v>103</v>
      </c>
      <c r="BF35" s="77"/>
      <c r="BG35" s="77"/>
      <c r="BH35" s="98"/>
      <c r="BI35" s="98">
        <f t="shared" si="2"/>
        <v>240</v>
      </c>
    </row>
    <row r="36" ht="12.0" customHeight="1">
      <c r="A36" s="29">
        <v>35.0</v>
      </c>
      <c r="B36" s="31">
        <v>46225.50886270833</v>
      </c>
      <c r="C36" s="29" t="s">
        <v>167</v>
      </c>
      <c r="D36" s="77"/>
      <c r="E36" s="29" t="s">
        <v>254</v>
      </c>
      <c r="F36" s="29" t="s">
        <v>279</v>
      </c>
      <c r="G36" s="29" t="s">
        <v>280</v>
      </c>
      <c r="H36" s="32">
        <v>23.0</v>
      </c>
      <c r="I36" s="67" t="s">
        <v>281</v>
      </c>
      <c r="J36" s="34" t="s">
        <v>99</v>
      </c>
      <c r="K36" s="35" t="s">
        <v>101</v>
      </c>
      <c r="L36" s="36" t="s">
        <v>102</v>
      </c>
      <c r="M36" s="32">
        <v>3.0</v>
      </c>
      <c r="N36" s="37" t="s">
        <v>103</v>
      </c>
      <c r="O36" s="38" t="s">
        <v>104</v>
      </c>
      <c r="P36" s="40" t="s">
        <v>105</v>
      </c>
      <c r="Q36" s="32">
        <v>0.46</v>
      </c>
      <c r="R36" s="101">
        <v>2022.0</v>
      </c>
      <c r="S36" s="68" t="s">
        <v>143</v>
      </c>
      <c r="T36" s="29" t="s">
        <v>148</v>
      </c>
      <c r="U36" s="45" t="s">
        <v>109</v>
      </c>
      <c r="V36" s="45" t="s">
        <v>109</v>
      </c>
      <c r="W36" s="45" t="s">
        <v>109</v>
      </c>
      <c r="X36" s="45" t="s">
        <v>109</v>
      </c>
      <c r="Y36" s="47" t="s">
        <v>109</v>
      </c>
      <c r="Z36" s="48" t="s">
        <v>111</v>
      </c>
      <c r="AA36" s="40" t="s">
        <v>105</v>
      </c>
      <c r="AB36" s="32">
        <v>0.46</v>
      </c>
      <c r="AC36" s="29">
        <v>2022.0</v>
      </c>
      <c r="AD36" s="68" t="s">
        <v>143</v>
      </c>
      <c r="AE36" s="29" t="s">
        <v>282</v>
      </c>
      <c r="AF36" s="45" t="s">
        <v>109</v>
      </c>
      <c r="AG36" s="45" t="s">
        <v>109</v>
      </c>
      <c r="AH36" s="45" t="s">
        <v>109</v>
      </c>
      <c r="AI36" s="45" t="s">
        <v>109</v>
      </c>
      <c r="AJ36" s="47" t="s">
        <v>109</v>
      </c>
      <c r="AK36" s="38" t="s">
        <v>104</v>
      </c>
      <c r="AL36" s="100" t="s">
        <v>191</v>
      </c>
      <c r="AM36" s="45" t="s">
        <v>109</v>
      </c>
      <c r="AN36" s="45" t="s">
        <v>109</v>
      </c>
      <c r="AO36" s="68" t="s">
        <v>143</v>
      </c>
      <c r="AP36" s="33" t="s">
        <v>271</v>
      </c>
      <c r="AQ36" s="48" t="s">
        <v>111</v>
      </c>
      <c r="AR36" s="77"/>
      <c r="AS36" s="77"/>
      <c r="AT36" s="68" t="s">
        <v>143</v>
      </c>
      <c r="AU36" s="33" t="s">
        <v>249</v>
      </c>
      <c r="AV36" s="34" t="s">
        <v>99</v>
      </c>
      <c r="AW36" s="53" t="s">
        <v>120</v>
      </c>
      <c r="AX36" s="29">
        <v>2022.0</v>
      </c>
      <c r="AY36" s="29">
        <v>0.15</v>
      </c>
      <c r="AZ36" s="37" t="s">
        <v>103</v>
      </c>
      <c r="BA36" s="34" t="s">
        <v>99</v>
      </c>
      <c r="BB36" s="36" t="s">
        <v>103</v>
      </c>
      <c r="BC36" s="54"/>
      <c r="BD36" s="34" t="s">
        <v>122</v>
      </c>
      <c r="BE36" s="37" t="s">
        <v>103</v>
      </c>
      <c r="BF36" s="77"/>
      <c r="BG36" s="77"/>
      <c r="BH36" s="98">
        <f>Q36*H36</f>
        <v>10.58</v>
      </c>
      <c r="BI36" s="98">
        <f t="shared" si="2"/>
        <v>69</v>
      </c>
    </row>
    <row r="37" ht="12.0" customHeight="1">
      <c r="A37" s="29">
        <v>36.0</v>
      </c>
      <c r="B37" s="31">
        <v>46225.50925575232</v>
      </c>
      <c r="C37" s="29" t="s">
        <v>167</v>
      </c>
      <c r="D37" s="77"/>
      <c r="E37" s="29" t="s">
        <v>182</v>
      </c>
      <c r="F37" s="29" t="s">
        <v>133</v>
      </c>
      <c r="G37" s="29" t="s">
        <v>234</v>
      </c>
      <c r="H37" s="32">
        <v>110.0</v>
      </c>
      <c r="I37" s="67" t="s">
        <v>283</v>
      </c>
      <c r="J37" s="34" t="s">
        <v>99</v>
      </c>
      <c r="K37" s="35" t="s">
        <v>101</v>
      </c>
      <c r="L37" s="36" t="s">
        <v>102</v>
      </c>
      <c r="M37" s="32">
        <v>3.0</v>
      </c>
      <c r="N37" s="37" t="s">
        <v>103</v>
      </c>
      <c r="O37" s="38" t="s">
        <v>104</v>
      </c>
      <c r="P37" s="40" t="s">
        <v>105</v>
      </c>
      <c r="Q37" s="93" t="s">
        <v>200</v>
      </c>
      <c r="R37" s="75" t="s">
        <v>109</v>
      </c>
      <c r="S37" s="86" t="s">
        <v>109</v>
      </c>
      <c r="T37" s="29" t="s">
        <v>284</v>
      </c>
      <c r="U37" s="45" t="s">
        <v>109</v>
      </c>
      <c r="V37" s="45" t="s">
        <v>109</v>
      </c>
      <c r="W37" s="45" t="s">
        <v>109</v>
      </c>
      <c r="X37" s="45" t="s">
        <v>109</v>
      </c>
      <c r="Y37" s="47" t="s">
        <v>109</v>
      </c>
      <c r="Z37" s="48" t="s">
        <v>111</v>
      </c>
      <c r="AA37" s="40" t="s">
        <v>105</v>
      </c>
      <c r="AB37" s="96" t="s">
        <v>200</v>
      </c>
      <c r="AC37" s="75" t="s">
        <v>109</v>
      </c>
      <c r="AD37" s="85" t="s">
        <v>190</v>
      </c>
      <c r="AE37" s="29" t="s">
        <v>284</v>
      </c>
      <c r="AF37" s="45" t="s">
        <v>109</v>
      </c>
      <c r="AG37" s="45" t="s">
        <v>109</v>
      </c>
      <c r="AH37" s="45" t="s">
        <v>109</v>
      </c>
      <c r="AI37" s="45" t="s">
        <v>109</v>
      </c>
      <c r="AJ37" s="47" t="s">
        <v>109</v>
      </c>
      <c r="AK37" s="38" t="s">
        <v>104</v>
      </c>
      <c r="AL37" s="100" t="s">
        <v>191</v>
      </c>
      <c r="AM37" s="29" t="s">
        <v>200</v>
      </c>
      <c r="AN37" s="77"/>
      <c r="AO37" s="68" t="s">
        <v>143</v>
      </c>
      <c r="AP37" s="33" t="s">
        <v>285</v>
      </c>
      <c r="AQ37" s="48" t="s">
        <v>111</v>
      </c>
      <c r="AR37" s="29" t="s">
        <v>200</v>
      </c>
      <c r="AS37" s="77"/>
      <c r="AT37" s="29" t="s">
        <v>200</v>
      </c>
      <c r="AU37" s="33" t="s">
        <v>285</v>
      </c>
      <c r="AV37" s="34" t="s">
        <v>99</v>
      </c>
      <c r="AW37" s="53" t="s">
        <v>120</v>
      </c>
      <c r="AX37" s="29">
        <v>2021.0</v>
      </c>
      <c r="AY37" s="29">
        <v>0.2</v>
      </c>
      <c r="AZ37" s="37" t="s">
        <v>103</v>
      </c>
      <c r="BA37" s="34" t="s">
        <v>99</v>
      </c>
      <c r="BB37" s="36" t="s">
        <v>103</v>
      </c>
      <c r="BC37" s="54"/>
      <c r="BD37" s="34" t="s">
        <v>122</v>
      </c>
      <c r="BE37" s="37" t="s">
        <v>103</v>
      </c>
      <c r="BF37" s="77"/>
      <c r="BG37" s="77"/>
      <c r="BH37" s="98"/>
      <c r="BI37" s="98">
        <f t="shared" si="2"/>
        <v>330</v>
      </c>
    </row>
    <row r="38" ht="12.0" customHeight="1">
      <c r="A38" s="29">
        <v>37.0</v>
      </c>
      <c r="B38" s="31">
        <v>46225.5127760301</v>
      </c>
      <c r="C38" s="29" t="s">
        <v>167</v>
      </c>
      <c r="D38" s="77"/>
      <c r="E38" s="29" t="s">
        <v>254</v>
      </c>
      <c r="F38" s="29" t="s">
        <v>286</v>
      </c>
      <c r="G38" s="29" t="s">
        <v>287</v>
      </c>
      <c r="H38" s="32">
        <v>30.0</v>
      </c>
      <c r="I38" s="67" t="s">
        <v>288</v>
      </c>
      <c r="J38" s="34" t="s">
        <v>99</v>
      </c>
      <c r="K38" s="35" t="s">
        <v>101</v>
      </c>
      <c r="L38" s="36" t="s">
        <v>102</v>
      </c>
      <c r="M38" s="32">
        <v>3.0</v>
      </c>
      <c r="N38" s="37" t="s">
        <v>103</v>
      </c>
      <c r="O38" s="38" t="s">
        <v>104</v>
      </c>
      <c r="P38" s="40" t="s">
        <v>105</v>
      </c>
      <c r="Q38" s="32">
        <v>0.46</v>
      </c>
      <c r="R38" s="101">
        <v>2024.0</v>
      </c>
      <c r="S38" s="37" t="s">
        <v>103</v>
      </c>
      <c r="T38" s="29" t="s">
        <v>270</v>
      </c>
      <c r="U38" s="45" t="s">
        <v>109</v>
      </c>
      <c r="V38" s="45" t="s">
        <v>109</v>
      </c>
      <c r="W38" s="45" t="s">
        <v>109</v>
      </c>
      <c r="X38" s="45" t="s">
        <v>109</v>
      </c>
      <c r="Y38" s="47" t="s">
        <v>109</v>
      </c>
      <c r="Z38" s="48" t="s">
        <v>111</v>
      </c>
      <c r="AA38" s="40" t="s">
        <v>105</v>
      </c>
      <c r="AB38" s="32">
        <v>0.46</v>
      </c>
      <c r="AC38" s="29">
        <v>2022.0</v>
      </c>
      <c r="AD38" s="68" t="s">
        <v>143</v>
      </c>
      <c r="AE38" s="29" t="s">
        <v>270</v>
      </c>
      <c r="AF38" s="45" t="s">
        <v>109</v>
      </c>
      <c r="AG38" s="45" t="s">
        <v>109</v>
      </c>
      <c r="AH38" s="45" t="s">
        <v>109</v>
      </c>
      <c r="AI38" s="45" t="s">
        <v>109</v>
      </c>
      <c r="AJ38" s="47" t="s">
        <v>109</v>
      </c>
      <c r="AK38" s="38" t="s">
        <v>104</v>
      </c>
      <c r="AL38" s="100" t="s">
        <v>191</v>
      </c>
      <c r="AM38" s="45" t="s">
        <v>109</v>
      </c>
      <c r="AN38" s="45" t="s">
        <v>109</v>
      </c>
      <c r="AO38" s="68" t="s">
        <v>143</v>
      </c>
      <c r="AP38" s="33" t="s">
        <v>249</v>
      </c>
      <c r="AQ38" s="48" t="s">
        <v>111</v>
      </c>
      <c r="AR38" s="77"/>
      <c r="AS38" s="77"/>
      <c r="AT38" s="68" t="s">
        <v>143</v>
      </c>
      <c r="AU38" s="33" t="s">
        <v>249</v>
      </c>
      <c r="AV38" s="34" t="s">
        <v>99</v>
      </c>
      <c r="AW38" s="53" t="s">
        <v>120</v>
      </c>
      <c r="AX38" s="29">
        <v>2022.0</v>
      </c>
      <c r="AY38" s="29">
        <v>0.15</v>
      </c>
      <c r="AZ38" s="37" t="s">
        <v>103</v>
      </c>
      <c r="BA38" s="34" t="s">
        <v>99</v>
      </c>
      <c r="BB38" s="36" t="s">
        <v>103</v>
      </c>
      <c r="BC38" s="54"/>
      <c r="BD38" s="34" t="s">
        <v>122</v>
      </c>
      <c r="BE38" s="93" t="s">
        <v>289</v>
      </c>
      <c r="BF38" s="77"/>
      <c r="BG38" s="77"/>
      <c r="BH38" s="98">
        <f>Q38*H38</f>
        <v>13.8</v>
      </c>
      <c r="BI38" s="98">
        <f t="shared" si="2"/>
        <v>90</v>
      </c>
    </row>
    <row r="39" ht="12.0" customHeight="1">
      <c r="A39" s="29">
        <v>38.0</v>
      </c>
      <c r="B39" s="31">
        <v>46225.513472997685</v>
      </c>
      <c r="C39" s="29" t="s">
        <v>167</v>
      </c>
      <c r="D39" s="77"/>
      <c r="E39" s="29" t="s">
        <v>182</v>
      </c>
      <c r="F39" s="29" t="s">
        <v>214</v>
      </c>
      <c r="G39" s="29" t="s">
        <v>234</v>
      </c>
      <c r="H39" s="32">
        <v>110.0</v>
      </c>
      <c r="I39" s="67" t="s">
        <v>290</v>
      </c>
      <c r="J39" s="34" t="s">
        <v>99</v>
      </c>
      <c r="K39" s="35" t="s">
        <v>101</v>
      </c>
      <c r="L39" s="36" t="s">
        <v>102</v>
      </c>
      <c r="M39" s="32">
        <v>3.0</v>
      </c>
      <c r="N39" s="54"/>
      <c r="O39" s="38" t="s">
        <v>104</v>
      </c>
      <c r="P39" s="40" t="s">
        <v>105</v>
      </c>
      <c r="Q39" s="93" t="s">
        <v>200</v>
      </c>
      <c r="R39" s="75" t="s">
        <v>109</v>
      </c>
      <c r="S39" s="86" t="s">
        <v>109</v>
      </c>
      <c r="T39" s="29" t="s">
        <v>148</v>
      </c>
      <c r="U39" s="45" t="s">
        <v>109</v>
      </c>
      <c r="V39" s="45" t="s">
        <v>109</v>
      </c>
      <c r="W39" s="45" t="s">
        <v>109</v>
      </c>
      <c r="X39" s="45" t="s">
        <v>109</v>
      </c>
      <c r="Y39" s="47" t="s">
        <v>109</v>
      </c>
      <c r="Z39" s="48" t="s">
        <v>111</v>
      </c>
      <c r="AA39" s="40" t="s">
        <v>105</v>
      </c>
      <c r="AB39" s="96" t="s">
        <v>200</v>
      </c>
      <c r="AC39" s="75" t="s">
        <v>109</v>
      </c>
      <c r="AD39" s="68" t="s">
        <v>143</v>
      </c>
      <c r="AE39" s="29" t="s">
        <v>148</v>
      </c>
      <c r="AF39" s="45" t="s">
        <v>109</v>
      </c>
      <c r="AG39" s="45" t="s">
        <v>109</v>
      </c>
      <c r="AH39" s="45" t="s">
        <v>109</v>
      </c>
      <c r="AI39" s="45" t="s">
        <v>109</v>
      </c>
      <c r="AJ39" s="47" t="s">
        <v>109</v>
      </c>
      <c r="AK39" s="38" t="s">
        <v>104</v>
      </c>
      <c r="AL39" s="68" t="s">
        <v>143</v>
      </c>
      <c r="AM39" s="45" t="s">
        <v>109</v>
      </c>
      <c r="AN39" s="45" t="s">
        <v>109</v>
      </c>
      <c r="AO39" s="68" t="s">
        <v>143</v>
      </c>
      <c r="AP39" s="33" t="s">
        <v>149</v>
      </c>
      <c r="AQ39" s="48" t="s">
        <v>111</v>
      </c>
      <c r="AR39" s="29" t="s">
        <v>200</v>
      </c>
      <c r="AS39" s="77"/>
      <c r="AT39" s="68" t="s">
        <v>143</v>
      </c>
      <c r="AU39" s="33" t="s">
        <v>149</v>
      </c>
      <c r="AV39" s="34" t="s">
        <v>99</v>
      </c>
      <c r="AW39" s="53" t="s">
        <v>120</v>
      </c>
      <c r="AX39" s="29">
        <v>2023.0</v>
      </c>
      <c r="AY39" s="29">
        <v>0.15</v>
      </c>
      <c r="AZ39" s="37" t="s">
        <v>103</v>
      </c>
      <c r="BA39" s="34" t="s">
        <v>99</v>
      </c>
      <c r="BB39" s="36" t="s">
        <v>103</v>
      </c>
      <c r="BC39" s="54"/>
      <c r="BD39" s="34" t="s">
        <v>122</v>
      </c>
      <c r="BE39" s="37" t="s">
        <v>103</v>
      </c>
      <c r="BF39" s="77"/>
      <c r="BG39" s="77"/>
      <c r="BH39" s="98"/>
      <c r="BI39" s="98">
        <f t="shared" si="2"/>
        <v>330</v>
      </c>
    </row>
    <row r="40" ht="12.0" customHeight="1">
      <c r="A40" s="29">
        <v>39.0</v>
      </c>
      <c r="B40" s="31">
        <v>46225.549222905094</v>
      </c>
      <c r="C40" s="29" t="s">
        <v>167</v>
      </c>
      <c r="D40" s="77"/>
      <c r="E40" s="29" t="s">
        <v>291</v>
      </c>
      <c r="F40" s="77"/>
      <c r="G40" s="29" t="s">
        <v>292</v>
      </c>
      <c r="H40" s="32">
        <v>800.0</v>
      </c>
      <c r="I40" s="67" t="s">
        <v>293</v>
      </c>
      <c r="J40" s="88" t="s">
        <v>294</v>
      </c>
      <c r="K40" s="74" t="s">
        <v>165</v>
      </c>
      <c r="L40" s="36" t="s">
        <v>102</v>
      </c>
      <c r="M40" s="32">
        <v>5.0</v>
      </c>
      <c r="N40" s="37" t="s">
        <v>103</v>
      </c>
      <c r="O40" s="65" t="s">
        <v>117</v>
      </c>
      <c r="P40" s="68" t="s">
        <v>152</v>
      </c>
      <c r="Q40" s="32">
        <v>2.9</v>
      </c>
      <c r="R40" s="101">
        <v>1998.0</v>
      </c>
      <c r="S40" s="68" t="s">
        <v>143</v>
      </c>
      <c r="T40" s="29" t="s">
        <v>148</v>
      </c>
      <c r="U40" s="45" t="s">
        <v>109</v>
      </c>
      <c r="V40" s="45" t="s">
        <v>109</v>
      </c>
      <c r="W40" s="45" t="s">
        <v>109</v>
      </c>
      <c r="X40" s="45" t="s">
        <v>109</v>
      </c>
      <c r="Y40" s="47" t="s">
        <v>109</v>
      </c>
      <c r="Z40" s="66" t="s">
        <v>136</v>
      </c>
      <c r="AA40" s="68" t="s">
        <v>152</v>
      </c>
      <c r="AB40" s="32">
        <v>1.6</v>
      </c>
      <c r="AC40" s="29">
        <v>1998.0</v>
      </c>
      <c r="AD40" s="68" t="s">
        <v>143</v>
      </c>
      <c r="AE40" s="29" t="s">
        <v>148</v>
      </c>
      <c r="AF40" s="45" t="s">
        <v>109</v>
      </c>
      <c r="AG40" s="45" t="s">
        <v>109</v>
      </c>
      <c r="AH40" s="45" t="s">
        <v>109</v>
      </c>
      <c r="AI40" s="45" t="s">
        <v>109</v>
      </c>
      <c r="AJ40" s="47" t="s">
        <v>109</v>
      </c>
      <c r="AK40" s="65" t="s">
        <v>117</v>
      </c>
      <c r="AL40" s="36" t="s">
        <v>115</v>
      </c>
      <c r="AM40" s="32">
        <v>1.0</v>
      </c>
      <c r="AN40" s="29">
        <v>1998.0</v>
      </c>
      <c r="AO40" s="37" t="s">
        <v>103</v>
      </c>
      <c r="AP40" s="43" t="s">
        <v>107</v>
      </c>
      <c r="AQ40" s="66" t="s">
        <v>136</v>
      </c>
      <c r="AR40" s="29">
        <v>0.8</v>
      </c>
      <c r="AS40" s="29">
        <v>1998.0</v>
      </c>
      <c r="AT40" s="37" t="s">
        <v>103</v>
      </c>
      <c r="AU40" s="43" t="s">
        <v>107</v>
      </c>
      <c r="AV40" s="34" t="s">
        <v>99</v>
      </c>
      <c r="AW40" s="53" t="s">
        <v>120</v>
      </c>
      <c r="AX40" s="29">
        <v>1998.0</v>
      </c>
      <c r="AY40" s="29">
        <v>0.2</v>
      </c>
      <c r="AZ40" s="37" t="s">
        <v>103</v>
      </c>
      <c r="BA40" s="34" t="s">
        <v>99</v>
      </c>
      <c r="BB40" s="36" t="s">
        <v>103</v>
      </c>
      <c r="BC40" s="54"/>
      <c r="BD40" s="34" t="s">
        <v>122</v>
      </c>
      <c r="BE40" s="37" t="s">
        <v>103</v>
      </c>
      <c r="BF40" s="77"/>
      <c r="BG40" s="77"/>
      <c r="BH40" s="98">
        <f>Q40*H40</f>
        <v>2320</v>
      </c>
      <c r="BI40" s="98">
        <f t="shared" si="2"/>
        <v>4000</v>
      </c>
    </row>
    <row r="41" ht="12.0" customHeight="1">
      <c r="A41" s="29">
        <v>40.0</v>
      </c>
      <c r="B41" s="31">
        <v>46225.55404423611</v>
      </c>
      <c r="C41" s="29" t="s">
        <v>167</v>
      </c>
      <c r="D41" s="77"/>
      <c r="E41" s="29" t="s">
        <v>174</v>
      </c>
      <c r="F41" s="29" t="s">
        <v>139</v>
      </c>
      <c r="G41" s="29" t="s">
        <v>295</v>
      </c>
      <c r="H41" s="32">
        <v>280.0</v>
      </c>
      <c r="I41" s="67" t="s">
        <v>296</v>
      </c>
      <c r="J41" s="34" t="s">
        <v>99</v>
      </c>
      <c r="K41" s="35" t="s">
        <v>101</v>
      </c>
      <c r="L41" s="36" t="s">
        <v>102</v>
      </c>
      <c r="M41" s="32">
        <v>4.0</v>
      </c>
      <c r="N41" s="37" t="s">
        <v>103</v>
      </c>
      <c r="O41" s="38" t="s">
        <v>104</v>
      </c>
      <c r="P41" s="40" t="s">
        <v>105</v>
      </c>
      <c r="Q41" s="93" t="s">
        <v>200</v>
      </c>
      <c r="R41" s="75" t="s">
        <v>109</v>
      </c>
      <c r="S41" s="68" t="s">
        <v>143</v>
      </c>
      <c r="T41" s="29" t="s">
        <v>148</v>
      </c>
      <c r="U41" s="45" t="s">
        <v>109</v>
      </c>
      <c r="V41" s="45" t="s">
        <v>109</v>
      </c>
      <c r="W41" s="45" t="s">
        <v>109</v>
      </c>
      <c r="X41" s="45" t="s">
        <v>109</v>
      </c>
      <c r="Y41" s="47" t="s">
        <v>109</v>
      </c>
      <c r="Z41" s="48" t="s">
        <v>111</v>
      </c>
      <c r="AA41" s="40" t="s">
        <v>105</v>
      </c>
      <c r="AB41" s="96" t="s">
        <v>200</v>
      </c>
      <c r="AC41" s="75" t="s">
        <v>109</v>
      </c>
      <c r="AD41" s="68" t="s">
        <v>143</v>
      </c>
      <c r="AE41" s="29" t="s">
        <v>148</v>
      </c>
      <c r="AF41" s="45" t="s">
        <v>109</v>
      </c>
      <c r="AG41" s="45" t="s">
        <v>109</v>
      </c>
      <c r="AH41" s="45" t="s">
        <v>109</v>
      </c>
      <c r="AI41" s="45" t="s">
        <v>109</v>
      </c>
      <c r="AJ41" s="47" t="s">
        <v>109</v>
      </c>
      <c r="AK41" s="38" t="s">
        <v>104</v>
      </c>
      <c r="AL41" s="68" t="s">
        <v>143</v>
      </c>
      <c r="AM41" s="29" t="s">
        <v>200</v>
      </c>
      <c r="AN41" s="45" t="s">
        <v>109</v>
      </c>
      <c r="AO41" s="68" t="s">
        <v>143</v>
      </c>
      <c r="AP41" s="33" t="s">
        <v>149</v>
      </c>
      <c r="AQ41" s="48" t="s">
        <v>111</v>
      </c>
      <c r="AR41" s="29" t="s">
        <v>200</v>
      </c>
      <c r="AS41" s="77"/>
      <c r="AT41" s="68" t="s">
        <v>143</v>
      </c>
      <c r="AU41" s="33" t="s">
        <v>149</v>
      </c>
      <c r="AV41" s="34" t="s">
        <v>99</v>
      </c>
      <c r="AW41" s="53" t="s">
        <v>120</v>
      </c>
      <c r="AX41" s="29">
        <v>2021.0</v>
      </c>
      <c r="AY41" s="29">
        <v>0.15</v>
      </c>
      <c r="AZ41" s="37" t="s">
        <v>103</v>
      </c>
      <c r="BA41" s="34" t="s">
        <v>99</v>
      </c>
      <c r="BB41" s="36" t="s">
        <v>103</v>
      </c>
      <c r="BC41" s="54"/>
      <c r="BD41" s="34" t="s">
        <v>122</v>
      </c>
      <c r="BE41" s="37" t="s">
        <v>103</v>
      </c>
      <c r="BF41" s="77"/>
      <c r="BG41" s="77"/>
      <c r="BH41" s="98"/>
      <c r="BI41" s="98">
        <f t="shared" si="2"/>
        <v>1120</v>
      </c>
    </row>
    <row r="42" ht="12.0" customHeight="1">
      <c r="A42" s="29">
        <v>41.0</v>
      </c>
      <c r="B42" s="31">
        <v>46225.5564580787</v>
      </c>
      <c r="C42" s="29" t="s">
        <v>167</v>
      </c>
      <c r="D42" s="77"/>
      <c r="E42" s="29" t="s">
        <v>254</v>
      </c>
      <c r="F42" s="29" t="s">
        <v>279</v>
      </c>
      <c r="G42" s="29" t="s">
        <v>297</v>
      </c>
      <c r="H42" s="32">
        <v>300.0</v>
      </c>
      <c r="I42" s="67" t="s">
        <v>298</v>
      </c>
      <c r="J42" s="34" t="s">
        <v>99</v>
      </c>
      <c r="K42" s="35" t="s">
        <v>101</v>
      </c>
      <c r="L42" s="36" t="s">
        <v>102</v>
      </c>
      <c r="M42" s="32">
        <v>5.5</v>
      </c>
      <c r="N42" s="37" t="s">
        <v>103</v>
      </c>
      <c r="O42" s="38" t="s">
        <v>104</v>
      </c>
      <c r="P42" s="68" t="s">
        <v>152</v>
      </c>
      <c r="Q42" s="32">
        <v>2.6</v>
      </c>
      <c r="R42" s="101">
        <v>1998.0</v>
      </c>
      <c r="S42" s="35" t="s">
        <v>153</v>
      </c>
      <c r="T42" s="43" t="s">
        <v>107</v>
      </c>
      <c r="U42" s="45" t="s">
        <v>109</v>
      </c>
      <c r="V42" s="45" t="s">
        <v>109</v>
      </c>
      <c r="W42" s="45" t="s">
        <v>109</v>
      </c>
      <c r="X42" s="45" t="s">
        <v>109</v>
      </c>
      <c r="Y42" s="47" t="s">
        <v>109</v>
      </c>
      <c r="Z42" s="48" t="s">
        <v>111</v>
      </c>
      <c r="AA42" s="102" t="s">
        <v>299</v>
      </c>
      <c r="AB42" s="32">
        <v>2.2</v>
      </c>
      <c r="AC42" s="29">
        <v>1998.0</v>
      </c>
      <c r="AD42" s="36" t="s">
        <v>103</v>
      </c>
      <c r="AE42" s="29" t="s">
        <v>300</v>
      </c>
      <c r="AF42" s="45" t="s">
        <v>109</v>
      </c>
      <c r="AG42" s="45" t="s">
        <v>109</v>
      </c>
      <c r="AH42" s="45" t="s">
        <v>109</v>
      </c>
      <c r="AI42" s="45" t="s">
        <v>109</v>
      </c>
      <c r="AJ42" s="47" t="s">
        <v>109</v>
      </c>
      <c r="AK42" s="38" t="s">
        <v>104</v>
      </c>
      <c r="AL42" s="36" t="s">
        <v>115</v>
      </c>
      <c r="AM42" s="32">
        <v>0.6</v>
      </c>
      <c r="AN42" s="29">
        <v>1998.0</v>
      </c>
      <c r="AO42" s="70" t="s">
        <v>153</v>
      </c>
      <c r="AP42" s="43" t="s">
        <v>107</v>
      </c>
      <c r="AQ42" s="48" t="s">
        <v>111</v>
      </c>
      <c r="AR42" s="29">
        <v>0.6</v>
      </c>
      <c r="AS42" s="29">
        <v>1998.0</v>
      </c>
      <c r="AT42" s="37" t="s">
        <v>103</v>
      </c>
      <c r="AU42" s="43" t="s">
        <v>107</v>
      </c>
      <c r="AV42" s="34" t="s">
        <v>99</v>
      </c>
      <c r="AW42" s="53" t="s">
        <v>120</v>
      </c>
      <c r="AX42" s="29">
        <v>1996.0</v>
      </c>
      <c r="AY42" s="29">
        <v>0.15</v>
      </c>
      <c r="AZ42" s="37" t="s">
        <v>103</v>
      </c>
      <c r="BA42" s="34" t="s">
        <v>99</v>
      </c>
      <c r="BB42" s="36" t="s">
        <v>103</v>
      </c>
      <c r="BC42" s="54"/>
      <c r="BD42" s="34" t="s">
        <v>122</v>
      </c>
      <c r="BE42" s="37" t="s">
        <v>103</v>
      </c>
      <c r="BF42" s="77"/>
      <c r="BG42" s="77"/>
      <c r="BH42" s="98">
        <f>Q42*H42</f>
        <v>780</v>
      </c>
      <c r="BI42" s="98">
        <f t="shared" si="2"/>
        <v>1650</v>
      </c>
    </row>
    <row r="43" ht="12.0" customHeight="1">
      <c r="A43" s="29">
        <v>42.0</v>
      </c>
      <c r="B43" s="31">
        <v>46225.55973799768</v>
      </c>
      <c r="C43" s="29" t="s">
        <v>167</v>
      </c>
      <c r="D43" s="77"/>
      <c r="E43" s="29" t="s">
        <v>182</v>
      </c>
      <c r="F43" s="29" t="s">
        <v>146</v>
      </c>
      <c r="G43" s="29" t="s">
        <v>301</v>
      </c>
      <c r="H43" s="32">
        <v>270.0</v>
      </c>
      <c r="I43" s="67" t="s">
        <v>302</v>
      </c>
      <c r="J43" s="34" t="s">
        <v>99</v>
      </c>
      <c r="K43" s="35" t="s">
        <v>101</v>
      </c>
      <c r="L43" s="36" t="s">
        <v>102</v>
      </c>
      <c r="M43" s="32">
        <v>4.0</v>
      </c>
      <c r="N43" s="37" t="s">
        <v>103</v>
      </c>
      <c r="O43" s="38" t="s">
        <v>104</v>
      </c>
      <c r="P43" s="40" t="s">
        <v>105</v>
      </c>
      <c r="Q43" s="93" t="s">
        <v>200</v>
      </c>
      <c r="R43" s="75" t="s">
        <v>109</v>
      </c>
      <c r="S43" s="68" t="s">
        <v>143</v>
      </c>
      <c r="T43" s="29" t="s">
        <v>148</v>
      </c>
      <c r="U43" s="45" t="s">
        <v>109</v>
      </c>
      <c r="V43" s="45" t="s">
        <v>109</v>
      </c>
      <c r="W43" s="45" t="s">
        <v>109</v>
      </c>
      <c r="X43" s="45" t="s">
        <v>109</v>
      </c>
      <c r="Y43" s="47" t="s">
        <v>109</v>
      </c>
      <c r="Z43" s="48" t="s">
        <v>111</v>
      </c>
      <c r="AA43" s="40" t="s">
        <v>105</v>
      </c>
      <c r="AB43" s="92"/>
      <c r="AC43" s="75" t="s">
        <v>109</v>
      </c>
      <c r="AD43" s="68" t="s">
        <v>143</v>
      </c>
      <c r="AE43" s="29" t="s">
        <v>148</v>
      </c>
      <c r="AF43" s="45" t="s">
        <v>109</v>
      </c>
      <c r="AG43" s="45" t="s">
        <v>109</v>
      </c>
      <c r="AH43" s="45" t="s">
        <v>109</v>
      </c>
      <c r="AI43" s="45" t="s">
        <v>109</v>
      </c>
      <c r="AJ43" s="47" t="s">
        <v>109</v>
      </c>
      <c r="AK43" s="38" t="s">
        <v>104</v>
      </c>
      <c r="AL43" s="29" t="s">
        <v>303</v>
      </c>
      <c r="AM43" s="32">
        <v>0.6</v>
      </c>
      <c r="AN43" s="29">
        <v>2020.0</v>
      </c>
      <c r="AO43" s="70" t="s">
        <v>153</v>
      </c>
      <c r="AP43" s="33" t="s">
        <v>304</v>
      </c>
      <c r="AQ43" s="48" t="s">
        <v>111</v>
      </c>
      <c r="AR43" s="29">
        <v>0.6</v>
      </c>
      <c r="AS43" s="29">
        <v>2020.0</v>
      </c>
      <c r="AT43" s="70" t="s">
        <v>153</v>
      </c>
      <c r="AU43" s="33" t="s">
        <v>304</v>
      </c>
      <c r="AV43" s="34" t="s">
        <v>99</v>
      </c>
      <c r="AW43" s="53" t="s">
        <v>120</v>
      </c>
      <c r="AX43" s="29">
        <v>2020.0</v>
      </c>
      <c r="AY43" s="29">
        <v>0.15</v>
      </c>
      <c r="AZ43" s="37" t="s">
        <v>103</v>
      </c>
      <c r="BA43" s="34" t="s">
        <v>99</v>
      </c>
      <c r="BB43" s="36" t="s">
        <v>103</v>
      </c>
      <c r="BC43" s="54"/>
      <c r="BD43" s="34" t="s">
        <v>122</v>
      </c>
      <c r="BE43" s="37" t="s">
        <v>103</v>
      </c>
      <c r="BF43" s="77"/>
      <c r="BG43" s="77"/>
      <c r="BH43" s="98"/>
      <c r="BI43" s="98">
        <f t="shared" si="2"/>
        <v>1080</v>
      </c>
    </row>
    <row r="44" ht="12.0" customHeight="1">
      <c r="A44" s="29">
        <v>43.0</v>
      </c>
      <c r="B44" s="31">
        <v>46225.565680451386</v>
      </c>
      <c r="C44" s="29" t="s">
        <v>167</v>
      </c>
      <c r="D44" s="77"/>
      <c r="E44" s="29" t="s">
        <v>254</v>
      </c>
      <c r="F44" s="29" t="s">
        <v>150</v>
      </c>
      <c r="G44" s="29" t="s">
        <v>305</v>
      </c>
      <c r="H44" s="32">
        <v>245.0</v>
      </c>
      <c r="I44" s="67" t="s">
        <v>306</v>
      </c>
      <c r="J44" s="34" t="s">
        <v>99</v>
      </c>
      <c r="K44" s="35" t="s">
        <v>101</v>
      </c>
      <c r="L44" s="36" t="s">
        <v>102</v>
      </c>
      <c r="M44" s="32">
        <v>4.0</v>
      </c>
      <c r="N44" s="37" t="s">
        <v>103</v>
      </c>
      <c r="O44" s="38" t="s">
        <v>104</v>
      </c>
      <c r="P44" s="40" t="s">
        <v>105</v>
      </c>
      <c r="Q44" s="32">
        <v>1.0</v>
      </c>
      <c r="R44" s="101">
        <v>1999.0</v>
      </c>
      <c r="S44" s="37" t="s">
        <v>103</v>
      </c>
      <c r="T44" s="29" t="s">
        <v>307</v>
      </c>
      <c r="U44" s="45" t="s">
        <v>109</v>
      </c>
      <c r="V44" s="45" t="s">
        <v>109</v>
      </c>
      <c r="W44" s="45" t="s">
        <v>109</v>
      </c>
      <c r="X44" s="45" t="s">
        <v>109</v>
      </c>
      <c r="Y44" s="47" t="s">
        <v>109</v>
      </c>
      <c r="Z44" s="48" t="s">
        <v>111</v>
      </c>
      <c r="AA44" s="40" t="s">
        <v>105</v>
      </c>
      <c r="AB44" s="32">
        <v>1.0</v>
      </c>
      <c r="AC44" s="29">
        <v>1999.0</v>
      </c>
      <c r="AD44" s="36" t="s">
        <v>103</v>
      </c>
      <c r="AE44" s="29" t="s">
        <v>148</v>
      </c>
      <c r="AF44" s="45" t="s">
        <v>109</v>
      </c>
      <c r="AG44" s="45" t="s">
        <v>109</v>
      </c>
      <c r="AH44" s="45" t="s">
        <v>109</v>
      </c>
      <c r="AI44" s="45" t="s">
        <v>109</v>
      </c>
      <c r="AJ44" s="47" t="s">
        <v>109</v>
      </c>
      <c r="AK44" s="38" t="s">
        <v>104</v>
      </c>
      <c r="AL44" s="36" t="s">
        <v>115</v>
      </c>
      <c r="AM44" s="32">
        <v>0.6</v>
      </c>
      <c r="AN44" s="29">
        <v>2000.0</v>
      </c>
      <c r="AO44" s="37" t="s">
        <v>103</v>
      </c>
      <c r="AP44" s="43" t="s">
        <v>107</v>
      </c>
      <c r="AQ44" s="48" t="s">
        <v>111</v>
      </c>
      <c r="AR44" s="29">
        <v>0.6</v>
      </c>
      <c r="AS44" s="29">
        <v>2000.0</v>
      </c>
      <c r="AT44" s="37" t="s">
        <v>103</v>
      </c>
      <c r="AU44" s="43" t="s">
        <v>107</v>
      </c>
      <c r="AV44" s="34" t="s">
        <v>99</v>
      </c>
      <c r="AW44" s="53" t="s">
        <v>120</v>
      </c>
      <c r="AX44" s="29">
        <v>2000.0</v>
      </c>
      <c r="AY44" s="29">
        <v>0.15</v>
      </c>
      <c r="AZ44" s="37" t="s">
        <v>103</v>
      </c>
      <c r="BA44" s="34" t="s">
        <v>99</v>
      </c>
      <c r="BB44" s="36" t="s">
        <v>103</v>
      </c>
      <c r="BC44" s="54"/>
      <c r="BD44" s="34" t="s">
        <v>122</v>
      </c>
      <c r="BE44" s="37" t="s">
        <v>103</v>
      </c>
      <c r="BF44" s="77"/>
      <c r="BG44" s="77"/>
      <c r="BH44" s="98">
        <f>Q44*H44</f>
        <v>245</v>
      </c>
      <c r="BI44" s="98">
        <f t="shared" si="2"/>
        <v>980</v>
      </c>
    </row>
    <row r="45" ht="12.0" customHeight="1">
      <c r="A45" s="29">
        <v>44.0</v>
      </c>
      <c r="B45" s="31">
        <v>46225.565750636575</v>
      </c>
      <c r="C45" s="29" t="s">
        <v>167</v>
      </c>
      <c r="D45" s="77"/>
      <c r="E45" s="29" t="s">
        <v>182</v>
      </c>
      <c r="F45" s="29" t="s">
        <v>239</v>
      </c>
      <c r="G45" s="29" t="s">
        <v>308</v>
      </c>
      <c r="H45" s="32">
        <v>200.0</v>
      </c>
      <c r="I45" s="67" t="s">
        <v>309</v>
      </c>
      <c r="J45" s="34" t="s">
        <v>99</v>
      </c>
      <c r="K45" s="35" t="s">
        <v>101</v>
      </c>
      <c r="L45" s="36" t="s">
        <v>102</v>
      </c>
      <c r="M45" s="32">
        <v>4.0</v>
      </c>
      <c r="N45" s="37" t="s">
        <v>103</v>
      </c>
      <c r="O45" s="38" t="s">
        <v>104</v>
      </c>
      <c r="P45" s="40" t="s">
        <v>105</v>
      </c>
      <c r="Q45" s="93" t="s">
        <v>200</v>
      </c>
      <c r="R45" s="75" t="s">
        <v>109</v>
      </c>
      <c r="S45" s="68" t="s">
        <v>143</v>
      </c>
      <c r="T45" s="29" t="s">
        <v>148</v>
      </c>
      <c r="U45" s="45" t="s">
        <v>109</v>
      </c>
      <c r="V45" s="45" t="s">
        <v>109</v>
      </c>
      <c r="W45" s="45" t="s">
        <v>109</v>
      </c>
      <c r="X45" s="45" t="s">
        <v>109</v>
      </c>
      <c r="Y45" s="47" t="s">
        <v>109</v>
      </c>
      <c r="Z45" s="48" t="s">
        <v>111</v>
      </c>
      <c r="AA45" s="40" t="s">
        <v>105</v>
      </c>
      <c r="AB45" s="29" t="s">
        <v>200</v>
      </c>
      <c r="AC45" s="75" t="s">
        <v>109</v>
      </c>
      <c r="AD45" s="68" t="s">
        <v>143</v>
      </c>
      <c r="AE45" s="29" t="s">
        <v>148</v>
      </c>
      <c r="AF45" s="45" t="s">
        <v>109</v>
      </c>
      <c r="AG45" s="45" t="s">
        <v>109</v>
      </c>
      <c r="AH45" s="45" t="s">
        <v>109</v>
      </c>
      <c r="AI45" s="45" t="s">
        <v>109</v>
      </c>
      <c r="AJ45" s="47" t="s">
        <v>109</v>
      </c>
      <c r="AK45" s="38" t="s">
        <v>104</v>
      </c>
      <c r="AL45" s="100" t="s">
        <v>191</v>
      </c>
      <c r="AM45" s="29" t="s">
        <v>200</v>
      </c>
      <c r="AN45" s="45" t="s">
        <v>109</v>
      </c>
      <c r="AO45" s="68" t="s">
        <v>143</v>
      </c>
      <c r="AP45" s="33" t="s">
        <v>310</v>
      </c>
      <c r="AQ45" s="48" t="s">
        <v>111</v>
      </c>
      <c r="AR45" s="29" t="s">
        <v>200</v>
      </c>
      <c r="AS45" s="77"/>
      <c r="AT45" s="68" t="s">
        <v>143</v>
      </c>
      <c r="AU45" s="33" t="s">
        <v>311</v>
      </c>
      <c r="AV45" s="34" t="s">
        <v>99</v>
      </c>
      <c r="AW45" s="53" t="s">
        <v>120</v>
      </c>
      <c r="AX45" s="29">
        <v>2020.0</v>
      </c>
      <c r="AY45" s="29">
        <v>0.15</v>
      </c>
      <c r="AZ45" s="37" t="s">
        <v>103</v>
      </c>
      <c r="BA45" s="34" t="s">
        <v>99</v>
      </c>
      <c r="BB45" s="36" t="s">
        <v>103</v>
      </c>
      <c r="BC45" s="54"/>
      <c r="BD45" s="34" t="s">
        <v>122</v>
      </c>
      <c r="BE45" s="36" t="s">
        <v>103</v>
      </c>
      <c r="BF45" s="77"/>
      <c r="BG45" s="77"/>
      <c r="BH45" s="98"/>
      <c r="BI45" s="98">
        <f t="shared" si="2"/>
        <v>800</v>
      </c>
    </row>
    <row r="46" ht="12.0" customHeight="1">
      <c r="A46" s="29">
        <v>45.0</v>
      </c>
      <c r="B46" s="31">
        <v>46226.412417326384</v>
      </c>
      <c r="C46" s="29" t="s">
        <v>167</v>
      </c>
      <c r="D46" s="77"/>
      <c r="E46" s="29" t="s">
        <v>182</v>
      </c>
      <c r="F46" s="29" t="s">
        <v>312</v>
      </c>
      <c r="G46" s="29" t="s">
        <v>308</v>
      </c>
      <c r="H46" s="32">
        <v>250.0</v>
      </c>
      <c r="I46" s="67" t="s">
        <v>313</v>
      </c>
      <c r="J46" s="34" t="s">
        <v>99</v>
      </c>
      <c r="K46" s="35" t="s">
        <v>101</v>
      </c>
      <c r="L46" s="36" t="s">
        <v>102</v>
      </c>
      <c r="M46" s="32">
        <v>4.0</v>
      </c>
      <c r="N46" s="37" t="s">
        <v>103</v>
      </c>
      <c r="O46" s="38" t="s">
        <v>104</v>
      </c>
      <c r="P46" s="40" t="s">
        <v>105</v>
      </c>
      <c r="Q46" s="93" t="s">
        <v>200</v>
      </c>
      <c r="R46" s="75" t="s">
        <v>109</v>
      </c>
      <c r="S46" s="68" t="s">
        <v>143</v>
      </c>
      <c r="T46" s="29" t="s">
        <v>148</v>
      </c>
      <c r="U46" s="45" t="s">
        <v>109</v>
      </c>
      <c r="V46" s="45" t="s">
        <v>109</v>
      </c>
      <c r="W46" s="45" t="s">
        <v>109</v>
      </c>
      <c r="X46" s="45" t="s">
        <v>109</v>
      </c>
      <c r="Y46" s="47" t="s">
        <v>109</v>
      </c>
      <c r="Z46" s="48" t="s">
        <v>111</v>
      </c>
      <c r="AA46" s="40" t="s">
        <v>105</v>
      </c>
      <c r="AB46" s="29" t="s">
        <v>200</v>
      </c>
      <c r="AC46" s="75" t="s">
        <v>109</v>
      </c>
      <c r="AD46" s="68" t="s">
        <v>143</v>
      </c>
      <c r="AE46" s="29" t="s">
        <v>148</v>
      </c>
      <c r="AF46" s="45" t="s">
        <v>109</v>
      </c>
      <c r="AG46" s="45" t="s">
        <v>109</v>
      </c>
      <c r="AH46" s="45" t="s">
        <v>109</v>
      </c>
      <c r="AI46" s="45" t="s">
        <v>109</v>
      </c>
      <c r="AJ46" s="47" t="s">
        <v>109</v>
      </c>
      <c r="AK46" s="38" t="s">
        <v>104</v>
      </c>
      <c r="AL46" s="68" t="s">
        <v>143</v>
      </c>
      <c r="AM46" s="29" t="s">
        <v>200</v>
      </c>
      <c r="AN46" s="45" t="s">
        <v>109</v>
      </c>
      <c r="AO46" s="68" t="s">
        <v>143</v>
      </c>
      <c r="AP46" s="33" t="s">
        <v>149</v>
      </c>
      <c r="AQ46" s="103" t="s">
        <v>111</v>
      </c>
      <c r="AR46" s="29" t="s">
        <v>200</v>
      </c>
      <c r="AS46" s="77"/>
      <c r="AT46" s="29" t="s">
        <v>143</v>
      </c>
      <c r="AU46" s="33" t="s">
        <v>149</v>
      </c>
      <c r="AV46" s="34" t="s">
        <v>99</v>
      </c>
      <c r="AW46" s="53" t="s">
        <v>120</v>
      </c>
      <c r="AX46" s="29">
        <v>202.0</v>
      </c>
      <c r="AY46" s="29">
        <v>0.15</v>
      </c>
      <c r="AZ46" s="37" t="s">
        <v>103</v>
      </c>
      <c r="BA46" s="34" t="s">
        <v>99</v>
      </c>
      <c r="BB46" s="36" t="s">
        <v>103</v>
      </c>
      <c r="BC46" s="54"/>
      <c r="BD46" s="34" t="s">
        <v>122</v>
      </c>
      <c r="BE46" s="36" t="s">
        <v>103</v>
      </c>
      <c r="BF46" s="77"/>
      <c r="BG46" s="77"/>
      <c r="BH46" s="98"/>
      <c r="BI46" s="98">
        <f t="shared" si="2"/>
        <v>1000</v>
      </c>
    </row>
    <row r="47" ht="12.0" customHeight="1">
      <c r="A47" s="29">
        <v>46.0</v>
      </c>
      <c r="B47" s="31">
        <v>46226.41347086805</v>
      </c>
      <c r="C47" s="29" t="s">
        <v>167</v>
      </c>
      <c r="D47" s="77"/>
      <c r="E47" s="29" t="s">
        <v>254</v>
      </c>
      <c r="F47" s="29" t="s">
        <v>314</v>
      </c>
      <c r="G47" s="29" t="s">
        <v>305</v>
      </c>
      <c r="H47" s="32">
        <v>342.0</v>
      </c>
      <c r="I47" s="67" t="s">
        <v>315</v>
      </c>
      <c r="J47" s="34" t="s">
        <v>99</v>
      </c>
      <c r="K47" s="35" t="s">
        <v>101</v>
      </c>
      <c r="L47" s="36" t="s">
        <v>102</v>
      </c>
      <c r="M47" s="32">
        <v>4.0</v>
      </c>
      <c r="N47" s="37" t="s">
        <v>103</v>
      </c>
      <c r="O47" s="38" t="s">
        <v>104</v>
      </c>
      <c r="P47" s="68" t="s">
        <v>152</v>
      </c>
      <c r="Q47" s="32">
        <v>4.0</v>
      </c>
      <c r="R47" s="101">
        <v>2023.0</v>
      </c>
      <c r="S47" s="68" t="s">
        <v>143</v>
      </c>
      <c r="T47" s="29" t="s">
        <v>148</v>
      </c>
      <c r="U47" s="45" t="s">
        <v>109</v>
      </c>
      <c r="V47" s="45" t="s">
        <v>109</v>
      </c>
      <c r="W47" s="45" t="s">
        <v>109</v>
      </c>
      <c r="X47" s="45" t="s">
        <v>109</v>
      </c>
      <c r="Y47" s="47" t="s">
        <v>109</v>
      </c>
      <c r="Z47" s="48" t="s">
        <v>111</v>
      </c>
      <c r="AA47" s="68" t="s">
        <v>152</v>
      </c>
      <c r="AB47" s="32">
        <v>3.0</v>
      </c>
      <c r="AC47" s="29">
        <v>2023.0</v>
      </c>
      <c r="AD47" s="68" t="s">
        <v>143</v>
      </c>
      <c r="AE47" s="29" t="s">
        <v>148</v>
      </c>
      <c r="AF47" s="45" t="s">
        <v>109</v>
      </c>
      <c r="AG47" s="45" t="s">
        <v>109</v>
      </c>
      <c r="AH47" s="45" t="s">
        <v>109</v>
      </c>
      <c r="AI47" s="45" t="s">
        <v>109</v>
      </c>
      <c r="AJ47" s="47" t="s">
        <v>109</v>
      </c>
      <c r="AK47" s="38" t="s">
        <v>104</v>
      </c>
      <c r="AL47" s="36" t="s">
        <v>115</v>
      </c>
      <c r="AM47" s="32">
        <v>1.0</v>
      </c>
      <c r="AN47" s="29">
        <v>2023.0</v>
      </c>
      <c r="AO47" s="70" t="s">
        <v>153</v>
      </c>
      <c r="AP47" s="33" t="s">
        <v>316</v>
      </c>
      <c r="AQ47" s="103" t="s">
        <v>111</v>
      </c>
      <c r="AR47" s="29">
        <v>1.0</v>
      </c>
      <c r="AS47" s="29">
        <v>2023.0</v>
      </c>
      <c r="AT47" s="29" t="s">
        <v>317</v>
      </c>
      <c r="AU47" s="33" t="s">
        <v>318</v>
      </c>
      <c r="AV47" s="34" t="s">
        <v>99</v>
      </c>
      <c r="AW47" s="53" t="s">
        <v>120</v>
      </c>
      <c r="AX47" s="29">
        <v>2022.0</v>
      </c>
      <c r="AY47" s="29">
        <v>0.15</v>
      </c>
      <c r="AZ47" s="37" t="s">
        <v>103</v>
      </c>
      <c r="BA47" s="34" t="s">
        <v>99</v>
      </c>
      <c r="BB47" s="36" t="s">
        <v>103</v>
      </c>
      <c r="BC47" s="54"/>
      <c r="BD47" s="34" t="s">
        <v>122</v>
      </c>
      <c r="BE47" s="36" t="s">
        <v>103</v>
      </c>
      <c r="BF47" s="77"/>
      <c r="BG47" s="77"/>
      <c r="BH47" s="98">
        <f>Q47*H47</f>
        <v>1368</v>
      </c>
      <c r="BI47" s="98">
        <f t="shared" si="2"/>
        <v>1368</v>
      </c>
    </row>
    <row r="48" ht="12.0" customHeight="1">
      <c r="A48" s="29">
        <v>47.0</v>
      </c>
      <c r="B48" s="31">
        <v>46226.422522685185</v>
      </c>
      <c r="C48" s="29" t="s">
        <v>167</v>
      </c>
      <c r="D48" s="77"/>
      <c r="E48" s="29" t="s">
        <v>182</v>
      </c>
      <c r="F48" s="29" t="s">
        <v>319</v>
      </c>
      <c r="G48" s="29" t="s">
        <v>308</v>
      </c>
      <c r="H48" s="32">
        <v>190.0</v>
      </c>
      <c r="I48" s="67" t="s">
        <v>320</v>
      </c>
      <c r="J48" s="34" t="s">
        <v>99</v>
      </c>
      <c r="K48" s="35" t="s">
        <v>101</v>
      </c>
      <c r="L48" s="36" t="s">
        <v>102</v>
      </c>
      <c r="M48" s="32">
        <v>4.5</v>
      </c>
      <c r="N48" s="37" t="s">
        <v>103</v>
      </c>
      <c r="O48" s="38" t="s">
        <v>104</v>
      </c>
      <c r="P48" s="40" t="s">
        <v>105</v>
      </c>
      <c r="Q48" s="93" t="s">
        <v>200</v>
      </c>
      <c r="R48" s="75" t="s">
        <v>109</v>
      </c>
      <c r="S48" s="68" t="s">
        <v>143</v>
      </c>
      <c r="T48" s="29" t="s">
        <v>321</v>
      </c>
      <c r="U48" s="45" t="s">
        <v>109</v>
      </c>
      <c r="V48" s="45" t="s">
        <v>109</v>
      </c>
      <c r="W48" s="45" t="s">
        <v>109</v>
      </c>
      <c r="X48" s="45" t="s">
        <v>109</v>
      </c>
      <c r="Y48" s="47" t="s">
        <v>109</v>
      </c>
      <c r="Z48" s="48" t="s">
        <v>111</v>
      </c>
      <c r="AA48" s="40" t="s">
        <v>105</v>
      </c>
      <c r="AB48" s="29" t="s">
        <v>200</v>
      </c>
      <c r="AC48" s="75" t="s">
        <v>109</v>
      </c>
      <c r="AD48" s="68" t="s">
        <v>143</v>
      </c>
      <c r="AE48" s="29" t="s">
        <v>322</v>
      </c>
      <c r="AF48" s="45" t="s">
        <v>109</v>
      </c>
      <c r="AG48" s="45" t="s">
        <v>109</v>
      </c>
      <c r="AH48" s="45" t="s">
        <v>109</v>
      </c>
      <c r="AI48" s="45" t="s">
        <v>109</v>
      </c>
      <c r="AJ48" s="47" t="s">
        <v>109</v>
      </c>
      <c r="AK48" s="38" t="s">
        <v>104</v>
      </c>
      <c r="AL48" s="68" t="s">
        <v>143</v>
      </c>
      <c r="AM48" s="29" t="s">
        <v>200</v>
      </c>
      <c r="AN48" s="45" t="s">
        <v>109</v>
      </c>
      <c r="AO48" s="68" t="s">
        <v>143</v>
      </c>
      <c r="AP48" s="33" t="s">
        <v>149</v>
      </c>
      <c r="AQ48" s="103" t="s">
        <v>111</v>
      </c>
      <c r="AR48" s="29" t="s">
        <v>200</v>
      </c>
      <c r="AS48" s="77"/>
      <c r="AT48" s="29" t="s">
        <v>143</v>
      </c>
      <c r="AU48" s="33" t="s">
        <v>149</v>
      </c>
      <c r="AV48" s="34" t="s">
        <v>99</v>
      </c>
      <c r="AW48" s="53" t="s">
        <v>120</v>
      </c>
      <c r="AX48" s="29">
        <v>2022.0</v>
      </c>
      <c r="AY48" s="29">
        <v>0.15</v>
      </c>
      <c r="AZ48" s="37" t="s">
        <v>103</v>
      </c>
      <c r="BA48" s="34" t="s">
        <v>99</v>
      </c>
      <c r="BB48" s="36" t="s">
        <v>103</v>
      </c>
      <c r="BC48" s="54"/>
      <c r="BD48" s="34" t="s">
        <v>122</v>
      </c>
      <c r="BE48" s="36" t="s">
        <v>103</v>
      </c>
      <c r="BF48" s="77"/>
      <c r="BG48" s="77"/>
      <c r="BH48" s="98"/>
      <c r="BI48" s="98">
        <f t="shared" si="2"/>
        <v>855</v>
      </c>
    </row>
    <row r="49" ht="12.0" customHeight="1">
      <c r="A49" s="29">
        <v>48.0</v>
      </c>
      <c r="B49" s="31">
        <v>46226.42480627315</v>
      </c>
      <c r="C49" s="29" t="s">
        <v>167</v>
      </c>
      <c r="D49" s="77"/>
      <c r="E49" s="29" t="s">
        <v>254</v>
      </c>
      <c r="F49" s="29" t="s">
        <v>323</v>
      </c>
      <c r="G49" s="29" t="s">
        <v>297</v>
      </c>
      <c r="H49" s="32">
        <v>220.0</v>
      </c>
      <c r="I49" s="67" t="s">
        <v>324</v>
      </c>
      <c r="J49" s="34" t="s">
        <v>99</v>
      </c>
      <c r="K49" s="35" t="s">
        <v>101</v>
      </c>
      <c r="L49" s="36" t="s">
        <v>102</v>
      </c>
      <c r="M49" s="32">
        <v>4.0</v>
      </c>
      <c r="N49" s="37" t="s">
        <v>103</v>
      </c>
      <c r="O49" s="38" t="s">
        <v>104</v>
      </c>
      <c r="P49" s="40" t="s">
        <v>105</v>
      </c>
      <c r="Q49" s="32">
        <v>3.0</v>
      </c>
      <c r="R49" s="101">
        <v>1998.0</v>
      </c>
      <c r="S49" s="68" t="s">
        <v>143</v>
      </c>
      <c r="T49" s="43" t="s">
        <v>107</v>
      </c>
      <c r="U49" s="45" t="s">
        <v>109</v>
      </c>
      <c r="V49" s="45" t="s">
        <v>109</v>
      </c>
      <c r="W49" s="45" t="s">
        <v>109</v>
      </c>
      <c r="X49" s="45" t="s">
        <v>109</v>
      </c>
      <c r="Y49" s="47" t="s">
        <v>109</v>
      </c>
      <c r="Z49" s="48" t="s">
        <v>111</v>
      </c>
      <c r="AA49" s="40" t="s">
        <v>105</v>
      </c>
      <c r="AB49" s="32">
        <v>2.0</v>
      </c>
      <c r="AC49" s="29">
        <v>1998.0</v>
      </c>
      <c r="AD49" s="68" t="s">
        <v>143</v>
      </c>
      <c r="AE49" s="29" t="s">
        <v>148</v>
      </c>
      <c r="AF49" s="45" t="s">
        <v>109</v>
      </c>
      <c r="AG49" s="45" t="s">
        <v>109</v>
      </c>
      <c r="AH49" s="45" t="s">
        <v>109</v>
      </c>
      <c r="AI49" s="45" t="s">
        <v>109</v>
      </c>
      <c r="AJ49" s="47" t="s">
        <v>109</v>
      </c>
      <c r="AK49" s="38" t="s">
        <v>104</v>
      </c>
      <c r="AL49" s="77"/>
      <c r="AM49" s="92"/>
      <c r="AN49" s="45" t="s">
        <v>109</v>
      </c>
      <c r="AO49" s="68" t="s">
        <v>143</v>
      </c>
      <c r="AP49" s="33" t="s">
        <v>271</v>
      </c>
      <c r="AQ49" s="103" t="s">
        <v>111</v>
      </c>
      <c r="AR49" s="77"/>
      <c r="AS49" s="77"/>
      <c r="AT49" s="29" t="s">
        <v>143</v>
      </c>
      <c r="AU49" s="33" t="s">
        <v>271</v>
      </c>
      <c r="AV49" s="34" t="s">
        <v>99</v>
      </c>
      <c r="AW49" s="53" t="s">
        <v>120</v>
      </c>
      <c r="AX49" s="77"/>
      <c r="AY49" s="29">
        <v>0.15</v>
      </c>
      <c r="AZ49" s="37" t="s">
        <v>103</v>
      </c>
      <c r="BA49" s="34" t="s">
        <v>99</v>
      </c>
      <c r="BB49" s="36" t="s">
        <v>103</v>
      </c>
      <c r="BC49" s="54"/>
      <c r="BD49" s="34" t="s">
        <v>122</v>
      </c>
      <c r="BE49" s="36" t="s">
        <v>103</v>
      </c>
      <c r="BF49" s="77"/>
      <c r="BG49" s="77"/>
      <c r="BH49" s="98">
        <f>Q49*H49</f>
        <v>660</v>
      </c>
      <c r="BI49" s="98">
        <f t="shared" si="2"/>
        <v>880</v>
      </c>
    </row>
    <row r="50" ht="12.0" customHeight="1">
      <c r="A50" s="29">
        <v>49.0</v>
      </c>
      <c r="B50" s="31">
        <v>46226.42744453704</v>
      </c>
      <c r="C50" s="29" t="s">
        <v>167</v>
      </c>
      <c r="D50" s="77"/>
      <c r="E50" s="29" t="s">
        <v>174</v>
      </c>
      <c r="F50" s="29" t="s">
        <v>325</v>
      </c>
      <c r="G50" s="29" t="s">
        <v>308</v>
      </c>
      <c r="H50" s="32">
        <v>160.0</v>
      </c>
      <c r="I50" s="67" t="s">
        <v>326</v>
      </c>
      <c r="J50" s="34" t="s">
        <v>99</v>
      </c>
      <c r="K50" s="35" t="s">
        <v>101</v>
      </c>
      <c r="L50" s="36" t="s">
        <v>102</v>
      </c>
      <c r="M50" s="32">
        <v>5.0</v>
      </c>
      <c r="N50" s="37" t="s">
        <v>103</v>
      </c>
      <c r="O50" s="38" t="s">
        <v>104</v>
      </c>
      <c r="P50" s="40" t="s">
        <v>105</v>
      </c>
      <c r="Q50" s="93" t="s">
        <v>200</v>
      </c>
      <c r="R50" s="75" t="s">
        <v>109</v>
      </c>
      <c r="S50" s="68" t="s">
        <v>143</v>
      </c>
      <c r="T50" s="29" t="s">
        <v>327</v>
      </c>
      <c r="U50" s="45" t="s">
        <v>109</v>
      </c>
      <c r="V50" s="45" t="s">
        <v>109</v>
      </c>
      <c r="W50" s="45" t="s">
        <v>109</v>
      </c>
      <c r="X50" s="45" t="s">
        <v>109</v>
      </c>
      <c r="Y50" s="47" t="s">
        <v>109</v>
      </c>
      <c r="Z50" s="48" t="s">
        <v>111</v>
      </c>
      <c r="AA50" s="40" t="s">
        <v>105</v>
      </c>
      <c r="AB50" s="29" t="s">
        <v>200</v>
      </c>
      <c r="AC50" s="75" t="s">
        <v>109</v>
      </c>
      <c r="AD50" s="68" t="s">
        <v>143</v>
      </c>
      <c r="AE50" s="29" t="s">
        <v>322</v>
      </c>
      <c r="AF50" s="45" t="s">
        <v>109</v>
      </c>
      <c r="AG50" s="45" t="s">
        <v>109</v>
      </c>
      <c r="AH50" s="45" t="s">
        <v>109</v>
      </c>
      <c r="AI50" s="45" t="s">
        <v>109</v>
      </c>
      <c r="AJ50" s="47" t="s">
        <v>109</v>
      </c>
      <c r="AK50" s="38" t="s">
        <v>104</v>
      </c>
      <c r="AL50" s="68" t="s">
        <v>143</v>
      </c>
      <c r="AM50" s="29" t="s">
        <v>200</v>
      </c>
      <c r="AN50" s="45" t="s">
        <v>109</v>
      </c>
      <c r="AO50" s="68" t="s">
        <v>143</v>
      </c>
      <c r="AP50" s="33" t="s">
        <v>149</v>
      </c>
      <c r="AQ50" s="103" t="s">
        <v>111</v>
      </c>
      <c r="AR50" s="29" t="s">
        <v>200</v>
      </c>
      <c r="AS50" s="77"/>
      <c r="AT50" s="29" t="s">
        <v>143</v>
      </c>
      <c r="AU50" s="33" t="s">
        <v>149</v>
      </c>
      <c r="AV50" s="34" t="s">
        <v>99</v>
      </c>
      <c r="AW50" s="53" t="s">
        <v>120</v>
      </c>
      <c r="AX50" s="29">
        <v>2022.0</v>
      </c>
      <c r="AY50" s="29">
        <v>0.15</v>
      </c>
      <c r="AZ50" s="37" t="s">
        <v>103</v>
      </c>
      <c r="BA50" s="34" t="s">
        <v>99</v>
      </c>
      <c r="BB50" s="36" t="s">
        <v>103</v>
      </c>
      <c r="BC50" s="54"/>
      <c r="BD50" s="34" t="s">
        <v>122</v>
      </c>
      <c r="BE50" s="36" t="s">
        <v>103</v>
      </c>
      <c r="BF50" s="77"/>
      <c r="BG50" s="77"/>
      <c r="BH50" s="98"/>
      <c r="BI50" s="98">
        <f t="shared" si="2"/>
        <v>800</v>
      </c>
    </row>
    <row r="51" ht="12.0" customHeight="1">
      <c r="A51" s="29">
        <v>50.0</v>
      </c>
      <c r="B51" s="31">
        <v>46226.4311336574</v>
      </c>
      <c r="C51" s="29" t="s">
        <v>167</v>
      </c>
      <c r="D51" s="77"/>
      <c r="E51" s="29" t="s">
        <v>254</v>
      </c>
      <c r="F51" s="29">
        <v>13.0</v>
      </c>
      <c r="G51" s="29" t="s">
        <v>328</v>
      </c>
      <c r="H51" s="32">
        <v>140.0</v>
      </c>
      <c r="I51" s="67" t="s">
        <v>329</v>
      </c>
      <c r="J51" s="34" t="s">
        <v>99</v>
      </c>
      <c r="K51" s="35" t="s">
        <v>101</v>
      </c>
      <c r="L51" s="36" t="s">
        <v>102</v>
      </c>
      <c r="M51" s="32">
        <v>5.0</v>
      </c>
      <c r="N51" s="37" t="s">
        <v>103</v>
      </c>
      <c r="O51" s="38" t="s">
        <v>104</v>
      </c>
      <c r="P51" s="68" t="s">
        <v>152</v>
      </c>
      <c r="Q51" s="32">
        <v>2.5</v>
      </c>
      <c r="R51" s="101">
        <v>2023.0</v>
      </c>
      <c r="S51" s="68" t="s">
        <v>143</v>
      </c>
      <c r="T51" s="29" t="s">
        <v>148</v>
      </c>
      <c r="U51" s="45" t="s">
        <v>109</v>
      </c>
      <c r="V51" s="45" t="s">
        <v>109</v>
      </c>
      <c r="W51" s="45" t="s">
        <v>109</v>
      </c>
      <c r="X51" s="45" t="s">
        <v>109</v>
      </c>
      <c r="Y51" s="47" t="s">
        <v>109</v>
      </c>
      <c r="Z51" s="48" t="s">
        <v>111</v>
      </c>
      <c r="AA51" s="95" t="s">
        <v>145</v>
      </c>
      <c r="AB51" s="93" t="s">
        <v>145</v>
      </c>
      <c r="AC51" s="95" t="s">
        <v>145</v>
      </c>
      <c r="AD51" s="77"/>
      <c r="AE51" s="43" t="s">
        <v>107</v>
      </c>
      <c r="AF51" s="45" t="s">
        <v>109</v>
      </c>
      <c r="AG51" s="45" t="s">
        <v>109</v>
      </c>
      <c r="AH51" s="45" t="s">
        <v>109</v>
      </c>
      <c r="AI51" s="45" t="s">
        <v>109</v>
      </c>
      <c r="AJ51" s="47" t="s">
        <v>109</v>
      </c>
      <c r="AK51" s="38" t="s">
        <v>104</v>
      </c>
      <c r="AL51" s="100" t="s">
        <v>191</v>
      </c>
      <c r="AM51" s="92"/>
      <c r="AN51" s="45" t="s">
        <v>109</v>
      </c>
      <c r="AO51" s="77"/>
      <c r="AP51" s="33" t="s">
        <v>249</v>
      </c>
      <c r="AQ51" s="103" t="s">
        <v>111</v>
      </c>
      <c r="AR51" s="77"/>
      <c r="AS51" s="77"/>
      <c r="AT51" s="29" t="s">
        <v>143</v>
      </c>
      <c r="AU51" s="33" t="s">
        <v>249</v>
      </c>
      <c r="AV51" s="34" t="s">
        <v>99</v>
      </c>
      <c r="AW51" s="53" t="s">
        <v>120</v>
      </c>
      <c r="AX51" s="29">
        <v>1998.0</v>
      </c>
      <c r="AY51" s="29">
        <v>0.15</v>
      </c>
      <c r="AZ51" s="37" t="s">
        <v>103</v>
      </c>
      <c r="BA51" s="34" t="s">
        <v>99</v>
      </c>
      <c r="BB51" s="36" t="s">
        <v>103</v>
      </c>
      <c r="BC51" s="54"/>
      <c r="BD51" s="34" t="s">
        <v>122</v>
      </c>
      <c r="BE51" s="36" t="s">
        <v>103</v>
      </c>
      <c r="BF51" s="77"/>
      <c r="BG51" s="77"/>
      <c r="BH51" s="98">
        <f t="shared" ref="BH51:BH59" si="3">Q51*H51</f>
        <v>350</v>
      </c>
      <c r="BI51" s="98">
        <f t="shared" si="2"/>
        <v>700</v>
      </c>
    </row>
    <row r="52" ht="12.0" customHeight="1">
      <c r="A52" s="29">
        <v>51.0</v>
      </c>
      <c r="B52" s="31">
        <v>46226.442784837964</v>
      </c>
      <c r="C52" s="29" t="s">
        <v>167</v>
      </c>
      <c r="D52" s="77"/>
      <c r="E52" s="29" t="s">
        <v>286</v>
      </c>
      <c r="F52" s="29" t="s">
        <v>330</v>
      </c>
      <c r="G52" s="29" t="s">
        <v>328</v>
      </c>
      <c r="H52" s="32">
        <v>400.0</v>
      </c>
      <c r="I52" s="67" t="s">
        <v>331</v>
      </c>
      <c r="J52" s="34" t="s">
        <v>99</v>
      </c>
      <c r="K52" s="74" t="s">
        <v>165</v>
      </c>
      <c r="L52" s="36" t="s">
        <v>102</v>
      </c>
      <c r="M52" s="32">
        <v>6.0</v>
      </c>
      <c r="N52" s="37" t="s">
        <v>103</v>
      </c>
      <c r="O52" s="65" t="s">
        <v>117</v>
      </c>
      <c r="P52" s="68" t="s">
        <v>152</v>
      </c>
      <c r="Q52" s="32">
        <v>2.5</v>
      </c>
      <c r="R52" s="101">
        <v>2023.0</v>
      </c>
      <c r="S52" s="68" t="s">
        <v>143</v>
      </c>
      <c r="T52" s="29" t="s">
        <v>148</v>
      </c>
      <c r="U52" s="45" t="s">
        <v>109</v>
      </c>
      <c r="V52" s="45" t="s">
        <v>109</v>
      </c>
      <c r="W52" s="45" t="s">
        <v>109</v>
      </c>
      <c r="X52" s="45" t="s">
        <v>109</v>
      </c>
      <c r="Y52" s="47" t="s">
        <v>109</v>
      </c>
      <c r="Z52" s="66" t="s">
        <v>136</v>
      </c>
      <c r="AA52" s="68" t="s">
        <v>152</v>
      </c>
      <c r="AB52" s="32">
        <v>2.5</v>
      </c>
      <c r="AC52" s="29">
        <v>2023.0</v>
      </c>
      <c r="AD52" s="68" t="s">
        <v>143</v>
      </c>
      <c r="AE52" s="29" t="s">
        <v>148</v>
      </c>
      <c r="AF52" s="45" t="s">
        <v>109</v>
      </c>
      <c r="AG52" s="45" t="s">
        <v>109</v>
      </c>
      <c r="AH52" s="45" t="s">
        <v>109</v>
      </c>
      <c r="AI52" s="45" t="s">
        <v>109</v>
      </c>
      <c r="AJ52" s="47" t="s">
        <v>109</v>
      </c>
      <c r="AK52" s="65" t="s">
        <v>117</v>
      </c>
      <c r="AL52" s="100" t="s">
        <v>191</v>
      </c>
      <c r="AM52" s="92"/>
      <c r="AN52" s="45" t="s">
        <v>109</v>
      </c>
      <c r="AO52" s="68" t="s">
        <v>143</v>
      </c>
      <c r="AP52" s="33" t="s">
        <v>249</v>
      </c>
      <c r="AQ52" s="103" t="s">
        <v>136</v>
      </c>
      <c r="AR52" s="77"/>
      <c r="AS52" s="77"/>
      <c r="AT52" s="29" t="s">
        <v>143</v>
      </c>
      <c r="AU52" s="33" t="s">
        <v>249</v>
      </c>
      <c r="AV52" s="34" t="s">
        <v>99</v>
      </c>
      <c r="AW52" s="53" t="s">
        <v>120</v>
      </c>
      <c r="AX52" s="29">
        <v>2023.0</v>
      </c>
      <c r="AY52" s="29">
        <v>0.2</v>
      </c>
      <c r="AZ52" s="37" t="s">
        <v>103</v>
      </c>
      <c r="BA52" s="34" t="s">
        <v>99</v>
      </c>
      <c r="BB52" s="36" t="s">
        <v>103</v>
      </c>
      <c r="BC52" s="54"/>
      <c r="BD52" s="34" t="s">
        <v>122</v>
      </c>
      <c r="BE52" s="36" t="s">
        <v>103</v>
      </c>
      <c r="BF52" s="77"/>
      <c r="BG52" s="77"/>
      <c r="BH52" s="98">
        <f t="shared" si="3"/>
        <v>1000</v>
      </c>
      <c r="BI52" s="98">
        <f t="shared" si="2"/>
        <v>2400</v>
      </c>
    </row>
    <row r="53" ht="12.0" customHeight="1">
      <c r="A53" s="29">
        <v>52.0</v>
      </c>
      <c r="B53" s="31">
        <v>46226.44959559028</v>
      </c>
      <c r="C53" s="29" t="s">
        <v>167</v>
      </c>
      <c r="D53" s="77"/>
      <c r="E53" s="29" t="s">
        <v>279</v>
      </c>
      <c r="F53" s="29" t="s">
        <v>332</v>
      </c>
      <c r="G53" s="29" t="s">
        <v>333</v>
      </c>
      <c r="H53" s="32">
        <v>500.0</v>
      </c>
      <c r="I53" s="67" t="s">
        <v>334</v>
      </c>
      <c r="J53" s="34" t="s">
        <v>99</v>
      </c>
      <c r="K53" s="74" t="s">
        <v>165</v>
      </c>
      <c r="L53" s="36" t="s">
        <v>102</v>
      </c>
      <c r="M53" s="32">
        <v>6.0</v>
      </c>
      <c r="N53" s="37" t="s">
        <v>103</v>
      </c>
      <c r="O53" s="65" t="s">
        <v>117</v>
      </c>
      <c r="P53" s="40" t="s">
        <v>105</v>
      </c>
      <c r="Q53" s="32">
        <v>2.0</v>
      </c>
      <c r="R53" s="104" t="s">
        <v>335</v>
      </c>
      <c r="S53" s="36" t="s">
        <v>103</v>
      </c>
      <c r="T53" s="43" t="s">
        <v>107</v>
      </c>
      <c r="U53" s="45" t="s">
        <v>109</v>
      </c>
      <c r="V53" s="45" t="s">
        <v>109</v>
      </c>
      <c r="W53" s="45" t="s">
        <v>109</v>
      </c>
      <c r="X53" s="45" t="s">
        <v>109</v>
      </c>
      <c r="Y53" s="47" t="s">
        <v>109</v>
      </c>
      <c r="Z53" s="66" t="s">
        <v>136</v>
      </c>
      <c r="AA53" s="68" t="s">
        <v>152</v>
      </c>
      <c r="AB53" s="32">
        <v>2.0</v>
      </c>
      <c r="AC53" s="75" t="s">
        <v>109</v>
      </c>
      <c r="AD53" s="68" t="s">
        <v>143</v>
      </c>
      <c r="AE53" s="43" t="s">
        <v>107</v>
      </c>
      <c r="AF53" s="45" t="s">
        <v>109</v>
      </c>
      <c r="AG53" s="45" t="s">
        <v>109</v>
      </c>
      <c r="AH53" s="45" t="s">
        <v>109</v>
      </c>
      <c r="AI53" s="45" t="s">
        <v>109</v>
      </c>
      <c r="AJ53" s="47" t="s">
        <v>109</v>
      </c>
      <c r="AK53" s="65" t="s">
        <v>117</v>
      </c>
      <c r="AL53" s="36" t="s">
        <v>115</v>
      </c>
      <c r="AM53" s="32">
        <v>0.9</v>
      </c>
      <c r="AN53" s="29">
        <v>2025.0</v>
      </c>
      <c r="AO53" s="70" t="s">
        <v>153</v>
      </c>
      <c r="AP53" s="33" t="s">
        <v>336</v>
      </c>
      <c r="AQ53" s="103" t="s">
        <v>136</v>
      </c>
      <c r="AR53" s="29">
        <v>0.9</v>
      </c>
      <c r="AS53" s="97" t="s">
        <v>337</v>
      </c>
      <c r="AT53" s="29" t="s">
        <v>317</v>
      </c>
      <c r="AU53" s="43" t="s">
        <v>107</v>
      </c>
      <c r="AV53" s="34" t="s">
        <v>99</v>
      </c>
      <c r="AW53" s="53" t="s">
        <v>120</v>
      </c>
      <c r="AX53" s="29">
        <v>2020.0</v>
      </c>
      <c r="AY53" s="29">
        <v>0.2</v>
      </c>
      <c r="AZ53" s="37" t="s">
        <v>103</v>
      </c>
      <c r="BA53" s="73" t="s">
        <v>113</v>
      </c>
      <c r="BB53" s="45" t="s">
        <v>109</v>
      </c>
      <c r="BC53" s="33" t="s">
        <v>338</v>
      </c>
      <c r="BD53" s="34" t="s">
        <v>122</v>
      </c>
      <c r="BE53" s="36" t="s">
        <v>103</v>
      </c>
      <c r="BF53" s="77"/>
      <c r="BG53" s="77"/>
      <c r="BH53" s="98">
        <f t="shared" si="3"/>
        <v>1000</v>
      </c>
      <c r="BI53" s="98">
        <f t="shared" si="2"/>
        <v>3000</v>
      </c>
    </row>
    <row r="54" ht="12.0" customHeight="1">
      <c r="A54" s="29">
        <v>53.0</v>
      </c>
      <c r="B54" s="31">
        <v>46226.453821944444</v>
      </c>
      <c r="C54" s="29" t="s">
        <v>167</v>
      </c>
      <c r="D54" s="77"/>
      <c r="E54" s="29" t="s">
        <v>279</v>
      </c>
      <c r="F54" s="29" t="s">
        <v>339</v>
      </c>
      <c r="G54" s="29" t="s">
        <v>340</v>
      </c>
      <c r="H54" s="32">
        <v>260.0</v>
      </c>
      <c r="I54" s="67" t="s">
        <v>341</v>
      </c>
      <c r="J54" s="34" t="s">
        <v>99</v>
      </c>
      <c r="K54" s="35" t="s">
        <v>101</v>
      </c>
      <c r="L54" s="36" t="s">
        <v>102</v>
      </c>
      <c r="M54" s="32">
        <v>5.0</v>
      </c>
      <c r="N54" s="37" t="s">
        <v>103</v>
      </c>
      <c r="O54" s="38" t="s">
        <v>104</v>
      </c>
      <c r="P54" s="68" t="s">
        <v>152</v>
      </c>
      <c r="Q54" s="32">
        <v>1.0</v>
      </c>
      <c r="R54" s="75" t="s">
        <v>109</v>
      </c>
      <c r="S54" s="68" t="s">
        <v>143</v>
      </c>
      <c r="T54" s="43" t="s">
        <v>107</v>
      </c>
      <c r="U54" s="45" t="s">
        <v>109</v>
      </c>
      <c r="V54" s="45" t="s">
        <v>109</v>
      </c>
      <c r="W54" s="45" t="s">
        <v>109</v>
      </c>
      <c r="X54" s="45" t="s">
        <v>109</v>
      </c>
      <c r="Y54" s="47" t="s">
        <v>109</v>
      </c>
      <c r="Z54" s="48" t="s">
        <v>111</v>
      </c>
      <c r="AA54" s="68" t="s">
        <v>152</v>
      </c>
      <c r="AB54" s="32">
        <v>1.0</v>
      </c>
      <c r="AC54" s="75" t="s">
        <v>109</v>
      </c>
      <c r="AD54" s="68" t="s">
        <v>143</v>
      </c>
      <c r="AE54" s="43" t="s">
        <v>107</v>
      </c>
      <c r="AF54" s="45" t="s">
        <v>109</v>
      </c>
      <c r="AG54" s="45" t="s">
        <v>109</v>
      </c>
      <c r="AH54" s="45" t="s">
        <v>109</v>
      </c>
      <c r="AI54" s="45" t="s">
        <v>109</v>
      </c>
      <c r="AJ54" s="47" t="s">
        <v>109</v>
      </c>
      <c r="AK54" s="38" t="s">
        <v>104</v>
      </c>
      <c r="AL54" s="36" t="s">
        <v>115</v>
      </c>
      <c r="AM54" s="32">
        <v>0.9</v>
      </c>
      <c r="AN54" s="29">
        <v>2022.0</v>
      </c>
      <c r="AO54" s="70" t="s">
        <v>153</v>
      </c>
      <c r="AP54" s="43" t="s">
        <v>107</v>
      </c>
      <c r="AQ54" s="103" t="s">
        <v>111</v>
      </c>
      <c r="AR54" s="77"/>
      <c r="AS54" s="77"/>
      <c r="AT54" s="29" t="s">
        <v>143</v>
      </c>
      <c r="AU54" s="43" t="s">
        <v>107</v>
      </c>
      <c r="AV54" s="34" t="s">
        <v>99</v>
      </c>
      <c r="AW54" s="53" t="s">
        <v>120</v>
      </c>
      <c r="AX54" s="29">
        <v>2024.0</v>
      </c>
      <c r="AY54" s="29">
        <v>0.15</v>
      </c>
      <c r="AZ54" s="37" t="s">
        <v>103</v>
      </c>
      <c r="BA54" s="34" t="s">
        <v>99</v>
      </c>
      <c r="BB54" s="36" t="s">
        <v>103</v>
      </c>
      <c r="BC54" s="54"/>
      <c r="BD54" s="34" t="s">
        <v>122</v>
      </c>
      <c r="BE54" s="36" t="s">
        <v>103</v>
      </c>
      <c r="BF54" s="77"/>
      <c r="BG54" s="77"/>
      <c r="BH54" s="98">
        <f t="shared" si="3"/>
        <v>260</v>
      </c>
      <c r="BI54" s="98">
        <f t="shared" si="2"/>
        <v>1300</v>
      </c>
    </row>
    <row r="55" ht="12.0" customHeight="1">
      <c r="A55" s="29">
        <v>54.0</v>
      </c>
      <c r="B55" s="31">
        <v>46226.45441173611</v>
      </c>
      <c r="C55" s="29" t="s">
        <v>167</v>
      </c>
      <c r="D55" s="77"/>
      <c r="E55" s="29" t="s">
        <v>200</v>
      </c>
      <c r="F55" s="29" t="s">
        <v>342</v>
      </c>
      <c r="G55" s="29" t="s">
        <v>328</v>
      </c>
      <c r="H55" s="32">
        <v>96.0</v>
      </c>
      <c r="I55" s="67" t="s">
        <v>343</v>
      </c>
      <c r="J55" s="34" t="s">
        <v>99</v>
      </c>
      <c r="K55" s="35" t="s">
        <v>101</v>
      </c>
      <c r="L55" s="36" t="s">
        <v>102</v>
      </c>
      <c r="M55" s="32">
        <v>5.0</v>
      </c>
      <c r="N55" s="37" t="s">
        <v>103</v>
      </c>
      <c r="O55" s="65" t="s">
        <v>117</v>
      </c>
      <c r="P55" s="68" t="s">
        <v>152</v>
      </c>
      <c r="Q55" s="32">
        <v>3.0</v>
      </c>
      <c r="R55" s="101">
        <v>2019.0</v>
      </c>
      <c r="S55" s="68" t="s">
        <v>143</v>
      </c>
      <c r="T55" s="29" t="s">
        <v>148</v>
      </c>
      <c r="U55" s="45" t="s">
        <v>109</v>
      </c>
      <c r="V55" s="45" t="s">
        <v>109</v>
      </c>
      <c r="W55" s="45" t="s">
        <v>109</v>
      </c>
      <c r="X55" s="45" t="s">
        <v>109</v>
      </c>
      <c r="Y55" s="47" t="s">
        <v>109</v>
      </c>
      <c r="Z55" s="66" t="s">
        <v>136</v>
      </c>
      <c r="AA55" s="68" t="s">
        <v>152</v>
      </c>
      <c r="AB55" s="32">
        <v>3.0</v>
      </c>
      <c r="AC55" s="29">
        <v>2019.0</v>
      </c>
      <c r="AD55" s="68" t="s">
        <v>143</v>
      </c>
      <c r="AE55" s="29" t="s">
        <v>148</v>
      </c>
      <c r="AF55" s="45" t="s">
        <v>109</v>
      </c>
      <c r="AG55" s="45" t="s">
        <v>109</v>
      </c>
      <c r="AH55" s="45" t="s">
        <v>109</v>
      </c>
      <c r="AI55" s="45" t="s">
        <v>109</v>
      </c>
      <c r="AJ55" s="47" t="s">
        <v>109</v>
      </c>
      <c r="AK55" s="65" t="s">
        <v>117</v>
      </c>
      <c r="AL55" s="100" t="s">
        <v>191</v>
      </c>
      <c r="AM55" s="92"/>
      <c r="AN55" s="45" t="s">
        <v>109</v>
      </c>
      <c r="AO55" s="68" t="s">
        <v>143</v>
      </c>
      <c r="AP55" s="33" t="s">
        <v>249</v>
      </c>
      <c r="AQ55" s="103" t="s">
        <v>136</v>
      </c>
      <c r="AR55" s="77"/>
      <c r="AS55" s="77"/>
      <c r="AT55" s="29" t="s">
        <v>143</v>
      </c>
      <c r="AU55" s="33" t="s">
        <v>249</v>
      </c>
      <c r="AV55" s="34" t="s">
        <v>99</v>
      </c>
      <c r="AW55" s="53" t="s">
        <v>120</v>
      </c>
      <c r="AX55" s="29">
        <v>2019.0</v>
      </c>
      <c r="AY55" s="29">
        <v>0.15</v>
      </c>
      <c r="AZ55" s="37" t="s">
        <v>103</v>
      </c>
      <c r="BA55" s="34" t="s">
        <v>99</v>
      </c>
      <c r="BB55" s="36" t="s">
        <v>103</v>
      </c>
      <c r="BC55" s="54"/>
      <c r="BD55" s="34" t="s">
        <v>122</v>
      </c>
      <c r="BE55" s="36" t="s">
        <v>103</v>
      </c>
      <c r="BF55" s="77"/>
      <c r="BG55" s="77"/>
      <c r="BH55" s="98">
        <f t="shared" si="3"/>
        <v>288</v>
      </c>
      <c r="BI55" s="98">
        <f t="shared" si="2"/>
        <v>480</v>
      </c>
    </row>
    <row r="56" ht="12.0" customHeight="1">
      <c r="A56" s="29">
        <v>55.0</v>
      </c>
      <c r="B56" s="31">
        <v>46226.45485177083</v>
      </c>
      <c r="C56" s="29" t="s">
        <v>167</v>
      </c>
      <c r="D56" s="29" t="s">
        <v>132</v>
      </c>
      <c r="E56" s="29" t="s">
        <v>344</v>
      </c>
      <c r="F56" s="29" t="s">
        <v>214</v>
      </c>
      <c r="G56" s="29" t="s">
        <v>308</v>
      </c>
      <c r="H56" s="32">
        <v>200.0</v>
      </c>
      <c r="I56" s="67" t="s">
        <v>345</v>
      </c>
      <c r="J56" s="34" t="s">
        <v>99</v>
      </c>
      <c r="K56" s="35" t="s">
        <v>101</v>
      </c>
      <c r="L56" s="36" t="s">
        <v>102</v>
      </c>
      <c r="M56" s="32">
        <v>4.8</v>
      </c>
      <c r="N56" s="37" t="s">
        <v>103</v>
      </c>
      <c r="O56" s="38" t="s">
        <v>104</v>
      </c>
      <c r="P56" s="68" t="s">
        <v>152</v>
      </c>
      <c r="Q56" s="32">
        <v>2.8</v>
      </c>
      <c r="R56" s="75" t="s">
        <v>109</v>
      </c>
      <c r="S56" s="68" t="s">
        <v>143</v>
      </c>
      <c r="T56" s="29" t="s">
        <v>346</v>
      </c>
      <c r="U56" s="45" t="s">
        <v>109</v>
      </c>
      <c r="V56" s="45" t="s">
        <v>109</v>
      </c>
      <c r="W56" s="45" t="s">
        <v>109</v>
      </c>
      <c r="X56" s="45" t="s">
        <v>109</v>
      </c>
      <c r="Y56" s="47" t="s">
        <v>109</v>
      </c>
      <c r="Z56" s="48" t="s">
        <v>111</v>
      </c>
      <c r="AA56" s="68" t="s">
        <v>152</v>
      </c>
      <c r="AB56" s="32">
        <v>2.6</v>
      </c>
      <c r="AC56" s="75" t="s">
        <v>109</v>
      </c>
      <c r="AD56" s="68" t="s">
        <v>143</v>
      </c>
      <c r="AE56" s="29" t="s">
        <v>346</v>
      </c>
      <c r="AF56" s="45" t="s">
        <v>109</v>
      </c>
      <c r="AG56" s="45" t="s">
        <v>109</v>
      </c>
      <c r="AH56" s="45" t="s">
        <v>109</v>
      </c>
      <c r="AI56" s="45" t="s">
        <v>109</v>
      </c>
      <c r="AJ56" s="47" t="s">
        <v>109</v>
      </c>
      <c r="AK56" s="38" t="s">
        <v>104</v>
      </c>
      <c r="AL56" s="100" t="s">
        <v>191</v>
      </c>
      <c r="AM56" s="29" t="s">
        <v>200</v>
      </c>
      <c r="AN56" s="45" t="s">
        <v>109</v>
      </c>
      <c r="AO56" s="68" t="s">
        <v>143</v>
      </c>
      <c r="AP56" s="33" t="s">
        <v>149</v>
      </c>
      <c r="AQ56" s="103" t="s">
        <v>111</v>
      </c>
      <c r="AR56" s="29" t="s">
        <v>200</v>
      </c>
      <c r="AS56" s="77"/>
      <c r="AT56" s="29" t="s">
        <v>143</v>
      </c>
      <c r="AU56" s="33" t="s">
        <v>149</v>
      </c>
      <c r="AV56" s="34" t="s">
        <v>99</v>
      </c>
      <c r="AW56" s="53" t="s">
        <v>120</v>
      </c>
      <c r="AX56" s="29">
        <v>2020.0</v>
      </c>
      <c r="AY56" s="29">
        <v>0.15</v>
      </c>
      <c r="AZ56" s="37" t="s">
        <v>103</v>
      </c>
      <c r="BA56" s="34" t="s">
        <v>99</v>
      </c>
      <c r="BB56" s="36" t="s">
        <v>103</v>
      </c>
      <c r="BC56" s="54"/>
      <c r="BD56" s="34" t="s">
        <v>122</v>
      </c>
      <c r="BE56" s="36" t="s">
        <v>103</v>
      </c>
      <c r="BF56" s="77"/>
      <c r="BG56" s="77"/>
      <c r="BH56" s="98">
        <f t="shared" si="3"/>
        <v>560</v>
      </c>
      <c r="BI56" s="98">
        <f t="shared" si="2"/>
        <v>960</v>
      </c>
    </row>
    <row r="57" ht="12.0" customHeight="1">
      <c r="A57" s="29">
        <v>56.0</v>
      </c>
      <c r="B57" s="31">
        <v>46226.460522685185</v>
      </c>
      <c r="C57" s="29" t="s">
        <v>167</v>
      </c>
      <c r="D57" s="77"/>
      <c r="E57" s="29" t="s">
        <v>347</v>
      </c>
      <c r="F57" s="29" t="s">
        <v>339</v>
      </c>
      <c r="G57" s="29" t="s">
        <v>305</v>
      </c>
      <c r="H57" s="32">
        <v>175.0</v>
      </c>
      <c r="I57" s="67" t="s">
        <v>348</v>
      </c>
      <c r="J57" s="105" t="s">
        <v>294</v>
      </c>
      <c r="K57" s="35" t="s">
        <v>101</v>
      </c>
      <c r="L57" s="35" t="s">
        <v>349</v>
      </c>
      <c r="M57" s="32">
        <v>5.0</v>
      </c>
      <c r="N57" s="87" t="s">
        <v>143</v>
      </c>
      <c r="O57" s="65" t="s">
        <v>117</v>
      </c>
      <c r="P57" s="68" t="s">
        <v>152</v>
      </c>
      <c r="Q57" s="92"/>
      <c r="R57" s="75" t="s">
        <v>109</v>
      </c>
      <c r="S57" s="68" t="s">
        <v>143</v>
      </c>
      <c r="T57" s="43" t="s">
        <v>107</v>
      </c>
      <c r="U57" s="45" t="s">
        <v>109</v>
      </c>
      <c r="V57" s="45" t="s">
        <v>109</v>
      </c>
      <c r="W57" s="45" t="s">
        <v>109</v>
      </c>
      <c r="X57" s="45" t="s">
        <v>109</v>
      </c>
      <c r="Y57" s="47" t="s">
        <v>109</v>
      </c>
      <c r="Z57" s="66" t="s">
        <v>136</v>
      </c>
      <c r="AA57" s="68" t="s">
        <v>152</v>
      </c>
      <c r="AB57" s="92"/>
      <c r="AC57" s="75" t="s">
        <v>109</v>
      </c>
      <c r="AD57" s="77"/>
      <c r="AE57" s="43" t="s">
        <v>107</v>
      </c>
      <c r="AF57" s="45" t="s">
        <v>109</v>
      </c>
      <c r="AG57" s="45" t="s">
        <v>109</v>
      </c>
      <c r="AH57" s="45" t="s">
        <v>109</v>
      </c>
      <c r="AI57" s="45" t="s">
        <v>109</v>
      </c>
      <c r="AJ57" s="47" t="s">
        <v>109</v>
      </c>
      <c r="AK57" s="65" t="s">
        <v>117</v>
      </c>
      <c r="AL57" s="77"/>
      <c r="AM57" s="92"/>
      <c r="AN57" s="45" t="s">
        <v>109</v>
      </c>
      <c r="AO57" s="77"/>
      <c r="AP57" s="43" t="s">
        <v>107</v>
      </c>
      <c r="AQ57" s="103" t="s">
        <v>136</v>
      </c>
      <c r="AR57" s="29">
        <v>0.9</v>
      </c>
      <c r="AS57" s="29">
        <v>2022.0</v>
      </c>
      <c r="AT57" s="29" t="s">
        <v>317</v>
      </c>
      <c r="AU57" s="43" t="s">
        <v>107</v>
      </c>
      <c r="AV57" s="34" t="s">
        <v>99</v>
      </c>
      <c r="AW57" s="53" t="s">
        <v>120</v>
      </c>
      <c r="AX57" s="29">
        <v>2020.0</v>
      </c>
      <c r="AY57" s="29">
        <v>0.15</v>
      </c>
      <c r="AZ57" s="106" t="s">
        <v>153</v>
      </c>
      <c r="BA57" s="73" t="s">
        <v>113</v>
      </c>
      <c r="BB57" s="77"/>
      <c r="BC57" s="54"/>
      <c r="BD57" s="73" t="s">
        <v>143</v>
      </c>
      <c r="BE57" s="68" t="s">
        <v>143</v>
      </c>
      <c r="BF57" s="77"/>
      <c r="BG57" s="77"/>
      <c r="BH57" s="98">
        <f t="shared" si="3"/>
        <v>0</v>
      </c>
      <c r="BI57" s="98">
        <f t="shared" si="2"/>
        <v>875</v>
      </c>
    </row>
    <row r="58" ht="12.0" customHeight="1">
      <c r="A58" s="29">
        <v>57.0</v>
      </c>
      <c r="B58" s="31">
        <v>46226.4667316088</v>
      </c>
      <c r="C58" s="29" t="s">
        <v>167</v>
      </c>
      <c r="D58" s="77"/>
      <c r="E58" s="29" t="s">
        <v>347</v>
      </c>
      <c r="F58" s="29" t="s">
        <v>350</v>
      </c>
      <c r="G58" s="29" t="s">
        <v>351</v>
      </c>
      <c r="H58" s="32">
        <v>240.0</v>
      </c>
      <c r="I58" s="67" t="s">
        <v>352</v>
      </c>
      <c r="J58" s="34" t="s">
        <v>99</v>
      </c>
      <c r="K58" s="74" t="s">
        <v>165</v>
      </c>
      <c r="L58" s="36" t="s">
        <v>102</v>
      </c>
      <c r="M58" s="32">
        <v>6.0</v>
      </c>
      <c r="N58" s="37" t="s">
        <v>103</v>
      </c>
      <c r="O58" s="65" t="s">
        <v>117</v>
      </c>
      <c r="P58" s="68" t="s">
        <v>152</v>
      </c>
      <c r="Q58" s="32">
        <v>2.0</v>
      </c>
      <c r="R58" s="75" t="s">
        <v>109</v>
      </c>
      <c r="S58" s="68" t="s">
        <v>143</v>
      </c>
      <c r="T58" s="43" t="s">
        <v>107</v>
      </c>
      <c r="U58" s="45" t="s">
        <v>109</v>
      </c>
      <c r="V58" s="45" t="s">
        <v>109</v>
      </c>
      <c r="W58" s="45" t="s">
        <v>109</v>
      </c>
      <c r="X58" s="45" t="s">
        <v>109</v>
      </c>
      <c r="Y58" s="47" t="s">
        <v>109</v>
      </c>
      <c r="Z58" s="66" t="s">
        <v>136</v>
      </c>
      <c r="AA58" s="68" t="s">
        <v>152</v>
      </c>
      <c r="AB58" s="32">
        <v>2.0</v>
      </c>
      <c r="AC58" s="75" t="s">
        <v>109</v>
      </c>
      <c r="AD58" s="68" t="s">
        <v>143</v>
      </c>
      <c r="AE58" s="43" t="s">
        <v>107</v>
      </c>
      <c r="AF58" s="45" t="s">
        <v>109</v>
      </c>
      <c r="AG58" s="45" t="s">
        <v>109</v>
      </c>
      <c r="AH58" s="45" t="s">
        <v>109</v>
      </c>
      <c r="AI58" s="45" t="s">
        <v>109</v>
      </c>
      <c r="AJ58" s="47" t="s">
        <v>109</v>
      </c>
      <c r="AK58" s="65" t="s">
        <v>117</v>
      </c>
      <c r="AL58" s="36" t="s">
        <v>115</v>
      </c>
      <c r="AM58" s="32">
        <v>0.5</v>
      </c>
      <c r="AN58" s="29">
        <v>2020.0</v>
      </c>
      <c r="AO58" s="70" t="s">
        <v>153</v>
      </c>
      <c r="AP58" s="43" t="s">
        <v>107</v>
      </c>
      <c r="AQ58" s="103" t="s">
        <v>136</v>
      </c>
      <c r="AR58" s="29">
        <v>0.5</v>
      </c>
      <c r="AS58" s="29">
        <v>2020.0</v>
      </c>
      <c r="AT58" s="29" t="s">
        <v>317</v>
      </c>
      <c r="AU58" s="43" t="s">
        <v>107</v>
      </c>
      <c r="AV58" s="34" t="s">
        <v>99</v>
      </c>
      <c r="AW58" s="53" t="s">
        <v>120</v>
      </c>
      <c r="AX58" s="29">
        <v>2020.0</v>
      </c>
      <c r="AY58" s="29">
        <v>0.2</v>
      </c>
      <c r="AZ58" s="106" t="s">
        <v>153</v>
      </c>
      <c r="BA58" s="73" t="s">
        <v>113</v>
      </c>
      <c r="BB58" s="68" t="s">
        <v>143</v>
      </c>
      <c r="BC58" s="54"/>
      <c r="BD58" s="34" t="s">
        <v>122</v>
      </c>
      <c r="BE58" s="36" t="s">
        <v>103</v>
      </c>
      <c r="BF58" s="77"/>
      <c r="BG58" s="77"/>
      <c r="BH58" s="98">
        <f t="shared" si="3"/>
        <v>480</v>
      </c>
      <c r="BI58" s="98">
        <f t="shared" si="2"/>
        <v>1440</v>
      </c>
    </row>
    <row r="59" ht="12.0" customHeight="1">
      <c r="A59" s="29">
        <v>58.0</v>
      </c>
      <c r="B59" s="31">
        <v>46226.470918425926</v>
      </c>
      <c r="C59" s="29" t="s">
        <v>167</v>
      </c>
      <c r="D59" s="77"/>
      <c r="E59" s="29" t="s">
        <v>347</v>
      </c>
      <c r="F59" s="29" t="s">
        <v>353</v>
      </c>
      <c r="G59" s="29" t="s">
        <v>351</v>
      </c>
      <c r="H59" s="32">
        <v>265.0</v>
      </c>
      <c r="I59" s="67" t="s">
        <v>354</v>
      </c>
      <c r="J59" s="34" t="s">
        <v>99</v>
      </c>
      <c r="K59" s="35" t="s">
        <v>101</v>
      </c>
      <c r="L59" s="36" t="s">
        <v>102</v>
      </c>
      <c r="M59" s="32">
        <v>6.0</v>
      </c>
      <c r="N59" s="37" t="s">
        <v>103</v>
      </c>
      <c r="O59" s="38" t="s">
        <v>104</v>
      </c>
      <c r="P59" s="68" t="s">
        <v>152</v>
      </c>
      <c r="Q59" s="32">
        <v>1.0</v>
      </c>
      <c r="R59" s="75" t="s">
        <v>109</v>
      </c>
      <c r="S59" s="68" t="s">
        <v>143</v>
      </c>
      <c r="T59" s="43" t="s">
        <v>107</v>
      </c>
      <c r="U59" s="45" t="s">
        <v>109</v>
      </c>
      <c r="V59" s="45" t="s">
        <v>109</v>
      </c>
      <c r="W59" s="45" t="s">
        <v>109</v>
      </c>
      <c r="X59" s="45" t="s">
        <v>109</v>
      </c>
      <c r="Y59" s="47" t="s">
        <v>109</v>
      </c>
      <c r="Z59" s="48" t="s">
        <v>111</v>
      </c>
      <c r="AA59" s="68" t="s">
        <v>152</v>
      </c>
      <c r="AB59" s="92"/>
      <c r="AC59" s="75" t="s">
        <v>109</v>
      </c>
      <c r="AD59" s="68" t="s">
        <v>143</v>
      </c>
      <c r="AE59" s="43" t="s">
        <v>107</v>
      </c>
      <c r="AF59" s="45" t="s">
        <v>109</v>
      </c>
      <c r="AG59" s="45" t="s">
        <v>109</v>
      </c>
      <c r="AH59" s="45" t="s">
        <v>109</v>
      </c>
      <c r="AI59" s="45" t="s">
        <v>109</v>
      </c>
      <c r="AJ59" s="47" t="s">
        <v>109</v>
      </c>
      <c r="AK59" s="38" t="s">
        <v>104</v>
      </c>
      <c r="AL59" s="68" t="s">
        <v>143</v>
      </c>
      <c r="AM59" s="92"/>
      <c r="AN59" s="45" t="s">
        <v>109</v>
      </c>
      <c r="AO59" s="77"/>
      <c r="AP59" s="43" t="s">
        <v>107</v>
      </c>
      <c r="AQ59" s="103" t="s">
        <v>111</v>
      </c>
      <c r="AR59" s="29">
        <v>0.6</v>
      </c>
      <c r="AS59" s="29">
        <v>2018.0</v>
      </c>
      <c r="AT59" s="29" t="s">
        <v>317</v>
      </c>
      <c r="AU59" s="33" t="s">
        <v>355</v>
      </c>
      <c r="AV59" s="34" t="s">
        <v>99</v>
      </c>
      <c r="AW59" s="53" t="s">
        <v>120</v>
      </c>
      <c r="AX59" s="29">
        <v>2018.0</v>
      </c>
      <c r="AY59" s="29">
        <v>0.15</v>
      </c>
      <c r="AZ59" s="37" t="s">
        <v>103</v>
      </c>
      <c r="BA59" s="73" t="s">
        <v>113</v>
      </c>
      <c r="BB59" s="68" t="s">
        <v>143</v>
      </c>
      <c r="BC59" s="54"/>
      <c r="BD59" s="34" t="s">
        <v>122</v>
      </c>
      <c r="BE59" s="36" t="s">
        <v>103</v>
      </c>
      <c r="BF59" s="77"/>
      <c r="BG59" s="77"/>
      <c r="BH59" s="98">
        <f t="shared" si="3"/>
        <v>265</v>
      </c>
      <c r="BI59" s="98">
        <f t="shared" si="2"/>
        <v>1590</v>
      </c>
    </row>
    <row r="60" ht="12.0" customHeight="1">
      <c r="A60" s="29">
        <v>59.0</v>
      </c>
      <c r="B60" s="31">
        <v>46226.473271967596</v>
      </c>
      <c r="C60" s="29" t="s">
        <v>167</v>
      </c>
      <c r="D60" s="29" t="s">
        <v>88</v>
      </c>
      <c r="E60" s="29" t="s">
        <v>356</v>
      </c>
      <c r="F60" s="29" t="s">
        <v>357</v>
      </c>
      <c r="G60" s="29" t="s">
        <v>308</v>
      </c>
      <c r="H60" s="32">
        <v>90.0</v>
      </c>
      <c r="I60" s="67" t="s">
        <v>358</v>
      </c>
      <c r="J60" s="34" t="s">
        <v>99</v>
      </c>
      <c r="K60" s="35" t="s">
        <v>101</v>
      </c>
      <c r="L60" s="36" t="s">
        <v>102</v>
      </c>
      <c r="M60" s="32">
        <v>4.0</v>
      </c>
      <c r="N60" s="37" t="s">
        <v>103</v>
      </c>
      <c r="O60" s="38" t="s">
        <v>104</v>
      </c>
      <c r="P60" s="40" t="s">
        <v>105</v>
      </c>
      <c r="Q60" s="93" t="s">
        <v>145</v>
      </c>
      <c r="R60" s="95" t="s">
        <v>145</v>
      </c>
      <c r="S60" s="68" t="s">
        <v>143</v>
      </c>
      <c r="T60" s="29" t="s">
        <v>322</v>
      </c>
      <c r="U60" s="45" t="s">
        <v>109</v>
      </c>
      <c r="V60" s="45" t="s">
        <v>109</v>
      </c>
      <c r="W60" s="45" t="s">
        <v>109</v>
      </c>
      <c r="X60" s="45" t="s">
        <v>109</v>
      </c>
      <c r="Y60" s="47" t="s">
        <v>109</v>
      </c>
      <c r="Z60" s="48" t="s">
        <v>111</v>
      </c>
      <c r="AA60" s="68" t="s">
        <v>152</v>
      </c>
      <c r="AB60" s="32">
        <v>2.0</v>
      </c>
      <c r="AC60" s="75" t="s">
        <v>109</v>
      </c>
      <c r="AD60" s="68" t="s">
        <v>143</v>
      </c>
      <c r="AE60" s="29" t="s">
        <v>359</v>
      </c>
      <c r="AF60" s="45" t="s">
        <v>109</v>
      </c>
      <c r="AG60" s="45" t="s">
        <v>109</v>
      </c>
      <c r="AH60" s="45" t="s">
        <v>109</v>
      </c>
      <c r="AI60" s="45" t="s">
        <v>109</v>
      </c>
      <c r="AJ60" s="47" t="s">
        <v>109</v>
      </c>
      <c r="AK60" s="38" t="s">
        <v>104</v>
      </c>
      <c r="AL60" s="68" t="s">
        <v>143</v>
      </c>
      <c r="AM60" s="29" t="s">
        <v>200</v>
      </c>
      <c r="AN60" s="45" t="s">
        <v>109</v>
      </c>
      <c r="AO60" s="68" t="s">
        <v>143</v>
      </c>
      <c r="AP60" s="33" t="s">
        <v>149</v>
      </c>
      <c r="AQ60" s="103" t="s">
        <v>111</v>
      </c>
      <c r="AR60" s="29" t="s">
        <v>200</v>
      </c>
      <c r="AS60" s="77"/>
      <c r="AT60" s="29" t="s">
        <v>143</v>
      </c>
      <c r="AU60" s="33" t="s">
        <v>149</v>
      </c>
      <c r="AV60" s="34" t="s">
        <v>99</v>
      </c>
      <c r="AW60" s="53" t="s">
        <v>120</v>
      </c>
      <c r="AX60" s="29">
        <v>2020.0</v>
      </c>
      <c r="AY60" s="29">
        <v>0.15</v>
      </c>
      <c r="AZ60" s="37" t="s">
        <v>103</v>
      </c>
      <c r="BA60" s="34" t="s">
        <v>99</v>
      </c>
      <c r="BB60" s="36" t="s">
        <v>103</v>
      </c>
      <c r="BC60" s="54"/>
      <c r="BD60" s="34" t="s">
        <v>122</v>
      </c>
      <c r="BE60" s="36" t="s">
        <v>103</v>
      </c>
      <c r="BF60" s="77"/>
      <c r="BG60" s="77"/>
      <c r="BH60" s="98"/>
      <c r="BI60" s="98">
        <f t="shared" si="2"/>
        <v>360</v>
      </c>
    </row>
    <row r="61" ht="12.0" customHeight="1">
      <c r="A61" s="29">
        <v>60.0</v>
      </c>
      <c r="B61" s="31">
        <v>46226.47409587963</v>
      </c>
      <c r="C61" s="29" t="s">
        <v>167</v>
      </c>
      <c r="D61" s="77"/>
      <c r="E61" s="29" t="s">
        <v>347</v>
      </c>
      <c r="F61" s="29" t="s">
        <v>360</v>
      </c>
      <c r="G61" s="29" t="s">
        <v>305</v>
      </c>
      <c r="H61" s="32">
        <v>50.0</v>
      </c>
      <c r="I61" s="67" t="s">
        <v>361</v>
      </c>
      <c r="J61" s="73" t="s">
        <v>113</v>
      </c>
      <c r="K61" s="35" t="s">
        <v>101</v>
      </c>
      <c r="L61" s="35" t="s">
        <v>349</v>
      </c>
      <c r="M61" s="32">
        <v>5.0</v>
      </c>
      <c r="N61" s="87" t="s">
        <v>143</v>
      </c>
      <c r="O61" s="65" t="s">
        <v>117</v>
      </c>
      <c r="P61" s="68" t="s">
        <v>152</v>
      </c>
      <c r="Q61" s="32">
        <v>1.0</v>
      </c>
      <c r="R61" s="75" t="s">
        <v>109</v>
      </c>
      <c r="S61" s="68" t="s">
        <v>143</v>
      </c>
      <c r="T61" s="43" t="s">
        <v>107</v>
      </c>
      <c r="U61" s="45" t="s">
        <v>109</v>
      </c>
      <c r="V61" s="45" t="s">
        <v>109</v>
      </c>
      <c r="W61" s="45" t="s">
        <v>109</v>
      </c>
      <c r="X61" s="45" t="s">
        <v>109</v>
      </c>
      <c r="Y61" s="47" t="s">
        <v>109</v>
      </c>
      <c r="Z61" s="66" t="s">
        <v>136</v>
      </c>
      <c r="AA61" s="68" t="s">
        <v>152</v>
      </c>
      <c r="AB61" s="32">
        <v>1.0</v>
      </c>
      <c r="AC61" s="75" t="s">
        <v>109</v>
      </c>
      <c r="AD61" s="77"/>
      <c r="AE61" s="43" t="s">
        <v>107</v>
      </c>
      <c r="AF61" s="45" t="s">
        <v>109</v>
      </c>
      <c r="AG61" s="45" t="s">
        <v>109</v>
      </c>
      <c r="AH61" s="45" t="s">
        <v>109</v>
      </c>
      <c r="AI61" s="45" t="s">
        <v>109</v>
      </c>
      <c r="AJ61" s="47" t="s">
        <v>109</v>
      </c>
      <c r="AK61" s="65" t="s">
        <v>117</v>
      </c>
      <c r="AL61" s="36" t="s">
        <v>115</v>
      </c>
      <c r="AM61" s="32">
        <v>0.9</v>
      </c>
      <c r="AN61" s="29">
        <v>2020.0</v>
      </c>
      <c r="AO61" s="70" t="s">
        <v>153</v>
      </c>
      <c r="AP61" s="43" t="s">
        <v>107</v>
      </c>
      <c r="AQ61" s="103" t="s">
        <v>136</v>
      </c>
      <c r="AR61" s="77"/>
      <c r="AS61" s="77"/>
      <c r="AT61" s="29" t="s">
        <v>143</v>
      </c>
      <c r="AU61" s="43" t="s">
        <v>107</v>
      </c>
      <c r="AV61" s="73" t="s">
        <v>113</v>
      </c>
      <c r="AW61" s="68" t="s">
        <v>143</v>
      </c>
      <c r="AX61" s="77"/>
      <c r="AY61" s="77"/>
      <c r="AZ61" s="47" t="s">
        <v>109</v>
      </c>
      <c r="BA61" s="73" t="s">
        <v>113</v>
      </c>
      <c r="BB61" s="45" t="s">
        <v>109</v>
      </c>
      <c r="BC61" s="54"/>
      <c r="BD61" s="73" t="s">
        <v>143</v>
      </c>
      <c r="BE61" s="68" t="s">
        <v>143</v>
      </c>
      <c r="BF61" s="77"/>
      <c r="BG61" s="77"/>
      <c r="BH61" s="98">
        <f>Q61*H61</f>
        <v>50</v>
      </c>
      <c r="BI61" s="98">
        <f t="shared" si="2"/>
        <v>250</v>
      </c>
    </row>
    <row r="62" ht="12.0" customHeight="1">
      <c r="A62" s="29">
        <v>61.0</v>
      </c>
      <c r="B62" s="31">
        <v>46226.4771431713</v>
      </c>
      <c r="C62" s="29" t="s">
        <v>167</v>
      </c>
      <c r="D62" s="77"/>
      <c r="E62" s="29" t="s">
        <v>356</v>
      </c>
      <c r="F62" s="29" t="s">
        <v>182</v>
      </c>
      <c r="G62" s="29" t="s">
        <v>308</v>
      </c>
      <c r="H62" s="32">
        <v>110.0</v>
      </c>
      <c r="I62" s="67" t="s">
        <v>362</v>
      </c>
      <c r="J62" s="34" t="s">
        <v>99</v>
      </c>
      <c r="K62" s="35" t="s">
        <v>101</v>
      </c>
      <c r="L62" s="36" t="s">
        <v>102</v>
      </c>
      <c r="M62" s="32">
        <v>5.0</v>
      </c>
      <c r="N62" s="37" t="s">
        <v>103</v>
      </c>
      <c r="O62" s="38" t="s">
        <v>104</v>
      </c>
      <c r="P62" s="40" t="s">
        <v>105</v>
      </c>
      <c r="Q62" s="93" t="s">
        <v>145</v>
      </c>
      <c r="R62" s="95" t="s">
        <v>145</v>
      </c>
      <c r="S62" s="68" t="s">
        <v>143</v>
      </c>
      <c r="T62" s="29" t="s">
        <v>322</v>
      </c>
      <c r="U62" s="45" t="s">
        <v>109</v>
      </c>
      <c r="V62" s="45" t="s">
        <v>109</v>
      </c>
      <c r="W62" s="45" t="s">
        <v>109</v>
      </c>
      <c r="X62" s="45" t="s">
        <v>109</v>
      </c>
      <c r="Y62" s="47" t="s">
        <v>109</v>
      </c>
      <c r="Z62" s="48" t="s">
        <v>111</v>
      </c>
      <c r="AA62" s="40" t="s">
        <v>105</v>
      </c>
      <c r="AB62" s="29" t="s">
        <v>200</v>
      </c>
      <c r="AC62" s="75" t="s">
        <v>109</v>
      </c>
      <c r="AD62" s="68" t="s">
        <v>143</v>
      </c>
      <c r="AE62" s="29" t="s">
        <v>322</v>
      </c>
      <c r="AF62" s="45" t="s">
        <v>109</v>
      </c>
      <c r="AG62" s="45" t="s">
        <v>109</v>
      </c>
      <c r="AH62" s="45" t="s">
        <v>109</v>
      </c>
      <c r="AI62" s="45" t="s">
        <v>109</v>
      </c>
      <c r="AJ62" s="47" t="s">
        <v>109</v>
      </c>
      <c r="AK62" s="38" t="s">
        <v>104</v>
      </c>
      <c r="AL62" s="68" t="s">
        <v>143</v>
      </c>
      <c r="AM62" s="29" t="s">
        <v>200</v>
      </c>
      <c r="AN62" s="45" t="s">
        <v>109</v>
      </c>
      <c r="AO62" s="68" t="s">
        <v>143</v>
      </c>
      <c r="AP62" s="33" t="s">
        <v>149</v>
      </c>
      <c r="AQ62" s="103" t="s">
        <v>111</v>
      </c>
      <c r="AR62" s="29" t="s">
        <v>200</v>
      </c>
      <c r="AS62" s="77"/>
      <c r="AT62" s="29" t="s">
        <v>143</v>
      </c>
      <c r="AU62" s="33" t="s">
        <v>149</v>
      </c>
      <c r="AV62" s="34" t="s">
        <v>99</v>
      </c>
      <c r="AW62" s="53" t="s">
        <v>120</v>
      </c>
      <c r="AX62" s="29">
        <v>2022.0</v>
      </c>
      <c r="AY62" s="29">
        <v>0.15</v>
      </c>
      <c r="AZ62" s="37" t="s">
        <v>103</v>
      </c>
      <c r="BA62" s="34" t="s">
        <v>99</v>
      </c>
      <c r="BB62" s="36" t="s">
        <v>103</v>
      </c>
      <c r="BC62" s="54"/>
      <c r="BD62" s="34" t="s">
        <v>122</v>
      </c>
      <c r="BE62" s="36" t="s">
        <v>103</v>
      </c>
      <c r="BF62" s="77"/>
      <c r="BG62" s="77"/>
      <c r="BH62" s="98"/>
      <c r="BI62" s="98">
        <f t="shared" si="2"/>
        <v>550</v>
      </c>
    </row>
    <row r="63" ht="12.0" customHeight="1">
      <c r="A63" s="29">
        <v>62.0</v>
      </c>
      <c r="B63" s="31">
        <v>46226.47756965278</v>
      </c>
      <c r="C63" s="29" t="s">
        <v>167</v>
      </c>
      <c r="D63" s="77"/>
      <c r="E63" s="29" t="s">
        <v>363</v>
      </c>
      <c r="F63" s="29" t="s">
        <v>200</v>
      </c>
      <c r="G63" s="29" t="s">
        <v>328</v>
      </c>
      <c r="H63" s="32">
        <v>430.0</v>
      </c>
      <c r="I63" s="67" t="s">
        <v>364</v>
      </c>
      <c r="J63" s="34" t="s">
        <v>99</v>
      </c>
      <c r="K63" s="74" t="s">
        <v>165</v>
      </c>
      <c r="L63" s="36" t="s">
        <v>102</v>
      </c>
      <c r="M63" s="32">
        <v>18.0</v>
      </c>
      <c r="N63" s="37" t="s">
        <v>103</v>
      </c>
      <c r="O63" s="65" t="s">
        <v>117</v>
      </c>
      <c r="P63" s="40" t="s">
        <v>105</v>
      </c>
      <c r="Q63" s="32">
        <v>3.0</v>
      </c>
      <c r="R63" s="101">
        <v>2022.0</v>
      </c>
      <c r="S63" s="36" t="s">
        <v>103</v>
      </c>
      <c r="T63" s="43" t="s">
        <v>107</v>
      </c>
      <c r="U63" s="107" t="s">
        <v>365</v>
      </c>
      <c r="V63" s="29">
        <v>1.8</v>
      </c>
      <c r="W63" s="29">
        <v>2022.0</v>
      </c>
      <c r="X63" s="36" t="s">
        <v>103</v>
      </c>
      <c r="Y63" s="54"/>
      <c r="Z63" s="66" t="s">
        <v>136</v>
      </c>
      <c r="AA63" s="40" t="s">
        <v>105</v>
      </c>
      <c r="AB63" s="32">
        <v>3.0</v>
      </c>
      <c r="AC63" s="29">
        <v>2022.0</v>
      </c>
      <c r="AD63" s="36" t="s">
        <v>103</v>
      </c>
      <c r="AE63" s="43" t="s">
        <v>107</v>
      </c>
      <c r="AF63" s="45" t="s">
        <v>109</v>
      </c>
      <c r="AG63" s="45" t="s">
        <v>109</v>
      </c>
      <c r="AH63" s="45" t="s">
        <v>109</v>
      </c>
      <c r="AI63" s="45" t="s">
        <v>109</v>
      </c>
      <c r="AJ63" s="47" t="s">
        <v>109</v>
      </c>
      <c r="AK63" s="65" t="s">
        <v>117</v>
      </c>
      <c r="AL63" s="36" t="s">
        <v>115</v>
      </c>
      <c r="AM63" s="32">
        <v>1.0</v>
      </c>
      <c r="AN63" s="29">
        <v>2022.0</v>
      </c>
      <c r="AO63" s="37" t="s">
        <v>103</v>
      </c>
      <c r="AP63" s="43" t="s">
        <v>107</v>
      </c>
      <c r="AQ63" s="103" t="s">
        <v>136</v>
      </c>
      <c r="AR63" s="29">
        <v>1.0</v>
      </c>
      <c r="AS63" s="29">
        <v>2022.0</v>
      </c>
      <c r="AT63" s="37" t="s">
        <v>103</v>
      </c>
      <c r="AU63" s="43" t="s">
        <v>107</v>
      </c>
      <c r="AV63" s="73" t="s">
        <v>113</v>
      </c>
      <c r="AW63" s="68" t="s">
        <v>143</v>
      </c>
      <c r="AX63" s="77"/>
      <c r="AY63" s="77"/>
      <c r="AZ63" s="47" t="s">
        <v>109</v>
      </c>
      <c r="BA63" s="34" t="s">
        <v>99</v>
      </c>
      <c r="BB63" s="36" t="s">
        <v>103</v>
      </c>
      <c r="BC63" s="54"/>
      <c r="BD63" s="34" t="s">
        <v>122</v>
      </c>
      <c r="BE63" s="36" t="s">
        <v>103</v>
      </c>
      <c r="BF63" s="29" t="s">
        <v>366</v>
      </c>
      <c r="BG63" s="77"/>
      <c r="BH63" s="98">
        <f t="shared" ref="BH63:BH163" si="4">Q63*H63</f>
        <v>1290</v>
      </c>
      <c r="BI63" s="98">
        <f t="shared" si="2"/>
        <v>7740</v>
      </c>
    </row>
    <row r="64" ht="12.0" customHeight="1">
      <c r="A64" s="29">
        <v>63.0</v>
      </c>
      <c r="B64" s="31">
        <v>46226.4793908912</v>
      </c>
      <c r="C64" s="29" t="s">
        <v>167</v>
      </c>
      <c r="D64" s="77"/>
      <c r="E64" s="29" t="s">
        <v>367</v>
      </c>
      <c r="F64" s="29" t="s">
        <v>368</v>
      </c>
      <c r="G64" s="29" t="s">
        <v>340</v>
      </c>
      <c r="H64" s="32">
        <v>250.0</v>
      </c>
      <c r="I64" s="67" t="s">
        <v>369</v>
      </c>
      <c r="J64" s="34" t="s">
        <v>99</v>
      </c>
      <c r="K64" s="35" t="s">
        <v>101</v>
      </c>
      <c r="L64" s="36" t="s">
        <v>102</v>
      </c>
      <c r="M64" s="32">
        <v>5.0</v>
      </c>
      <c r="N64" s="37" t="s">
        <v>103</v>
      </c>
      <c r="O64" s="65" t="s">
        <v>117</v>
      </c>
      <c r="P64" s="68" t="s">
        <v>152</v>
      </c>
      <c r="Q64" s="93" t="s">
        <v>145</v>
      </c>
      <c r="R64" s="108" t="s">
        <v>109</v>
      </c>
      <c r="S64" s="68" t="s">
        <v>143</v>
      </c>
      <c r="T64" s="43" t="s">
        <v>107</v>
      </c>
      <c r="U64" s="45" t="s">
        <v>109</v>
      </c>
      <c r="V64" s="45" t="s">
        <v>109</v>
      </c>
      <c r="W64" s="45" t="s">
        <v>109</v>
      </c>
      <c r="X64" s="45" t="s">
        <v>109</v>
      </c>
      <c r="Y64" s="47" t="s">
        <v>109</v>
      </c>
      <c r="Z64" s="66" t="s">
        <v>136</v>
      </c>
      <c r="AA64" s="68" t="s">
        <v>152</v>
      </c>
      <c r="AB64" s="92"/>
      <c r="AC64" s="75" t="s">
        <v>109</v>
      </c>
      <c r="AD64" s="68" t="s">
        <v>143</v>
      </c>
      <c r="AE64" s="43" t="s">
        <v>107</v>
      </c>
      <c r="AF64" s="45" t="s">
        <v>109</v>
      </c>
      <c r="AG64" s="45" t="s">
        <v>109</v>
      </c>
      <c r="AH64" s="45" t="s">
        <v>109</v>
      </c>
      <c r="AI64" s="45" t="s">
        <v>109</v>
      </c>
      <c r="AJ64" s="47" t="s">
        <v>109</v>
      </c>
      <c r="AK64" s="65" t="s">
        <v>117</v>
      </c>
      <c r="AL64" s="36" t="s">
        <v>115</v>
      </c>
      <c r="AM64" s="32">
        <v>0.9</v>
      </c>
      <c r="AN64" s="29">
        <v>2020.0</v>
      </c>
      <c r="AO64" s="70" t="s">
        <v>153</v>
      </c>
      <c r="AP64" s="43" t="s">
        <v>107</v>
      </c>
      <c r="AQ64" s="103" t="s">
        <v>136</v>
      </c>
      <c r="AR64" s="77"/>
      <c r="AS64" s="77"/>
      <c r="AT64" s="29" t="s">
        <v>143</v>
      </c>
      <c r="AU64" s="43" t="s">
        <v>107</v>
      </c>
      <c r="AV64" s="34" t="s">
        <v>99</v>
      </c>
      <c r="AW64" s="53" t="s">
        <v>120</v>
      </c>
      <c r="AX64" s="29">
        <v>2020.0</v>
      </c>
      <c r="AY64" s="29">
        <v>0.15</v>
      </c>
      <c r="AZ64" s="37" t="s">
        <v>103</v>
      </c>
      <c r="BA64" s="34" t="s">
        <v>99</v>
      </c>
      <c r="BB64" s="36" t="s">
        <v>103</v>
      </c>
      <c r="BC64" s="54"/>
      <c r="BD64" s="34" t="s">
        <v>122</v>
      </c>
      <c r="BE64" s="36" t="s">
        <v>103</v>
      </c>
      <c r="BF64" s="77"/>
      <c r="BG64" s="77"/>
      <c r="BH64" s="98" t="str">
        <f t="shared" si="4"/>
        <v>#VALUE!</v>
      </c>
      <c r="BI64" s="98">
        <f t="shared" si="2"/>
        <v>1250</v>
      </c>
    </row>
    <row r="65" ht="12.0" customHeight="1">
      <c r="A65" s="29">
        <v>64.0</v>
      </c>
      <c r="B65" s="31">
        <v>46226.49000266204</v>
      </c>
      <c r="C65" s="29" t="s">
        <v>167</v>
      </c>
      <c r="D65" s="77"/>
      <c r="E65" s="29" t="s">
        <v>367</v>
      </c>
      <c r="F65" s="29" t="s">
        <v>370</v>
      </c>
      <c r="G65" s="29" t="s">
        <v>371</v>
      </c>
      <c r="H65" s="32">
        <v>210.0</v>
      </c>
      <c r="I65" s="67" t="s">
        <v>372</v>
      </c>
      <c r="J65" s="34" t="s">
        <v>99</v>
      </c>
      <c r="K65" s="35" t="s">
        <v>101</v>
      </c>
      <c r="L65" s="36" t="s">
        <v>102</v>
      </c>
      <c r="M65" s="32">
        <v>5.0</v>
      </c>
      <c r="N65" s="37" t="s">
        <v>103</v>
      </c>
      <c r="O65" s="38" t="s">
        <v>104</v>
      </c>
      <c r="P65" s="86" t="s">
        <v>190</v>
      </c>
      <c r="Q65" s="79">
        <v>0.0</v>
      </c>
      <c r="R65" s="75" t="s">
        <v>109</v>
      </c>
      <c r="S65" s="85" t="s">
        <v>190</v>
      </c>
      <c r="T65" s="109" t="s">
        <v>107</v>
      </c>
      <c r="U65" s="45" t="s">
        <v>109</v>
      </c>
      <c r="V65" s="45" t="s">
        <v>109</v>
      </c>
      <c r="W65" s="45" t="s">
        <v>109</v>
      </c>
      <c r="X65" s="45" t="s">
        <v>109</v>
      </c>
      <c r="Y65" s="47" t="s">
        <v>109</v>
      </c>
      <c r="Z65" s="48" t="s">
        <v>111</v>
      </c>
      <c r="AA65" s="68" t="s">
        <v>152</v>
      </c>
      <c r="AB65" s="32">
        <v>1.0</v>
      </c>
      <c r="AC65" s="75" t="s">
        <v>109</v>
      </c>
      <c r="AD65" s="68" t="s">
        <v>143</v>
      </c>
      <c r="AE65" s="43" t="s">
        <v>107</v>
      </c>
      <c r="AF65" s="45" t="s">
        <v>109</v>
      </c>
      <c r="AG65" s="45" t="s">
        <v>109</v>
      </c>
      <c r="AH65" s="45" t="s">
        <v>109</v>
      </c>
      <c r="AI65" s="45" t="s">
        <v>109</v>
      </c>
      <c r="AJ65" s="47" t="s">
        <v>109</v>
      </c>
      <c r="AK65" s="38" t="s">
        <v>104</v>
      </c>
      <c r="AL65" s="100" t="s">
        <v>191</v>
      </c>
      <c r="AM65" s="92"/>
      <c r="AN65" s="77"/>
      <c r="AO65" s="77"/>
      <c r="AP65" s="43" t="s">
        <v>107</v>
      </c>
      <c r="AQ65" s="103" t="s">
        <v>111</v>
      </c>
      <c r="AR65" s="77"/>
      <c r="AS65" s="77"/>
      <c r="AT65" s="29" t="s">
        <v>200</v>
      </c>
      <c r="AU65" s="43" t="s">
        <v>107</v>
      </c>
      <c r="AV65" s="34" t="s">
        <v>99</v>
      </c>
      <c r="AW65" s="53" t="s">
        <v>120</v>
      </c>
      <c r="AX65" s="77"/>
      <c r="AY65" s="29">
        <v>2023.0</v>
      </c>
      <c r="AZ65" s="37" t="s">
        <v>103</v>
      </c>
      <c r="BA65" s="34" t="s">
        <v>99</v>
      </c>
      <c r="BB65" s="36" t="s">
        <v>103</v>
      </c>
      <c r="BC65" s="54"/>
      <c r="BD65" s="34" t="s">
        <v>122</v>
      </c>
      <c r="BE65" s="36" t="s">
        <v>103</v>
      </c>
      <c r="BF65" s="77"/>
      <c r="BG65" s="77"/>
      <c r="BH65" s="98">
        <f t="shared" si="4"/>
        <v>0</v>
      </c>
      <c r="BI65" s="98">
        <f t="shared" si="2"/>
        <v>1050</v>
      </c>
    </row>
    <row r="66" ht="12.0" customHeight="1">
      <c r="A66" s="29">
        <v>65.0</v>
      </c>
      <c r="B66" s="31">
        <v>46226.4908983912</v>
      </c>
      <c r="C66" s="29" t="s">
        <v>167</v>
      </c>
      <c r="D66" s="77"/>
      <c r="E66" s="29" t="s">
        <v>373</v>
      </c>
      <c r="F66" s="29" t="s">
        <v>254</v>
      </c>
      <c r="G66" s="29" t="s">
        <v>328</v>
      </c>
      <c r="H66" s="32">
        <v>300.0</v>
      </c>
      <c r="I66" s="67" t="s">
        <v>374</v>
      </c>
      <c r="J66" s="34" t="s">
        <v>99</v>
      </c>
      <c r="K66" s="35" t="s">
        <v>101</v>
      </c>
      <c r="L66" s="36" t="s">
        <v>102</v>
      </c>
      <c r="M66" s="92"/>
      <c r="N66" s="37" t="s">
        <v>103</v>
      </c>
      <c r="O66" s="38" t="s">
        <v>104</v>
      </c>
      <c r="P66" s="40" t="s">
        <v>105</v>
      </c>
      <c r="Q66" s="93" t="s">
        <v>145</v>
      </c>
      <c r="R66" s="101">
        <v>202.0</v>
      </c>
      <c r="S66" s="36" t="s">
        <v>103</v>
      </c>
      <c r="T66" s="43" t="s">
        <v>107</v>
      </c>
      <c r="U66" s="45" t="s">
        <v>109</v>
      </c>
      <c r="V66" s="45" t="s">
        <v>109</v>
      </c>
      <c r="W66" s="45" t="s">
        <v>109</v>
      </c>
      <c r="X66" s="45" t="s">
        <v>109</v>
      </c>
      <c r="Y66" s="47" t="s">
        <v>109</v>
      </c>
      <c r="Z66" s="48" t="s">
        <v>111</v>
      </c>
      <c r="AA66" s="40" t="s">
        <v>105</v>
      </c>
      <c r="AB66" s="32">
        <v>2.0</v>
      </c>
      <c r="AC66" s="29">
        <v>2022.0</v>
      </c>
      <c r="AD66" s="68" t="s">
        <v>143</v>
      </c>
      <c r="AE66" s="29" t="s">
        <v>375</v>
      </c>
      <c r="AF66" s="45" t="s">
        <v>109</v>
      </c>
      <c r="AG66" s="45" t="s">
        <v>109</v>
      </c>
      <c r="AH66" s="45" t="s">
        <v>109</v>
      </c>
      <c r="AI66" s="45" t="s">
        <v>109</v>
      </c>
      <c r="AJ66" s="47" t="s">
        <v>109</v>
      </c>
      <c r="AK66" s="38" t="s">
        <v>104</v>
      </c>
      <c r="AL66" s="36" t="s">
        <v>115</v>
      </c>
      <c r="AM66" s="32">
        <v>0.6</v>
      </c>
      <c r="AN66" s="29">
        <v>2022.0</v>
      </c>
      <c r="AO66" s="37" t="s">
        <v>103</v>
      </c>
      <c r="AP66" s="43" t="s">
        <v>107</v>
      </c>
      <c r="AQ66" s="103" t="s">
        <v>111</v>
      </c>
      <c r="AR66" s="77"/>
      <c r="AS66" s="77"/>
      <c r="AT66" s="29" t="s">
        <v>200</v>
      </c>
      <c r="AU66" s="33" t="s">
        <v>249</v>
      </c>
      <c r="AV66" s="34" t="s">
        <v>99</v>
      </c>
      <c r="AW66" s="53" t="s">
        <v>120</v>
      </c>
      <c r="AX66" s="29">
        <v>2012.0</v>
      </c>
      <c r="AY66" s="29">
        <v>0.15</v>
      </c>
      <c r="AZ66" s="37" t="s">
        <v>103</v>
      </c>
      <c r="BA66" s="34" t="s">
        <v>99</v>
      </c>
      <c r="BB66" s="36" t="s">
        <v>103</v>
      </c>
      <c r="BC66" s="54"/>
      <c r="BD66" s="34" t="s">
        <v>122</v>
      </c>
      <c r="BE66" s="36" t="s">
        <v>103</v>
      </c>
      <c r="BF66" s="77"/>
      <c r="BG66" s="77"/>
      <c r="BH66" s="98" t="str">
        <f t="shared" si="4"/>
        <v>#VALUE!</v>
      </c>
      <c r="BI66" s="98">
        <f t="shared" si="2"/>
        <v>0</v>
      </c>
    </row>
    <row r="67" ht="12.0" customHeight="1">
      <c r="A67" s="29">
        <v>66.0</v>
      </c>
      <c r="B67" s="31">
        <v>46226.493180324076</v>
      </c>
      <c r="C67" s="29" t="s">
        <v>167</v>
      </c>
      <c r="D67" s="77"/>
      <c r="E67" s="29" t="s">
        <v>367</v>
      </c>
      <c r="F67" s="29" t="s">
        <v>376</v>
      </c>
      <c r="G67" s="29" t="s">
        <v>377</v>
      </c>
      <c r="H67" s="32">
        <v>210.0</v>
      </c>
      <c r="I67" s="67" t="s">
        <v>378</v>
      </c>
      <c r="J67" s="34" t="s">
        <v>99</v>
      </c>
      <c r="K67" s="35" t="s">
        <v>101</v>
      </c>
      <c r="L67" s="36" t="s">
        <v>102</v>
      </c>
      <c r="M67" s="32">
        <v>5.0</v>
      </c>
      <c r="N67" s="37" t="s">
        <v>103</v>
      </c>
      <c r="O67" s="38" t="s">
        <v>104</v>
      </c>
      <c r="P67" s="40" t="s">
        <v>105</v>
      </c>
      <c r="Q67" s="32">
        <v>1.0</v>
      </c>
      <c r="R67" s="108" t="s">
        <v>109</v>
      </c>
      <c r="S67" s="36" t="s">
        <v>103</v>
      </c>
      <c r="T67" s="43" t="s">
        <v>107</v>
      </c>
      <c r="U67" s="45" t="s">
        <v>109</v>
      </c>
      <c r="V67" s="45" t="s">
        <v>109</v>
      </c>
      <c r="W67" s="45" t="s">
        <v>109</v>
      </c>
      <c r="X67" s="45" t="s">
        <v>109</v>
      </c>
      <c r="Y67" s="47" t="s">
        <v>109</v>
      </c>
      <c r="Z67" s="48" t="s">
        <v>111</v>
      </c>
      <c r="AA67" s="40" t="s">
        <v>105</v>
      </c>
      <c r="AB67" s="32">
        <v>1.0</v>
      </c>
      <c r="AC67" s="75" t="s">
        <v>109</v>
      </c>
      <c r="AD67" s="36" t="s">
        <v>103</v>
      </c>
      <c r="AE67" s="43" t="s">
        <v>107</v>
      </c>
      <c r="AF67" s="45" t="s">
        <v>109</v>
      </c>
      <c r="AG67" s="45" t="s">
        <v>109</v>
      </c>
      <c r="AH67" s="45" t="s">
        <v>109</v>
      </c>
      <c r="AI67" s="45" t="s">
        <v>109</v>
      </c>
      <c r="AJ67" s="47" t="s">
        <v>109</v>
      </c>
      <c r="AK67" s="38" t="s">
        <v>104</v>
      </c>
      <c r="AL67" s="100" t="s">
        <v>191</v>
      </c>
      <c r="AM67" s="92"/>
      <c r="AN67" s="77"/>
      <c r="AO67" s="29" t="s">
        <v>200</v>
      </c>
      <c r="AP67" s="43" t="s">
        <v>107</v>
      </c>
      <c r="AQ67" s="103" t="s">
        <v>111</v>
      </c>
      <c r="AR67" s="77"/>
      <c r="AS67" s="77"/>
      <c r="AT67" s="29" t="s">
        <v>200</v>
      </c>
      <c r="AU67" s="43" t="s">
        <v>107</v>
      </c>
      <c r="AV67" s="34" t="s">
        <v>99</v>
      </c>
      <c r="AW67" s="53" t="s">
        <v>120</v>
      </c>
      <c r="AX67" s="77"/>
      <c r="AY67" s="29">
        <v>0.15</v>
      </c>
      <c r="AZ67" s="37" t="s">
        <v>103</v>
      </c>
      <c r="BA67" s="34" t="s">
        <v>99</v>
      </c>
      <c r="BB67" s="36" t="s">
        <v>103</v>
      </c>
      <c r="BC67" s="54"/>
      <c r="BD67" s="34" t="s">
        <v>122</v>
      </c>
      <c r="BE67" s="36" t="s">
        <v>103</v>
      </c>
      <c r="BF67" s="77"/>
      <c r="BG67" s="77"/>
      <c r="BH67" s="98">
        <f t="shared" si="4"/>
        <v>210</v>
      </c>
      <c r="BI67" s="98">
        <f t="shared" si="2"/>
        <v>1050</v>
      </c>
    </row>
    <row r="68" ht="12.0" customHeight="1">
      <c r="A68" s="29">
        <v>67.0</v>
      </c>
      <c r="B68" s="31">
        <v>46226.49356016204</v>
      </c>
      <c r="C68" s="29" t="s">
        <v>167</v>
      </c>
      <c r="D68" s="77"/>
      <c r="E68" s="29" t="s">
        <v>379</v>
      </c>
      <c r="F68" s="29" t="s">
        <v>214</v>
      </c>
      <c r="G68" s="29" t="s">
        <v>308</v>
      </c>
      <c r="H68" s="32">
        <v>180.0</v>
      </c>
      <c r="I68" s="67" t="s">
        <v>380</v>
      </c>
      <c r="J68" s="34" t="s">
        <v>99</v>
      </c>
      <c r="K68" s="35" t="s">
        <v>101</v>
      </c>
      <c r="L68" s="36" t="s">
        <v>102</v>
      </c>
      <c r="M68" s="32">
        <v>5.2</v>
      </c>
      <c r="N68" s="37" t="s">
        <v>103</v>
      </c>
      <c r="O68" s="38" t="s">
        <v>104</v>
      </c>
      <c r="P68" s="86" t="s">
        <v>190</v>
      </c>
      <c r="Q68" s="32">
        <v>1.4</v>
      </c>
      <c r="R68" s="101">
        <v>2010.0</v>
      </c>
      <c r="S68" s="68" t="s">
        <v>143</v>
      </c>
      <c r="T68" s="29" t="s">
        <v>381</v>
      </c>
      <c r="U68" s="45" t="s">
        <v>109</v>
      </c>
      <c r="V68" s="45" t="s">
        <v>109</v>
      </c>
      <c r="W68" s="45" t="s">
        <v>109</v>
      </c>
      <c r="X68" s="45" t="s">
        <v>109</v>
      </c>
      <c r="Y68" s="47" t="s">
        <v>109</v>
      </c>
      <c r="Z68" s="48" t="s">
        <v>111</v>
      </c>
      <c r="AA68" s="86" t="s">
        <v>109</v>
      </c>
      <c r="AB68" s="32">
        <v>2.0</v>
      </c>
      <c r="AC68" s="29">
        <v>2010.0</v>
      </c>
      <c r="AD68" s="68" t="s">
        <v>143</v>
      </c>
      <c r="AE68" s="29" t="s">
        <v>382</v>
      </c>
      <c r="AF68" s="45" t="s">
        <v>109</v>
      </c>
      <c r="AG68" s="45" t="s">
        <v>109</v>
      </c>
      <c r="AH68" s="45" t="s">
        <v>109</v>
      </c>
      <c r="AI68" s="45" t="s">
        <v>109</v>
      </c>
      <c r="AJ68" s="47" t="s">
        <v>109</v>
      </c>
      <c r="AK68" s="38" t="s">
        <v>104</v>
      </c>
      <c r="AL68" s="68" t="s">
        <v>143</v>
      </c>
      <c r="AM68" s="32">
        <v>0.6</v>
      </c>
      <c r="AN68" s="29">
        <v>2000.0</v>
      </c>
      <c r="AO68" s="68" t="s">
        <v>143</v>
      </c>
      <c r="AP68" s="33" t="s">
        <v>383</v>
      </c>
      <c r="AQ68" s="103" t="s">
        <v>111</v>
      </c>
      <c r="AR68" s="29">
        <v>0.6</v>
      </c>
      <c r="AS68" s="29">
        <v>2000.0</v>
      </c>
      <c r="AT68" s="68" t="s">
        <v>143</v>
      </c>
      <c r="AU68" s="33" t="s">
        <v>384</v>
      </c>
      <c r="AV68" s="34" t="s">
        <v>99</v>
      </c>
      <c r="AW68" s="53" t="s">
        <v>120</v>
      </c>
      <c r="AX68" s="29">
        <v>2020.0</v>
      </c>
      <c r="AY68" s="29">
        <v>0.2</v>
      </c>
      <c r="AZ68" s="37" t="s">
        <v>103</v>
      </c>
      <c r="BA68" s="34" t="s">
        <v>99</v>
      </c>
      <c r="BB68" s="36" t="s">
        <v>103</v>
      </c>
      <c r="BC68" s="54"/>
      <c r="BD68" s="34" t="s">
        <v>122</v>
      </c>
      <c r="BE68" s="36" t="s">
        <v>103</v>
      </c>
      <c r="BF68" s="77"/>
      <c r="BG68" s="77"/>
      <c r="BH68" s="98">
        <f t="shared" si="4"/>
        <v>252</v>
      </c>
      <c r="BI68" s="98">
        <f t="shared" si="2"/>
        <v>936</v>
      </c>
    </row>
    <row r="69" ht="12.0" customHeight="1">
      <c r="A69" s="29">
        <v>68.0</v>
      </c>
      <c r="B69" s="31">
        <v>46226.49692173611</v>
      </c>
      <c r="C69" s="29" t="s">
        <v>167</v>
      </c>
      <c r="D69" s="77"/>
      <c r="E69" s="29" t="s">
        <v>367</v>
      </c>
      <c r="F69" s="29" t="s">
        <v>385</v>
      </c>
      <c r="G69" s="29" t="s">
        <v>371</v>
      </c>
      <c r="H69" s="32">
        <v>185.0</v>
      </c>
      <c r="I69" s="67" t="s">
        <v>386</v>
      </c>
      <c r="J69" s="34" t="s">
        <v>99</v>
      </c>
      <c r="K69" s="35" t="s">
        <v>101</v>
      </c>
      <c r="L69" s="36" t="s">
        <v>102</v>
      </c>
      <c r="M69" s="32">
        <v>5.0</v>
      </c>
      <c r="N69" s="37" t="s">
        <v>103</v>
      </c>
      <c r="O69" s="38" t="s">
        <v>104</v>
      </c>
      <c r="P69" s="40" t="s">
        <v>105</v>
      </c>
      <c r="Q69" s="32">
        <v>1.0</v>
      </c>
      <c r="R69" s="108" t="s">
        <v>109</v>
      </c>
      <c r="S69" s="36" t="s">
        <v>103</v>
      </c>
      <c r="T69" s="43" t="s">
        <v>107</v>
      </c>
      <c r="U69" s="45" t="s">
        <v>109</v>
      </c>
      <c r="V69" s="45" t="s">
        <v>109</v>
      </c>
      <c r="W69" s="45" t="s">
        <v>109</v>
      </c>
      <c r="X69" s="45" t="s">
        <v>109</v>
      </c>
      <c r="Y69" s="47" t="s">
        <v>109</v>
      </c>
      <c r="Z69" s="48" t="s">
        <v>111</v>
      </c>
      <c r="AA69" s="40" t="s">
        <v>105</v>
      </c>
      <c r="AB69" s="32">
        <v>1.0</v>
      </c>
      <c r="AC69" s="75" t="s">
        <v>109</v>
      </c>
      <c r="AD69" s="36" t="s">
        <v>103</v>
      </c>
      <c r="AE69" s="43" t="s">
        <v>107</v>
      </c>
      <c r="AF69" s="45" t="s">
        <v>109</v>
      </c>
      <c r="AG69" s="45" t="s">
        <v>109</v>
      </c>
      <c r="AH69" s="45" t="s">
        <v>109</v>
      </c>
      <c r="AI69" s="45" t="s">
        <v>109</v>
      </c>
      <c r="AJ69" s="47" t="s">
        <v>109</v>
      </c>
      <c r="AK69" s="38" t="s">
        <v>104</v>
      </c>
      <c r="AL69" s="36" t="s">
        <v>115</v>
      </c>
      <c r="AM69" s="32">
        <v>0.9</v>
      </c>
      <c r="AN69" s="29">
        <v>2017.0</v>
      </c>
      <c r="AO69" s="37" t="s">
        <v>103</v>
      </c>
      <c r="AP69" s="43" t="s">
        <v>107</v>
      </c>
      <c r="AQ69" s="103" t="s">
        <v>111</v>
      </c>
      <c r="AR69" s="29">
        <v>0.9</v>
      </c>
      <c r="AS69" s="29">
        <v>2018.0</v>
      </c>
      <c r="AT69" s="37" t="s">
        <v>103</v>
      </c>
      <c r="AU69" s="43" t="s">
        <v>107</v>
      </c>
      <c r="AV69" s="34" t="s">
        <v>99</v>
      </c>
      <c r="AW69" s="53" t="s">
        <v>120</v>
      </c>
      <c r="AX69" s="29">
        <v>2016.0</v>
      </c>
      <c r="AY69" s="29">
        <v>0.15</v>
      </c>
      <c r="AZ69" s="37" t="s">
        <v>103</v>
      </c>
      <c r="BA69" s="34" t="s">
        <v>99</v>
      </c>
      <c r="BB69" s="36" t="s">
        <v>103</v>
      </c>
      <c r="BC69" s="54"/>
      <c r="BD69" s="34" t="s">
        <v>122</v>
      </c>
      <c r="BE69" s="36" t="s">
        <v>103</v>
      </c>
      <c r="BF69" s="77"/>
      <c r="BG69" s="77"/>
      <c r="BH69" s="98">
        <f t="shared" si="4"/>
        <v>185</v>
      </c>
      <c r="BI69" s="98">
        <f t="shared" si="2"/>
        <v>925</v>
      </c>
    </row>
    <row r="70" ht="12.0" customHeight="1">
      <c r="A70" s="29">
        <v>69.0</v>
      </c>
      <c r="B70" s="31">
        <v>46226.5004212037</v>
      </c>
      <c r="C70" s="29" t="s">
        <v>167</v>
      </c>
      <c r="D70" s="77"/>
      <c r="E70" s="29" t="s">
        <v>367</v>
      </c>
      <c r="F70" s="29" t="s">
        <v>387</v>
      </c>
      <c r="G70" s="29" t="s">
        <v>377</v>
      </c>
      <c r="H70" s="32">
        <v>160.0</v>
      </c>
      <c r="I70" s="67" t="s">
        <v>388</v>
      </c>
      <c r="J70" s="34" t="s">
        <v>99</v>
      </c>
      <c r="K70" s="35" t="s">
        <v>101</v>
      </c>
      <c r="L70" s="36" t="s">
        <v>102</v>
      </c>
      <c r="M70" s="32">
        <v>5.0</v>
      </c>
      <c r="N70" s="37" t="s">
        <v>103</v>
      </c>
      <c r="O70" s="38" t="s">
        <v>104</v>
      </c>
      <c r="P70" s="40" t="s">
        <v>105</v>
      </c>
      <c r="Q70" s="32">
        <v>1.0</v>
      </c>
      <c r="R70" s="108" t="s">
        <v>109</v>
      </c>
      <c r="S70" s="36" t="s">
        <v>103</v>
      </c>
      <c r="T70" s="43" t="s">
        <v>107</v>
      </c>
      <c r="U70" s="45" t="s">
        <v>109</v>
      </c>
      <c r="V70" s="45" t="s">
        <v>109</v>
      </c>
      <c r="W70" s="45" t="s">
        <v>109</v>
      </c>
      <c r="X70" s="45" t="s">
        <v>109</v>
      </c>
      <c r="Y70" s="47" t="s">
        <v>109</v>
      </c>
      <c r="Z70" s="48" t="s">
        <v>111</v>
      </c>
      <c r="AA70" s="40" t="s">
        <v>105</v>
      </c>
      <c r="AB70" s="32">
        <v>1.0</v>
      </c>
      <c r="AC70" s="75" t="s">
        <v>109</v>
      </c>
      <c r="AD70" s="36" t="s">
        <v>103</v>
      </c>
      <c r="AE70" s="43" t="s">
        <v>107</v>
      </c>
      <c r="AF70" s="45" t="s">
        <v>109</v>
      </c>
      <c r="AG70" s="45" t="s">
        <v>109</v>
      </c>
      <c r="AH70" s="45" t="s">
        <v>109</v>
      </c>
      <c r="AI70" s="45" t="s">
        <v>109</v>
      </c>
      <c r="AJ70" s="47" t="s">
        <v>109</v>
      </c>
      <c r="AK70" s="38" t="s">
        <v>104</v>
      </c>
      <c r="AL70" s="68" t="s">
        <v>143</v>
      </c>
      <c r="AM70" s="92"/>
      <c r="AN70" s="77"/>
      <c r="AO70" s="68" t="s">
        <v>143</v>
      </c>
      <c r="AP70" s="43" t="s">
        <v>107</v>
      </c>
      <c r="AQ70" s="103" t="s">
        <v>111</v>
      </c>
      <c r="AR70" s="77"/>
      <c r="AS70" s="77"/>
      <c r="AT70" s="68" t="s">
        <v>143</v>
      </c>
      <c r="AU70" s="43" t="s">
        <v>107</v>
      </c>
      <c r="AV70" s="34" t="s">
        <v>99</v>
      </c>
      <c r="AW70" s="53" t="s">
        <v>120</v>
      </c>
      <c r="AX70" s="29">
        <v>2024.0</v>
      </c>
      <c r="AY70" s="29">
        <v>0.15</v>
      </c>
      <c r="AZ70" s="37" t="s">
        <v>103</v>
      </c>
      <c r="BA70" s="34" t="s">
        <v>99</v>
      </c>
      <c r="BB70" s="36" t="s">
        <v>103</v>
      </c>
      <c r="BC70" s="54"/>
      <c r="BD70" s="34" t="s">
        <v>122</v>
      </c>
      <c r="BE70" s="36" t="s">
        <v>103</v>
      </c>
      <c r="BF70" s="77"/>
      <c r="BG70" s="77"/>
      <c r="BH70" s="98">
        <f t="shared" si="4"/>
        <v>160</v>
      </c>
      <c r="BI70" s="98">
        <f t="shared" si="2"/>
        <v>800</v>
      </c>
    </row>
    <row r="71" ht="12.0" customHeight="1">
      <c r="A71" s="29">
        <v>70.0</v>
      </c>
      <c r="B71" s="31">
        <v>46226.50775128472</v>
      </c>
      <c r="C71" s="29" t="s">
        <v>167</v>
      </c>
      <c r="D71" s="77"/>
      <c r="E71" s="29" t="s">
        <v>389</v>
      </c>
      <c r="F71" s="29" t="s">
        <v>254</v>
      </c>
      <c r="G71" s="29" t="s">
        <v>328</v>
      </c>
      <c r="H71" s="32">
        <v>84.0</v>
      </c>
      <c r="I71" s="67" t="s">
        <v>390</v>
      </c>
      <c r="J71" s="34" t="s">
        <v>99</v>
      </c>
      <c r="K71" s="35" t="s">
        <v>101</v>
      </c>
      <c r="L71" s="36" t="s">
        <v>102</v>
      </c>
      <c r="M71" s="32">
        <v>5.5</v>
      </c>
      <c r="N71" s="37" t="s">
        <v>103</v>
      </c>
      <c r="O71" s="65" t="s">
        <v>117</v>
      </c>
      <c r="P71" s="40" t="s">
        <v>105</v>
      </c>
      <c r="Q71" s="32">
        <v>1.0</v>
      </c>
      <c r="R71" s="101">
        <v>2022.0</v>
      </c>
      <c r="S71" s="68" t="s">
        <v>143</v>
      </c>
      <c r="T71" s="29" t="s">
        <v>148</v>
      </c>
      <c r="U71" s="45" t="s">
        <v>109</v>
      </c>
      <c r="V71" s="45" t="s">
        <v>109</v>
      </c>
      <c r="W71" s="45" t="s">
        <v>109</v>
      </c>
      <c r="X71" s="45" t="s">
        <v>109</v>
      </c>
      <c r="Y71" s="47" t="s">
        <v>109</v>
      </c>
      <c r="Z71" s="66" t="s">
        <v>136</v>
      </c>
      <c r="AA71" s="68" t="s">
        <v>152</v>
      </c>
      <c r="AB71" s="32">
        <v>1.5</v>
      </c>
      <c r="AC71" s="75" t="s">
        <v>109</v>
      </c>
      <c r="AD71" s="68" t="s">
        <v>143</v>
      </c>
      <c r="AE71" s="29" t="s">
        <v>148</v>
      </c>
      <c r="AF71" s="45" t="s">
        <v>109</v>
      </c>
      <c r="AG71" s="45" t="s">
        <v>109</v>
      </c>
      <c r="AH71" s="45" t="s">
        <v>109</v>
      </c>
      <c r="AI71" s="45" t="s">
        <v>109</v>
      </c>
      <c r="AJ71" s="47" t="s">
        <v>109</v>
      </c>
      <c r="AK71" s="65" t="s">
        <v>117</v>
      </c>
      <c r="AL71" s="36" t="s">
        <v>115</v>
      </c>
      <c r="AM71" s="32">
        <v>0.6</v>
      </c>
      <c r="AN71" s="29">
        <v>2018.0</v>
      </c>
      <c r="AO71" s="37" t="s">
        <v>103</v>
      </c>
      <c r="AP71" s="43" t="s">
        <v>107</v>
      </c>
      <c r="AQ71" s="103" t="s">
        <v>111</v>
      </c>
      <c r="AR71" s="77"/>
      <c r="AS71" s="77"/>
      <c r="AT71" s="29" t="s">
        <v>200</v>
      </c>
      <c r="AU71" s="33" t="s">
        <v>391</v>
      </c>
      <c r="AV71" s="34" t="s">
        <v>99</v>
      </c>
      <c r="AW71" s="53" t="s">
        <v>120</v>
      </c>
      <c r="AX71" s="29">
        <v>2018.0</v>
      </c>
      <c r="AY71" s="29">
        <v>0.15</v>
      </c>
      <c r="AZ71" s="37" t="s">
        <v>103</v>
      </c>
      <c r="BA71" s="34" t="s">
        <v>99</v>
      </c>
      <c r="BB71" s="70" t="s">
        <v>153</v>
      </c>
      <c r="BC71" s="33" t="s">
        <v>392</v>
      </c>
      <c r="BD71" s="34" t="s">
        <v>122</v>
      </c>
      <c r="BE71" s="36" t="s">
        <v>103</v>
      </c>
      <c r="BF71" s="77"/>
      <c r="BG71" s="77"/>
      <c r="BH71" s="98">
        <f t="shared" si="4"/>
        <v>84</v>
      </c>
      <c r="BI71" s="98">
        <f t="shared" si="2"/>
        <v>462</v>
      </c>
    </row>
    <row r="72" ht="12.0" customHeight="1">
      <c r="A72" s="29">
        <v>71.0</v>
      </c>
      <c r="B72" s="31">
        <v>46226.50999298611</v>
      </c>
      <c r="C72" s="29" t="s">
        <v>167</v>
      </c>
      <c r="D72" s="77"/>
      <c r="E72" s="29" t="s">
        <v>367</v>
      </c>
      <c r="F72" s="29" t="s">
        <v>393</v>
      </c>
      <c r="G72" s="29" t="s">
        <v>340</v>
      </c>
      <c r="H72" s="32">
        <v>350.0</v>
      </c>
      <c r="I72" s="67" t="s">
        <v>394</v>
      </c>
      <c r="J72" s="34" t="s">
        <v>99</v>
      </c>
      <c r="K72" s="74" t="s">
        <v>165</v>
      </c>
      <c r="L72" s="36" t="s">
        <v>102</v>
      </c>
      <c r="M72" s="32">
        <v>6.0</v>
      </c>
      <c r="N72" s="37" t="s">
        <v>103</v>
      </c>
      <c r="O72" s="38" t="s">
        <v>104</v>
      </c>
      <c r="P72" s="40" t="s">
        <v>105</v>
      </c>
      <c r="Q72" s="32">
        <v>2.0</v>
      </c>
      <c r="R72" s="101">
        <v>2024.0</v>
      </c>
      <c r="S72" s="86" t="s">
        <v>109</v>
      </c>
      <c r="T72" s="43" t="s">
        <v>107</v>
      </c>
      <c r="U72" s="45" t="s">
        <v>109</v>
      </c>
      <c r="V72" s="45" t="s">
        <v>109</v>
      </c>
      <c r="W72" s="45" t="s">
        <v>109</v>
      </c>
      <c r="X72" s="45" t="s">
        <v>109</v>
      </c>
      <c r="Y72" s="47" t="s">
        <v>109</v>
      </c>
      <c r="Z72" s="48" t="s">
        <v>111</v>
      </c>
      <c r="AA72" s="40" t="s">
        <v>105</v>
      </c>
      <c r="AB72" s="32">
        <v>2.0</v>
      </c>
      <c r="AC72" s="29">
        <v>2024.0</v>
      </c>
      <c r="AD72" s="36" t="s">
        <v>103</v>
      </c>
      <c r="AE72" s="43" t="s">
        <v>107</v>
      </c>
      <c r="AF72" s="45" t="s">
        <v>109</v>
      </c>
      <c r="AG72" s="45" t="s">
        <v>109</v>
      </c>
      <c r="AH72" s="45" t="s">
        <v>109</v>
      </c>
      <c r="AI72" s="45" t="s">
        <v>109</v>
      </c>
      <c r="AJ72" s="47" t="s">
        <v>109</v>
      </c>
      <c r="AK72" s="38" t="s">
        <v>104</v>
      </c>
      <c r="AL72" s="53" t="s">
        <v>130</v>
      </c>
      <c r="AM72" s="29" t="s">
        <v>395</v>
      </c>
      <c r="AN72" s="29">
        <v>2024.0</v>
      </c>
      <c r="AO72" s="37" t="s">
        <v>103</v>
      </c>
      <c r="AP72" s="43" t="s">
        <v>107</v>
      </c>
      <c r="AQ72" s="103" t="s">
        <v>111</v>
      </c>
      <c r="AR72" s="29">
        <v>1.0</v>
      </c>
      <c r="AS72" s="29">
        <v>2024.0</v>
      </c>
      <c r="AT72" s="37" t="s">
        <v>103</v>
      </c>
      <c r="AU72" s="43" t="s">
        <v>107</v>
      </c>
      <c r="AV72" s="34" t="s">
        <v>99</v>
      </c>
      <c r="AW72" s="53" t="s">
        <v>120</v>
      </c>
      <c r="AX72" s="29">
        <v>2023.0</v>
      </c>
      <c r="AY72" s="29">
        <v>0.2</v>
      </c>
      <c r="AZ72" s="37" t="s">
        <v>103</v>
      </c>
      <c r="BA72" s="34" t="s">
        <v>99</v>
      </c>
      <c r="BB72" s="36" t="s">
        <v>103</v>
      </c>
      <c r="BC72" s="54"/>
      <c r="BD72" s="34" t="s">
        <v>122</v>
      </c>
      <c r="BE72" s="36" t="s">
        <v>103</v>
      </c>
      <c r="BF72" s="77"/>
      <c r="BG72" s="77"/>
      <c r="BH72" s="98">
        <f t="shared" si="4"/>
        <v>700</v>
      </c>
      <c r="BI72" s="98">
        <f t="shared" si="2"/>
        <v>2100</v>
      </c>
    </row>
    <row r="73" ht="12.0" customHeight="1">
      <c r="A73" s="29">
        <v>72.0</v>
      </c>
      <c r="B73" s="31">
        <v>46226.51405798611</v>
      </c>
      <c r="C73" s="29" t="s">
        <v>167</v>
      </c>
      <c r="D73" s="77"/>
      <c r="E73" s="29" t="s">
        <v>396</v>
      </c>
      <c r="F73" s="29" t="s">
        <v>397</v>
      </c>
      <c r="G73" s="29" t="s">
        <v>308</v>
      </c>
      <c r="H73" s="32">
        <v>40.0</v>
      </c>
      <c r="I73" s="67" t="s">
        <v>398</v>
      </c>
      <c r="J73" s="73" t="s">
        <v>113</v>
      </c>
      <c r="K73" s="35" t="s">
        <v>101</v>
      </c>
      <c r="L73" s="36" t="s">
        <v>102</v>
      </c>
      <c r="M73" s="32">
        <v>3.2</v>
      </c>
      <c r="N73" s="99" t="s">
        <v>153</v>
      </c>
      <c r="O73" s="38" t="s">
        <v>104</v>
      </c>
      <c r="P73" s="86" t="s">
        <v>190</v>
      </c>
      <c r="Q73" s="79">
        <v>0.0</v>
      </c>
      <c r="R73" s="108" t="s">
        <v>109</v>
      </c>
      <c r="S73" s="86" t="s">
        <v>109</v>
      </c>
      <c r="T73" s="29" t="s">
        <v>399</v>
      </c>
      <c r="U73" s="45" t="s">
        <v>109</v>
      </c>
      <c r="V73" s="45" t="s">
        <v>109</v>
      </c>
      <c r="W73" s="45" t="s">
        <v>109</v>
      </c>
      <c r="X73" s="45" t="s">
        <v>109</v>
      </c>
      <c r="Y73" s="47" t="s">
        <v>109</v>
      </c>
      <c r="Z73" s="48" t="s">
        <v>111</v>
      </c>
      <c r="AA73" s="86" t="s">
        <v>109</v>
      </c>
      <c r="AB73" s="32">
        <v>0.0</v>
      </c>
      <c r="AC73" s="29">
        <v>2020.0</v>
      </c>
      <c r="AD73" s="85" t="s">
        <v>190</v>
      </c>
      <c r="AE73" s="29" t="s">
        <v>400</v>
      </c>
      <c r="AF73" s="45" t="s">
        <v>109</v>
      </c>
      <c r="AG73" s="45" t="s">
        <v>109</v>
      </c>
      <c r="AH73" s="45" t="s">
        <v>109</v>
      </c>
      <c r="AI73" s="45" t="s">
        <v>109</v>
      </c>
      <c r="AJ73" s="47" t="s">
        <v>109</v>
      </c>
      <c r="AK73" s="38" t="s">
        <v>104</v>
      </c>
      <c r="AL73" s="100" t="s">
        <v>191</v>
      </c>
      <c r="AM73" s="32">
        <v>0.0</v>
      </c>
      <c r="AN73" s="77"/>
      <c r="AO73" s="68" t="s">
        <v>143</v>
      </c>
      <c r="AP73" s="33" t="s">
        <v>401</v>
      </c>
      <c r="AQ73" s="103" t="s">
        <v>111</v>
      </c>
      <c r="AR73" s="29">
        <v>0.0</v>
      </c>
      <c r="AS73" s="77"/>
      <c r="AT73" s="68" t="s">
        <v>143</v>
      </c>
      <c r="AU73" s="33" t="s">
        <v>149</v>
      </c>
      <c r="AV73" s="34" t="s">
        <v>99</v>
      </c>
      <c r="AW73" s="53" t="s">
        <v>120</v>
      </c>
      <c r="AX73" s="29">
        <v>2020.0</v>
      </c>
      <c r="AY73" s="29">
        <v>0.15</v>
      </c>
      <c r="AZ73" s="37" t="s">
        <v>103</v>
      </c>
      <c r="BA73" s="34" t="s">
        <v>99</v>
      </c>
      <c r="BB73" s="36" t="s">
        <v>103</v>
      </c>
      <c r="BC73" s="54"/>
      <c r="BD73" s="34" t="s">
        <v>122</v>
      </c>
      <c r="BE73" s="36" t="s">
        <v>103</v>
      </c>
      <c r="BF73" s="77"/>
      <c r="BG73" s="77"/>
      <c r="BH73" s="98">
        <f t="shared" si="4"/>
        <v>0</v>
      </c>
      <c r="BI73" s="98">
        <f t="shared" si="2"/>
        <v>128</v>
      </c>
    </row>
    <row r="74" ht="12.0" customHeight="1">
      <c r="A74" s="29">
        <v>73.0</v>
      </c>
      <c r="B74" s="31">
        <v>46226.51641577546</v>
      </c>
      <c r="C74" s="29" t="s">
        <v>167</v>
      </c>
      <c r="D74" s="77"/>
      <c r="E74" s="29" t="s">
        <v>172</v>
      </c>
      <c r="F74" s="29" t="s">
        <v>200</v>
      </c>
      <c r="G74" s="29" t="s">
        <v>402</v>
      </c>
      <c r="H74" s="32">
        <v>170.0</v>
      </c>
      <c r="I74" s="67" t="s">
        <v>403</v>
      </c>
      <c r="J74" s="105" t="s">
        <v>294</v>
      </c>
      <c r="K74" s="35" t="s">
        <v>101</v>
      </c>
      <c r="L74" s="36" t="s">
        <v>102</v>
      </c>
      <c r="M74" s="32">
        <v>3.0</v>
      </c>
      <c r="N74" s="37" t="s">
        <v>103</v>
      </c>
      <c r="O74" s="38" t="s">
        <v>104</v>
      </c>
      <c r="P74" s="40" t="s">
        <v>105</v>
      </c>
      <c r="Q74" s="32">
        <v>1.0</v>
      </c>
      <c r="R74" s="101">
        <v>2018.0</v>
      </c>
      <c r="S74" s="68" t="s">
        <v>143</v>
      </c>
      <c r="T74" s="29" t="s">
        <v>148</v>
      </c>
      <c r="U74" s="45" t="s">
        <v>109</v>
      </c>
      <c r="V74" s="45" t="s">
        <v>109</v>
      </c>
      <c r="W74" s="45" t="s">
        <v>109</v>
      </c>
      <c r="X74" s="45" t="s">
        <v>109</v>
      </c>
      <c r="Y74" s="47" t="s">
        <v>109</v>
      </c>
      <c r="Z74" s="48" t="s">
        <v>111</v>
      </c>
      <c r="AA74" s="40" t="s">
        <v>105</v>
      </c>
      <c r="AB74" s="32">
        <v>2.0</v>
      </c>
      <c r="AC74" s="29">
        <v>2012.0</v>
      </c>
      <c r="AD74" s="68" t="s">
        <v>143</v>
      </c>
      <c r="AE74" s="29" t="s">
        <v>148</v>
      </c>
      <c r="AF74" s="45" t="s">
        <v>109</v>
      </c>
      <c r="AG74" s="45" t="s">
        <v>109</v>
      </c>
      <c r="AH74" s="45" t="s">
        <v>109</v>
      </c>
      <c r="AI74" s="45" t="s">
        <v>109</v>
      </c>
      <c r="AJ74" s="47" t="s">
        <v>109</v>
      </c>
      <c r="AK74" s="38" t="s">
        <v>104</v>
      </c>
      <c r="AL74" s="36" t="s">
        <v>115</v>
      </c>
      <c r="AM74" s="32">
        <v>0.2</v>
      </c>
      <c r="AN74" s="29">
        <v>2022.0</v>
      </c>
      <c r="AO74" s="37" t="s">
        <v>103</v>
      </c>
      <c r="AP74" s="33" t="s">
        <v>404</v>
      </c>
      <c r="AQ74" s="103" t="s">
        <v>111</v>
      </c>
      <c r="AR74" s="29">
        <v>0.2</v>
      </c>
      <c r="AS74" s="29">
        <v>2022.0</v>
      </c>
      <c r="AT74" s="37" t="s">
        <v>103</v>
      </c>
      <c r="AU74" s="33" t="s">
        <v>405</v>
      </c>
      <c r="AV74" s="34" t="s">
        <v>99</v>
      </c>
      <c r="AW74" s="53" t="s">
        <v>120</v>
      </c>
      <c r="AX74" s="29">
        <v>2022.0</v>
      </c>
      <c r="AY74" s="29">
        <v>0.15</v>
      </c>
      <c r="AZ74" s="37" t="s">
        <v>103</v>
      </c>
      <c r="BA74" s="73" t="s">
        <v>113</v>
      </c>
      <c r="BB74" s="70" t="s">
        <v>153</v>
      </c>
      <c r="BC74" s="33" t="s">
        <v>406</v>
      </c>
      <c r="BD74" s="34" t="s">
        <v>122</v>
      </c>
      <c r="BE74" s="36" t="s">
        <v>103</v>
      </c>
      <c r="BF74" s="77"/>
      <c r="BG74" s="77"/>
      <c r="BH74" s="98">
        <f t="shared" si="4"/>
        <v>170</v>
      </c>
      <c r="BI74" s="98">
        <f t="shared" si="2"/>
        <v>510</v>
      </c>
    </row>
    <row r="75" ht="12.0" customHeight="1">
      <c r="A75" s="29">
        <v>74.0</v>
      </c>
      <c r="B75" s="31">
        <v>46226.52198612269</v>
      </c>
      <c r="C75" s="29" t="s">
        <v>167</v>
      </c>
      <c r="D75" s="77"/>
      <c r="E75" s="29" t="s">
        <v>200</v>
      </c>
      <c r="F75" s="29" t="s">
        <v>407</v>
      </c>
      <c r="G75" s="29" t="s">
        <v>402</v>
      </c>
      <c r="H75" s="32">
        <v>196.0</v>
      </c>
      <c r="I75" s="67" t="s">
        <v>408</v>
      </c>
      <c r="J75" s="34" t="s">
        <v>99</v>
      </c>
      <c r="K75" s="35" t="s">
        <v>101</v>
      </c>
      <c r="L75" s="36" t="s">
        <v>102</v>
      </c>
      <c r="M75" s="32">
        <v>4.5</v>
      </c>
      <c r="N75" s="37" t="s">
        <v>103</v>
      </c>
      <c r="O75" s="38" t="s">
        <v>104</v>
      </c>
      <c r="P75" s="68" t="s">
        <v>152</v>
      </c>
      <c r="Q75" s="32">
        <v>1.5</v>
      </c>
      <c r="R75" s="101">
        <v>2019.0</v>
      </c>
      <c r="S75" s="68" t="s">
        <v>143</v>
      </c>
      <c r="T75" s="29" t="s">
        <v>409</v>
      </c>
      <c r="U75" s="45" t="s">
        <v>109</v>
      </c>
      <c r="V75" s="45" t="s">
        <v>109</v>
      </c>
      <c r="W75" s="45" t="s">
        <v>109</v>
      </c>
      <c r="X75" s="45" t="s">
        <v>109</v>
      </c>
      <c r="Y75" s="47" t="s">
        <v>109</v>
      </c>
      <c r="Z75" s="48" t="s">
        <v>111</v>
      </c>
      <c r="AA75" s="40" t="s">
        <v>105</v>
      </c>
      <c r="AB75" s="32">
        <v>1.2</v>
      </c>
      <c r="AC75" s="29">
        <v>2018.0</v>
      </c>
      <c r="AD75" s="68" t="s">
        <v>143</v>
      </c>
      <c r="AE75" s="29" t="s">
        <v>410</v>
      </c>
      <c r="AF75" s="45" t="s">
        <v>109</v>
      </c>
      <c r="AG75" s="45" t="s">
        <v>109</v>
      </c>
      <c r="AH75" s="45" t="s">
        <v>109</v>
      </c>
      <c r="AI75" s="45" t="s">
        <v>109</v>
      </c>
      <c r="AJ75" s="47" t="s">
        <v>109</v>
      </c>
      <c r="AK75" s="38" t="s">
        <v>104</v>
      </c>
      <c r="AL75" s="36" t="s">
        <v>115</v>
      </c>
      <c r="AM75" s="32">
        <v>0.6</v>
      </c>
      <c r="AN75" s="29">
        <v>2017.0</v>
      </c>
      <c r="AO75" s="37" t="s">
        <v>103</v>
      </c>
      <c r="AP75" s="33" t="s">
        <v>411</v>
      </c>
      <c r="AQ75" s="103" t="s">
        <v>111</v>
      </c>
      <c r="AR75" s="29">
        <v>0.6</v>
      </c>
      <c r="AS75" s="29">
        <v>2017.0</v>
      </c>
      <c r="AT75" s="37" t="s">
        <v>103</v>
      </c>
      <c r="AU75" s="33" t="s">
        <v>412</v>
      </c>
      <c r="AV75" s="34" t="s">
        <v>99</v>
      </c>
      <c r="AW75" s="53" t="s">
        <v>120</v>
      </c>
      <c r="AX75" s="29">
        <v>2023.0</v>
      </c>
      <c r="AY75" s="29">
        <v>0.15</v>
      </c>
      <c r="AZ75" s="37" t="s">
        <v>103</v>
      </c>
      <c r="BA75" s="34" t="s">
        <v>99</v>
      </c>
      <c r="BB75" s="36" t="s">
        <v>103</v>
      </c>
      <c r="BC75" s="54"/>
      <c r="BD75" s="34" t="s">
        <v>122</v>
      </c>
      <c r="BE75" s="36" t="s">
        <v>103</v>
      </c>
      <c r="BF75" s="77"/>
      <c r="BG75" s="77"/>
      <c r="BH75" s="98">
        <f t="shared" si="4"/>
        <v>294</v>
      </c>
      <c r="BI75" s="98">
        <f t="shared" si="2"/>
        <v>882</v>
      </c>
    </row>
    <row r="76" ht="12.0" customHeight="1">
      <c r="A76" s="29">
        <v>75.0</v>
      </c>
      <c r="B76" s="31">
        <v>46226.52374747685</v>
      </c>
      <c r="C76" s="29" t="s">
        <v>167</v>
      </c>
      <c r="D76" s="77"/>
      <c r="E76" s="29" t="s">
        <v>413</v>
      </c>
      <c r="F76" s="29" t="s">
        <v>201</v>
      </c>
      <c r="G76" s="29" t="s">
        <v>308</v>
      </c>
      <c r="H76" s="32">
        <v>300.0</v>
      </c>
      <c r="I76" s="67" t="s">
        <v>414</v>
      </c>
      <c r="J76" s="34" t="s">
        <v>99</v>
      </c>
      <c r="K76" s="110" t="s">
        <v>114</v>
      </c>
      <c r="L76" s="36" t="s">
        <v>102</v>
      </c>
      <c r="M76" s="32">
        <v>6.0</v>
      </c>
      <c r="N76" s="37" t="s">
        <v>103</v>
      </c>
      <c r="O76" s="38" t="s">
        <v>104</v>
      </c>
      <c r="P76" s="40" t="s">
        <v>105</v>
      </c>
      <c r="Q76" s="93" t="s">
        <v>145</v>
      </c>
      <c r="R76" s="108" t="s">
        <v>109</v>
      </c>
      <c r="S76" s="68" t="s">
        <v>143</v>
      </c>
      <c r="T76" s="29" t="s">
        <v>311</v>
      </c>
      <c r="U76" s="45" t="s">
        <v>109</v>
      </c>
      <c r="V76" s="45" t="s">
        <v>109</v>
      </c>
      <c r="W76" s="45" t="s">
        <v>109</v>
      </c>
      <c r="X76" s="45" t="s">
        <v>109</v>
      </c>
      <c r="Y76" s="47" t="s">
        <v>109</v>
      </c>
      <c r="Z76" s="48" t="s">
        <v>111</v>
      </c>
      <c r="AA76" s="86" t="s">
        <v>109</v>
      </c>
      <c r="AB76" s="32">
        <v>0.0</v>
      </c>
      <c r="AC76" s="75" t="s">
        <v>109</v>
      </c>
      <c r="AD76" s="68" t="s">
        <v>143</v>
      </c>
      <c r="AE76" s="29" t="s">
        <v>311</v>
      </c>
      <c r="AF76" s="45" t="s">
        <v>109</v>
      </c>
      <c r="AG76" s="45" t="s">
        <v>109</v>
      </c>
      <c r="AH76" s="45" t="s">
        <v>109</v>
      </c>
      <c r="AI76" s="45" t="s">
        <v>109</v>
      </c>
      <c r="AJ76" s="47" t="s">
        <v>109</v>
      </c>
      <c r="AK76" s="38" t="s">
        <v>104</v>
      </c>
      <c r="AL76" s="68" t="s">
        <v>143</v>
      </c>
      <c r="AM76" s="32">
        <v>0.9</v>
      </c>
      <c r="AN76" s="29">
        <v>20220.0</v>
      </c>
      <c r="AO76" s="68" t="s">
        <v>143</v>
      </c>
      <c r="AP76" s="33" t="s">
        <v>149</v>
      </c>
      <c r="AQ76" s="103" t="s">
        <v>111</v>
      </c>
      <c r="AR76" s="29">
        <v>0.0</v>
      </c>
      <c r="AS76" s="77"/>
      <c r="AT76" s="68" t="s">
        <v>143</v>
      </c>
      <c r="AU76" s="33" t="s">
        <v>149</v>
      </c>
      <c r="AV76" s="34" t="s">
        <v>99</v>
      </c>
      <c r="AW76" s="53" t="s">
        <v>120</v>
      </c>
      <c r="AX76" s="29">
        <v>2020.0</v>
      </c>
      <c r="AY76" s="29">
        <v>0.15</v>
      </c>
      <c r="AZ76" s="37" t="s">
        <v>103</v>
      </c>
      <c r="BA76" s="34" t="s">
        <v>99</v>
      </c>
      <c r="BB76" s="36" t="s">
        <v>103</v>
      </c>
      <c r="BC76" s="54"/>
      <c r="BD76" s="34" t="s">
        <v>122</v>
      </c>
      <c r="BE76" s="36" t="s">
        <v>103</v>
      </c>
      <c r="BF76" s="77"/>
      <c r="BG76" s="77"/>
      <c r="BH76" s="98" t="str">
        <f t="shared" si="4"/>
        <v>#VALUE!</v>
      </c>
      <c r="BI76" s="98">
        <f t="shared" si="2"/>
        <v>1800</v>
      </c>
    </row>
    <row r="77" ht="12.0" customHeight="1">
      <c r="A77" s="29">
        <v>76.0</v>
      </c>
      <c r="B77" s="31">
        <v>46226.526909849534</v>
      </c>
      <c r="C77" s="29" t="s">
        <v>167</v>
      </c>
      <c r="D77" s="77"/>
      <c r="E77" s="29" t="s">
        <v>200</v>
      </c>
      <c r="F77" s="29" t="s">
        <v>286</v>
      </c>
      <c r="G77" s="29" t="s">
        <v>415</v>
      </c>
      <c r="H77" s="32">
        <v>200.0</v>
      </c>
      <c r="I77" s="67" t="s">
        <v>416</v>
      </c>
      <c r="J77" s="34" t="s">
        <v>99</v>
      </c>
      <c r="K77" s="35" t="s">
        <v>101</v>
      </c>
      <c r="L77" s="36" t="s">
        <v>102</v>
      </c>
      <c r="M77" s="32">
        <v>6.0</v>
      </c>
      <c r="N77" s="37" t="s">
        <v>103</v>
      </c>
      <c r="O77" s="65" t="s">
        <v>117</v>
      </c>
      <c r="P77" s="40" t="s">
        <v>105</v>
      </c>
      <c r="Q77" s="32">
        <v>1.0</v>
      </c>
      <c r="R77" s="101">
        <v>2018.0</v>
      </c>
      <c r="S77" s="68" t="s">
        <v>143</v>
      </c>
      <c r="T77" s="29" t="s">
        <v>410</v>
      </c>
      <c r="U77" s="45" t="s">
        <v>109</v>
      </c>
      <c r="V77" s="45" t="s">
        <v>109</v>
      </c>
      <c r="W77" s="45" t="s">
        <v>109</v>
      </c>
      <c r="X77" s="45" t="s">
        <v>109</v>
      </c>
      <c r="Y77" s="47" t="s">
        <v>109</v>
      </c>
      <c r="Z77" s="66" t="s">
        <v>136</v>
      </c>
      <c r="AA77" s="40" t="s">
        <v>105</v>
      </c>
      <c r="AB77" s="32">
        <v>1.5</v>
      </c>
      <c r="AC77" s="29">
        <v>2013.0</v>
      </c>
      <c r="AD77" s="68" t="s">
        <v>143</v>
      </c>
      <c r="AE77" s="29" t="s">
        <v>410</v>
      </c>
      <c r="AF77" s="45" t="s">
        <v>109</v>
      </c>
      <c r="AG77" s="45" t="s">
        <v>109</v>
      </c>
      <c r="AH77" s="45" t="s">
        <v>109</v>
      </c>
      <c r="AI77" s="45" t="s">
        <v>109</v>
      </c>
      <c r="AJ77" s="47" t="s">
        <v>109</v>
      </c>
      <c r="AK77" s="65" t="s">
        <v>117</v>
      </c>
      <c r="AL77" s="36" t="s">
        <v>115</v>
      </c>
      <c r="AM77" s="32">
        <v>0.6</v>
      </c>
      <c r="AN77" s="29">
        <v>2019.0</v>
      </c>
      <c r="AO77" s="37" t="s">
        <v>103</v>
      </c>
      <c r="AP77" s="43" t="s">
        <v>107</v>
      </c>
      <c r="AQ77" s="103" t="s">
        <v>136</v>
      </c>
      <c r="AR77" s="29">
        <v>0.6</v>
      </c>
      <c r="AS77" s="29">
        <v>2019.0</v>
      </c>
      <c r="AT77" s="37" t="s">
        <v>103</v>
      </c>
      <c r="AU77" s="43" t="s">
        <v>107</v>
      </c>
      <c r="AV77" s="34" t="s">
        <v>99</v>
      </c>
      <c r="AW77" s="53" t="s">
        <v>120</v>
      </c>
      <c r="AX77" s="29">
        <v>2013.0</v>
      </c>
      <c r="AY77" s="29">
        <v>0.15</v>
      </c>
      <c r="AZ77" s="37" t="s">
        <v>103</v>
      </c>
      <c r="BA77" s="34" t="s">
        <v>99</v>
      </c>
      <c r="BB77" s="36" t="s">
        <v>103</v>
      </c>
      <c r="BC77" s="54"/>
      <c r="BD77" s="34" t="s">
        <v>122</v>
      </c>
      <c r="BE77" s="36" t="s">
        <v>103</v>
      </c>
      <c r="BF77" s="77"/>
      <c r="BG77" s="77"/>
      <c r="BH77" s="98">
        <f t="shared" si="4"/>
        <v>200</v>
      </c>
      <c r="BI77" s="98">
        <f t="shared" si="2"/>
        <v>1200</v>
      </c>
    </row>
    <row r="78" ht="12.0" customHeight="1">
      <c r="A78" s="29">
        <v>77.0</v>
      </c>
      <c r="B78" s="31">
        <v>46226.55932126158</v>
      </c>
      <c r="C78" s="29" t="s">
        <v>167</v>
      </c>
      <c r="D78" s="77"/>
      <c r="E78" s="29" t="s">
        <v>363</v>
      </c>
      <c r="F78" s="29" t="s">
        <v>200</v>
      </c>
      <c r="G78" s="29" t="s">
        <v>140</v>
      </c>
      <c r="H78" s="32">
        <v>350.0</v>
      </c>
      <c r="I78" s="67" t="s">
        <v>417</v>
      </c>
      <c r="J78" s="34" t="s">
        <v>99</v>
      </c>
      <c r="K78" s="74" t="s">
        <v>165</v>
      </c>
      <c r="L78" s="36" t="s">
        <v>102</v>
      </c>
      <c r="M78" s="32">
        <v>6.0</v>
      </c>
      <c r="N78" s="37" t="s">
        <v>103</v>
      </c>
      <c r="O78" s="65" t="s">
        <v>117</v>
      </c>
      <c r="P78" s="40" t="s">
        <v>105</v>
      </c>
      <c r="Q78" s="32">
        <v>2.0</v>
      </c>
      <c r="R78" s="101">
        <v>2019.0</v>
      </c>
      <c r="S78" s="36" t="s">
        <v>103</v>
      </c>
      <c r="T78" s="43" t="s">
        <v>107</v>
      </c>
      <c r="U78" s="45" t="s">
        <v>109</v>
      </c>
      <c r="V78" s="45" t="s">
        <v>109</v>
      </c>
      <c r="W78" s="45" t="s">
        <v>109</v>
      </c>
      <c r="X78" s="45" t="s">
        <v>109</v>
      </c>
      <c r="Y78" s="47" t="s">
        <v>109</v>
      </c>
      <c r="Z78" s="66" t="s">
        <v>136</v>
      </c>
      <c r="AA78" s="40" t="s">
        <v>105</v>
      </c>
      <c r="AB78" s="32">
        <v>2.0</v>
      </c>
      <c r="AC78" s="29">
        <v>2019.0</v>
      </c>
      <c r="AD78" s="36" t="s">
        <v>103</v>
      </c>
      <c r="AE78" s="43" t="s">
        <v>107</v>
      </c>
      <c r="AF78" s="45" t="s">
        <v>109</v>
      </c>
      <c r="AG78" s="45" t="s">
        <v>109</v>
      </c>
      <c r="AH78" s="45" t="s">
        <v>109</v>
      </c>
      <c r="AI78" s="45" t="s">
        <v>109</v>
      </c>
      <c r="AJ78" s="47" t="s">
        <v>109</v>
      </c>
      <c r="AK78" s="65" t="s">
        <v>117</v>
      </c>
      <c r="AL78" s="36" t="s">
        <v>115</v>
      </c>
      <c r="AM78" s="32">
        <v>1.0</v>
      </c>
      <c r="AN78" s="29">
        <v>2014.0</v>
      </c>
      <c r="AO78" s="37" t="s">
        <v>103</v>
      </c>
      <c r="AP78" s="43" t="s">
        <v>107</v>
      </c>
      <c r="AQ78" s="103" t="s">
        <v>136</v>
      </c>
      <c r="AR78" s="29">
        <v>1.0</v>
      </c>
      <c r="AS78" s="29">
        <v>2014.0</v>
      </c>
      <c r="AT78" s="37" t="s">
        <v>103</v>
      </c>
      <c r="AU78" s="43" t="s">
        <v>107</v>
      </c>
      <c r="AV78" s="34" t="s">
        <v>99</v>
      </c>
      <c r="AW78" s="53" t="s">
        <v>120</v>
      </c>
      <c r="AX78" s="29">
        <v>2014.0</v>
      </c>
      <c r="AY78" s="29">
        <v>0.2</v>
      </c>
      <c r="AZ78" s="37" t="s">
        <v>103</v>
      </c>
      <c r="BA78" s="34" t="s">
        <v>99</v>
      </c>
      <c r="BB78" s="36" t="s">
        <v>103</v>
      </c>
      <c r="BC78" s="54"/>
      <c r="BD78" s="34" t="s">
        <v>122</v>
      </c>
      <c r="BE78" s="36" t="s">
        <v>103</v>
      </c>
      <c r="BF78" s="77"/>
      <c r="BG78" s="77"/>
      <c r="BH78" s="98">
        <f t="shared" si="4"/>
        <v>700</v>
      </c>
      <c r="BI78" s="98">
        <f t="shared" si="2"/>
        <v>2100</v>
      </c>
    </row>
    <row r="79" ht="12.0" customHeight="1">
      <c r="A79" s="29">
        <v>78.0</v>
      </c>
      <c r="B79" s="31">
        <v>46226.561554155094</v>
      </c>
      <c r="C79" s="29" t="s">
        <v>167</v>
      </c>
      <c r="D79" s="77"/>
      <c r="E79" s="29" t="s">
        <v>418</v>
      </c>
      <c r="F79" s="29" t="s">
        <v>419</v>
      </c>
      <c r="G79" s="29" t="s">
        <v>420</v>
      </c>
      <c r="H79" s="32">
        <v>30.0</v>
      </c>
      <c r="I79" s="67" t="s">
        <v>421</v>
      </c>
      <c r="J79" s="73" t="s">
        <v>113</v>
      </c>
      <c r="K79" s="35" t="s">
        <v>101</v>
      </c>
      <c r="L79" s="36" t="s">
        <v>102</v>
      </c>
      <c r="M79" s="32">
        <v>3.0</v>
      </c>
      <c r="N79" s="37" t="s">
        <v>103</v>
      </c>
      <c r="O79" s="38" t="s">
        <v>104</v>
      </c>
      <c r="P79" s="68" t="s">
        <v>152</v>
      </c>
      <c r="Q79" s="79">
        <v>0.0</v>
      </c>
      <c r="R79" s="108" t="s">
        <v>109</v>
      </c>
      <c r="S79" s="68" t="s">
        <v>143</v>
      </c>
      <c r="T79" s="29" t="s">
        <v>148</v>
      </c>
      <c r="U79" s="45" t="s">
        <v>109</v>
      </c>
      <c r="V79" s="45" t="s">
        <v>109</v>
      </c>
      <c r="W79" s="45" t="s">
        <v>109</v>
      </c>
      <c r="X79" s="45" t="s">
        <v>109</v>
      </c>
      <c r="Y79" s="47" t="s">
        <v>109</v>
      </c>
      <c r="Z79" s="48" t="s">
        <v>111</v>
      </c>
      <c r="AA79" s="111" t="s">
        <v>109</v>
      </c>
      <c r="AB79" s="93" t="s">
        <v>145</v>
      </c>
      <c r="AC79" s="83"/>
      <c r="AD79" s="68" t="s">
        <v>143</v>
      </c>
      <c r="AE79" s="112" t="s">
        <v>148</v>
      </c>
      <c r="AF79" s="45" t="s">
        <v>109</v>
      </c>
      <c r="AG79" s="45" t="s">
        <v>109</v>
      </c>
      <c r="AH79" s="45" t="s">
        <v>109</v>
      </c>
      <c r="AI79" s="45" t="s">
        <v>109</v>
      </c>
      <c r="AJ79" s="47" t="s">
        <v>109</v>
      </c>
      <c r="AK79" s="38" t="s">
        <v>104</v>
      </c>
      <c r="AL79" s="68" t="s">
        <v>143</v>
      </c>
      <c r="AM79" s="32">
        <v>0.0</v>
      </c>
      <c r="AN79" s="77"/>
      <c r="AO79" s="68" t="s">
        <v>143</v>
      </c>
      <c r="AP79" s="33" t="s">
        <v>149</v>
      </c>
      <c r="AQ79" s="103" t="s">
        <v>111</v>
      </c>
      <c r="AR79" s="29">
        <v>0.0</v>
      </c>
      <c r="AS79" s="77"/>
      <c r="AT79" s="68" t="s">
        <v>143</v>
      </c>
      <c r="AU79" s="33" t="s">
        <v>149</v>
      </c>
      <c r="AV79" s="34" t="s">
        <v>99</v>
      </c>
      <c r="AW79" s="53" t="s">
        <v>120</v>
      </c>
      <c r="AX79" s="29">
        <v>2022.0</v>
      </c>
      <c r="AY79" s="29">
        <v>0.15</v>
      </c>
      <c r="AZ79" s="37" t="s">
        <v>103</v>
      </c>
      <c r="BA79" s="34" t="s">
        <v>99</v>
      </c>
      <c r="BB79" s="36" t="s">
        <v>103</v>
      </c>
      <c r="BC79" s="54"/>
      <c r="BD79" s="73" t="s">
        <v>143</v>
      </c>
      <c r="BE79" s="68" t="s">
        <v>143</v>
      </c>
      <c r="BF79" s="77"/>
      <c r="BG79" s="29" t="s">
        <v>310</v>
      </c>
      <c r="BH79" s="76">
        <f t="shared" si="4"/>
        <v>0</v>
      </c>
      <c r="BI79" s="76">
        <f t="shared" si="2"/>
        <v>90</v>
      </c>
    </row>
    <row r="80" ht="12.0" customHeight="1">
      <c r="A80" s="29">
        <v>79.0</v>
      </c>
      <c r="B80" s="31">
        <v>46226.562145</v>
      </c>
      <c r="C80" s="29" t="s">
        <v>167</v>
      </c>
      <c r="D80" s="77"/>
      <c r="E80" s="29" t="s">
        <v>422</v>
      </c>
      <c r="F80" s="29" t="s">
        <v>423</v>
      </c>
      <c r="G80" s="29" t="s">
        <v>305</v>
      </c>
      <c r="H80" s="32">
        <v>750.0</v>
      </c>
      <c r="I80" s="67" t="s">
        <v>424</v>
      </c>
      <c r="J80" s="34" t="s">
        <v>99</v>
      </c>
      <c r="K80" s="74" t="s">
        <v>165</v>
      </c>
      <c r="L80" s="36" t="s">
        <v>102</v>
      </c>
      <c r="M80" s="32">
        <v>9.0</v>
      </c>
      <c r="N80" s="37" t="s">
        <v>103</v>
      </c>
      <c r="O80" s="65" t="s">
        <v>117</v>
      </c>
      <c r="P80" s="40" t="s">
        <v>105</v>
      </c>
      <c r="Q80" s="32">
        <v>2.5</v>
      </c>
      <c r="R80" s="101">
        <v>2020.0</v>
      </c>
      <c r="S80" s="35" t="s">
        <v>153</v>
      </c>
      <c r="T80" s="43" t="s">
        <v>107</v>
      </c>
      <c r="U80" s="78" t="s">
        <v>118</v>
      </c>
      <c r="V80" s="29">
        <v>1.5</v>
      </c>
      <c r="W80" s="29">
        <v>2020.0</v>
      </c>
      <c r="X80" s="36" t="s">
        <v>103</v>
      </c>
      <c r="Y80" s="54"/>
      <c r="Z80" s="66" t="s">
        <v>136</v>
      </c>
      <c r="AA80" s="40" t="s">
        <v>105</v>
      </c>
      <c r="AB80" s="32">
        <v>2.5</v>
      </c>
      <c r="AC80" s="29">
        <v>2020.0</v>
      </c>
      <c r="AD80" s="35" t="s">
        <v>153</v>
      </c>
      <c r="AE80" s="43" t="s">
        <v>107</v>
      </c>
      <c r="AF80" s="78" t="s">
        <v>118</v>
      </c>
      <c r="AG80" s="29">
        <v>1.5</v>
      </c>
      <c r="AH80" s="29">
        <v>2020.0</v>
      </c>
      <c r="AI80" s="36" t="s">
        <v>103</v>
      </c>
      <c r="AJ80" s="47" t="s">
        <v>109</v>
      </c>
      <c r="AK80" s="65" t="s">
        <v>117</v>
      </c>
      <c r="AL80" s="53" t="s">
        <v>130</v>
      </c>
      <c r="AM80" s="32">
        <v>1.0</v>
      </c>
      <c r="AN80" s="29">
        <v>2020.0</v>
      </c>
      <c r="AO80" s="37" t="s">
        <v>103</v>
      </c>
      <c r="AP80" s="43" t="s">
        <v>107</v>
      </c>
      <c r="AQ80" s="103" t="s">
        <v>136</v>
      </c>
      <c r="AR80" s="29">
        <v>1.0</v>
      </c>
      <c r="AS80" s="29">
        <v>2020.0</v>
      </c>
      <c r="AT80" s="37" t="s">
        <v>103</v>
      </c>
      <c r="AU80" s="43" t="s">
        <v>107</v>
      </c>
      <c r="AV80" s="34" t="s">
        <v>99</v>
      </c>
      <c r="AW80" s="53" t="s">
        <v>120</v>
      </c>
      <c r="AX80" s="77"/>
      <c r="AY80" s="29">
        <v>0.2</v>
      </c>
      <c r="AZ80" s="37" t="s">
        <v>103</v>
      </c>
      <c r="BA80" s="34" t="s">
        <v>99</v>
      </c>
      <c r="BB80" s="36" t="s">
        <v>103</v>
      </c>
      <c r="BC80" s="54"/>
      <c r="BD80" s="34" t="s">
        <v>122</v>
      </c>
      <c r="BE80" s="36" t="s">
        <v>103</v>
      </c>
      <c r="BF80" s="77"/>
      <c r="BG80" s="77"/>
      <c r="BH80" s="98">
        <f t="shared" si="4"/>
        <v>1875</v>
      </c>
      <c r="BI80" s="98">
        <f t="shared" si="2"/>
        <v>6750</v>
      </c>
    </row>
    <row r="81" ht="12.0" customHeight="1">
      <c r="A81" s="29">
        <v>80.0</v>
      </c>
      <c r="B81" s="31">
        <v>46226.56504973379</v>
      </c>
      <c r="C81" s="29" t="s">
        <v>167</v>
      </c>
      <c r="D81" s="77"/>
      <c r="E81" s="29" t="s">
        <v>356</v>
      </c>
      <c r="F81" s="29" t="s">
        <v>425</v>
      </c>
      <c r="G81" s="29" t="s">
        <v>426</v>
      </c>
      <c r="H81" s="32">
        <v>40.0</v>
      </c>
      <c r="I81" s="67" t="s">
        <v>427</v>
      </c>
      <c r="J81" s="73" t="s">
        <v>113</v>
      </c>
      <c r="K81" s="35" t="s">
        <v>101</v>
      </c>
      <c r="L81" s="36" t="s">
        <v>102</v>
      </c>
      <c r="M81" s="32">
        <v>3.0</v>
      </c>
      <c r="N81" s="37" t="s">
        <v>103</v>
      </c>
      <c r="O81" s="38" t="s">
        <v>104</v>
      </c>
      <c r="P81" s="68" t="s">
        <v>152</v>
      </c>
      <c r="Q81" s="79">
        <v>0.0</v>
      </c>
      <c r="R81" s="108" t="s">
        <v>109</v>
      </c>
      <c r="S81" s="68" t="s">
        <v>143</v>
      </c>
      <c r="T81" s="29" t="s">
        <v>148</v>
      </c>
      <c r="U81" s="45" t="s">
        <v>109</v>
      </c>
      <c r="V81" s="45" t="s">
        <v>109</v>
      </c>
      <c r="W81" s="45" t="s">
        <v>109</v>
      </c>
      <c r="X81" s="45" t="s">
        <v>109</v>
      </c>
      <c r="Y81" s="47" t="s">
        <v>109</v>
      </c>
      <c r="Z81" s="48" t="s">
        <v>111</v>
      </c>
      <c r="AA81" s="86" t="s">
        <v>109</v>
      </c>
      <c r="AB81" s="32">
        <v>0.0</v>
      </c>
      <c r="AC81" s="75" t="s">
        <v>109</v>
      </c>
      <c r="AD81" s="68" t="s">
        <v>143</v>
      </c>
      <c r="AE81" s="29" t="s">
        <v>148</v>
      </c>
      <c r="AF81" s="45" t="s">
        <v>109</v>
      </c>
      <c r="AG81" s="45" t="s">
        <v>109</v>
      </c>
      <c r="AH81" s="45" t="s">
        <v>109</v>
      </c>
      <c r="AI81" s="45" t="s">
        <v>109</v>
      </c>
      <c r="AJ81" s="47" t="s">
        <v>109</v>
      </c>
      <c r="AK81" s="38" t="s">
        <v>104</v>
      </c>
      <c r="AL81" s="68" t="s">
        <v>143</v>
      </c>
      <c r="AM81" s="32">
        <v>0.0</v>
      </c>
      <c r="AN81" s="77"/>
      <c r="AO81" s="68" t="s">
        <v>143</v>
      </c>
      <c r="AP81" s="33" t="s">
        <v>149</v>
      </c>
      <c r="AQ81" s="103" t="s">
        <v>111</v>
      </c>
      <c r="AR81" s="29">
        <v>0.0</v>
      </c>
      <c r="AS81" s="77"/>
      <c r="AT81" s="68" t="s">
        <v>143</v>
      </c>
      <c r="AU81" s="33" t="s">
        <v>149</v>
      </c>
      <c r="AV81" s="34" t="s">
        <v>99</v>
      </c>
      <c r="AW81" s="53" t="s">
        <v>120</v>
      </c>
      <c r="AX81" s="29">
        <v>2020.0</v>
      </c>
      <c r="AY81" s="29">
        <v>0.15</v>
      </c>
      <c r="AZ81" s="37" t="s">
        <v>103</v>
      </c>
      <c r="BA81" s="34" t="s">
        <v>99</v>
      </c>
      <c r="BB81" s="36" t="s">
        <v>103</v>
      </c>
      <c r="BC81" s="54"/>
      <c r="BD81" s="34" t="s">
        <v>122</v>
      </c>
      <c r="BE81" s="36" t="s">
        <v>103</v>
      </c>
      <c r="BF81" s="77"/>
      <c r="BG81" s="77"/>
      <c r="BH81" s="98">
        <f t="shared" si="4"/>
        <v>0</v>
      </c>
      <c r="BI81" s="98">
        <f t="shared" si="2"/>
        <v>120</v>
      </c>
    </row>
    <row r="82" ht="12.0" customHeight="1">
      <c r="A82" s="29">
        <v>81.0</v>
      </c>
      <c r="B82" s="31">
        <v>46226.5706165625</v>
      </c>
      <c r="C82" s="29" t="s">
        <v>167</v>
      </c>
      <c r="D82" s="77"/>
      <c r="E82" s="29" t="s">
        <v>356</v>
      </c>
      <c r="F82" s="29" t="s">
        <v>428</v>
      </c>
      <c r="G82" s="29" t="s">
        <v>429</v>
      </c>
      <c r="H82" s="32">
        <v>40.0</v>
      </c>
      <c r="I82" s="67" t="s">
        <v>430</v>
      </c>
      <c r="J82" s="73" t="s">
        <v>113</v>
      </c>
      <c r="K82" s="35" t="s">
        <v>101</v>
      </c>
      <c r="L82" s="36" t="s">
        <v>102</v>
      </c>
      <c r="M82" s="32">
        <v>3.0</v>
      </c>
      <c r="N82" s="37" t="s">
        <v>103</v>
      </c>
      <c r="O82" s="38" t="s">
        <v>104</v>
      </c>
      <c r="P82" s="68" t="s">
        <v>152</v>
      </c>
      <c r="Q82" s="32">
        <v>2.5</v>
      </c>
      <c r="R82" s="108" t="s">
        <v>109</v>
      </c>
      <c r="S82" s="68" t="s">
        <v>143</v>
      </c>
      <c r="T82" s="29" t="s">
        <v>346</v>
      </c>
      <c r="U82" s="45" t="s">
        <v>109</v>
      </c>
      <c r="V82" s="45" t="s">
        <v>109</v>
      </c>
      <c r="W82" s="45" t="s">
        <v>109</v>
      </c>
      <c r="X82" s="45" t="s">
        <v>109</v>
      </c>
      <c r="Y82" s="47" t="s">
        <v>109</v>
      </c>
      <c r="Z82" s="48" t="s">
        <v>111</v>
      </c>
      <c r="AA82" s="68" t="s">
        <v>152</v>
      </c>
      <c r="AB82" s="32">
        <v>2.0</v>
      </c>
      <c r="AC82" s="75" t="s">
        <v>109</v>
      </c>
      <c r="AD82" s="68" t="s">
        <v>143</v>
      </c>
      <c r="AE82" s="29" t="s">
        <v>346</v>
      </c>
      <c r="AF82" s="45" t="s">
        <v>109</v>
      </c>
      <c r="AG82" s="45" t="s">
        <v>109</v>
      </c>
      <c r="AH82" s="45" t="s">
        <v>109</v>
      </c>
      <c r="AI82" s="45" t="s">
        <v>109</v>
      </c>
      <c r="AJ82" s="47" t="s">
        <v>109</v>
      </c>
      <c r="AK82" s="38" t="s">
        <v>104</v>
      </c>
      <c r="AL82" s="68" t="s">
        <v>143</v>
      </c>
      <c r="AM82" s="32">
        <v>0.0</v>
      </c>
      <c r="AN82" s="77"/>
      <c r="AO82" s="68" t="s">
        <v>143</v>
      </c>
      <c r="AP82" s="33" t="s">
        <v>149</v>
      </c>
      <c r="AQ82" s="103" t="s">
        <v>111</v>
      </c>
      <c r="AR82" s="29">
        <v>0.0</v>
      </c>
      <c r="AS82" s="77"/>
      <c r="AT82" s="68" t="s">
        <v>143</v>
      </c>
      <c r="AU82" s="33" t="s">
        <v>149</v>
      </c>
      <c r="AV82" s="34" t="s">
        <v>99</v>
      </c>
      <c r="AW82" s="53" t="s">
        <v>120</v>
      </c>
      <c r="AX82" s="29">
        <v>2020.0</v>
      </c>
      <c r="AY82" s="29">
        <v>0.15</v>
      </c>
      <c r="AZ82" s="37" t="s">
        <v>103</v>
      </c>
      <c r="BA82" s="34" t="s">
        <v>99</v>
      </c>
      <c r="BB82" s="36" t="s">
        <v>103</v>
      </c>
      <c r="BC82" s="54"/>
      <c r="BD82" s="73" t="s">
        <v>143</v>
      </c>
      <c r="BE82" s="68" t="s">
        <v>143</v>
      </c>
      <c r="BF82" s="77"/>
      <c r="BG82" s="29" t="s">
        <v>431</v>
      </c>
      <c r="BH82" s="76">
        <f t="shared" si="4"/>
        <v>100</v>
      </c>
      <c r="BI82" s="76">
        <f t="shared" si="2"/>
        <v>120</v>
      </c>
    </row>
    <row r="83" ht="12.0" customHeight="1">
      <c r="A83" s="29">
        <v>82.0</v>
      </c>
      <c r="B83" s="31">
        <v>46226.581582280094</v>
      </c>
      <c r="C83" s="29" t="s">
        <v>167</v>
      </c>
      <c r="D83" s="77"/>
      <c r="E83" s="29" t="s">
        <v>200</v>
      </c>
      <c r="F83" s="29" t="s">
        <v>200</v>
      </c>
      <c r="G83" s="29" t="s">
        <v>432</v>
      </c>
      <c r="H83" s="32">
        <v>520.0</v>
      </c>
      <c r="I83" s="67" t="s">
        <v>433</v>
      </c>
      <c r="J83" s="73" t="s">
        <v>113</v>
      </c>
      <c r="K83" s="74" t="s">
        <v>165</v>
      </c>
      <c r="L83" s="36" t="s">
        <v>102</v>
      </c>
      <c r="M83" s="92"/>
      <c r="N83" s="37" t="s">
        <v>103</v>
      </c>
      <c r="O83" s="38" t="s">
        <v>104</v>
      </c>
      <c r="P83" s="40" t="s">
        <v>105</v>
      </c>
      <c r="Q83" s="32">
        <v>4.1</v>
      </c>
      <c r="R83" s="101">
        <v>2014.0</v>
      </c>
      <c r="S83" s="36" t="s">
        <v>103</v>
      </c>
      <c r="T83" s="43" t="s">
        <v>107</v>
      </c>
      <c r="U83" s="45" t="s">
        <v>109</v>
      </c>
      <c r="V83" s="45" t="s">
        <v>109</v>
      </c>
      <c r="W83" s="45" t="s">
        <v>109</v>
      </c>
      <c r="X83" s="45" t="s">
        <v>109</v>
      </c>
      <c r="Y83" s="47" t="s">
        <v>109</v>
      </c>
      <c r="Z83" s="48" t="s">
        <v>111</v>
      </c>
      <c r="AA83" s="40" t="s">
        <v>105</v>
      </c>
      <c r="AB83" s="32">
        <v>2.0</v>
      </c>
      <c r="AC83" s="29">
        <v>2014.0</v>
      </c>
      <c r="AD83" s="36" t="s">
        <v>103</v>
      </c>
      <c r="AE83" s="43" t="s">
        <v>107</v>
      </c>
      <c r="AF83" s="45" t="s">
        <v>109</v>
      </c>
      <c r="AG83" s="45" t="s">
        <v>109</v>
      </c>
      <c r="AH83" s="45" t="s">
        <v>109</v>
      </c>
      <c r="AI83" s="45" t="s">
        <v>109</v>
      </c>
      <c r="AJ83" s="47" t="s">
        <v>109</v>
      </c>
      <c r="AK83" s="38" t="s">
        <v>104</v>
      </c>
      <c r="AL83" s="36" t="s">
        <v>115</v>
      </c>
      <c r="AM83" s="32">
        <v>1.2</v>
      </c>
      <c r="AN83" s="29">
        <v>2017.0</v>
      </c>
      <c r="AO83" s="37" t="s">
        <v>103</v>
      </c>
      <c r="AP83" s="43" t="s">
        <v>107</v>
      </c>
      <c r="AQ83" s="103" t="s">
        <v>111</v>
      </c>
      <c r="AR83" s="29">
        <v>1.9</v>
      </c>
      <c r="AS83" s="29">
        <v>2017.0</v>
      </c>
      <c r="AT83" s="37" t="s">
        <v>103</v>
      </c>
      <c r="AU83" s="43" t="s">
        <v>107</v>
      </c>
      <c r="AV83" s="34" t="s">
        <v>99</v>
      </c>
      <c r="AW83" s="53" t="s">
        <v>120</v>
      </c>
      <c r="AX83" s="29">
        <v>2012.0</v>
      </c>
      <c r="AY83" s="29">
        <v>0.2</v>
      </c>
      <c r="AZ83" s="37" t="s">
        <v>103</v>
      </c>
      <c r="BA83" s="73" t="s">
        <v>113</v>
      </c>
      <c r="BB83" s="45" t="s">
        <v>109</v>
      </c>
      <c r="BC83" s="54"/>
      <c r="BD83" s="34" t="s">
        <v>122</v>
      </c>
      <c r="BE83" s="36" t="s">
        <v>103</v>
      </c>
      <c r="BF83" s="77"/>
      <c r="BG83" s="77"/>
      <c r="BH83" s="98">
        <f t="shared" si="4"/>
        <v>2132</v>
      </c>
      <c r="BI83" s="98">
        <f t="shared" si="2"/>
        <v>0</v>
      </c>
    </row>
    <row r="84" ht="12.0" hidden="1" customHeight="1">
      <c r="A84" s="113">
        <v>77.0</v>
      </c>
      <c r="B84" s="59"/>
      <c r="C84" s="58"/>
      <c r="D84" s="58"/>
      <c r="E84" s="58"/>
      <c r="F84" s="58"/>
      <c r="G84" s="58"/>
      <c r="H84" s="60"/>
      <c r="I84" s="61"/>
      <c r="J84" s="114"/>
      <c r="K84" s="115"/>
      <c r="L84" s="116"/>
      <c r="M84" s="60"/>
      <c r="N84" s="117"/>
      <c r="O84" s="118"/>
      <c r="P84" s="58"/>
      <c r="Q84" s="60"/>
      <c r="R84" s="62"/>
      <c r="S84" s="58"/>
      <c r="T84" s="58"/>
      <c r="U84" s="119"/>
      <c r="V84" s="119"/>
      <c r="W84" s="119"/>
      <c r="X84" s="119"/>
      <c r="Y84" s="64"/>
      <c r="Z84" s="120"/>
      <c r="AA84" s="58"/>
      <c r="AB84" s="60"/>
      <c r="AC84" s="63"/>
      <c r="AD84" s="58"/>
      <c r="AE84" s="119"/>
      <c r="AF84" s="119"/>
      <c r="AG84" s="119"/>
      <c r="AH84" s="119"/>
      <c r="AI84" s="119"/>
      <c r="AJ84" s="64"/>
      <c r="AK84" s="120"/>
      <c r="AL84" s="58"/>
      <c r="AM84" s="60"/>
      <c r="AN84" s="119"/>
      <c r="AO84" s="58"/>
      <c r="AP84" s="61"/>
      <c r="AQ84" s="120"/>
      <c r="AR84" s="58"/>
      <c r="AS84" s="63"/>
      <c r="AT84" s="58"/>
      <c r="AU84" s="61"/>
      <c r="AV84" s="120"/>
      <c r="AW84" s="58"/>
      <c r="AX84" s="63"/>
      <c r="AY84" s="58"/>
      <c r="AZ84" s="61"/>
      <c r="BA84" s="120"/>
      <c r="BB84" s="58"/>
      <c r="BC84" s="64"/>
      <c r="BD84" s="120"/>
      <c r="BE84" s="61"/>
      <c r="BF84" s="56"/>
      <c r="BG84" s="56"/>
      <c r="BH84" s="56">
        <f t="shared" si="4"/>
        <v>0</v>
      </c>
      <c r="BI84" s="56">
        <f t="shared" si="2"/>
        <v>0</v>
      </c>
      <c r="BJ84" s="57"/>
      <c r="BK84" s="57"/>
      <c r="BL84" s="57"/>
      <c r="BM84" s="57"/>
    </row>
    <row r="85" ht="12.0" hidden="1" customHeight="1">
      <c r="A85" s="113">
        <v>78.0</v>
      </c>
      <c r="B85" s="59"/>
      <c r="C85" s="58"/>
      <c r="D85" s="58"/>
      <c r="E85" s="58"/>
      <c r="F85" s="58"/>
      <c r="G85" s="58"/>
      <c r="H85" s="60"/>
      <c r="I85" s="61"/>
      <c r="J85" s="114"/>
      <c r="K85" s="115"/>
      <c r="L85" s="116"/>
      <c r="M85" s="60"/>
      <c r="N85" s="117"/>
      <c r="O85" s="118"/>
      <c r="P85" s="58"/>
      <c r="Q85" s="60"/>
      <c r="R85" s="62"/>
      <c r="S85" s="58"/>
      <c r="T85" s="58"/>
      <c r="U85" s="119"/>
      <c r="V85" s="119"/>
      <c r="W85" s="119"/>
      <c r="X85" s="119"/>
      <c r="Y85" s="64"/>
      <c r="Z85" s="120"/>
      <c r="AA85" s="58"/>
      <c r="AB85" s="60"/>
      <c r="AC85" s="63"/>
      <c r="AD85" s="58"/>
      <c r="AE85" s="119"/>
      <c r="AF85" s="119"/>
      <c r="AG85" s="119"/>
      <c r="AH85" s="119"/>
      <c r="AI85" s="119"/>
      <c r="AJ85" s="64"/>
      <c r="AK85" s="120"/>
      <c r="AL85" s="58"/>
      <c r="AM85" s="60"/>
      <c r="AN85" s="119"/>
      <c r="AO85" s="58"/>
      <c r="AP85" s="61"/>
      <c r="AQ85" s="120"/>
      <c r="AR85" s="58"/>
      <c r="AS85" s="63"/>
      <c r="AT85" s="58"/>
      <c r="AU85" s="61"/>
      <c r="AV85" s="120"/>
      <c r="AW85" s="58"/>
      <c r="AX85" s="63"/>
      <c r="AY85" s="58"/>
      <c r="AZ85" s="61"/>
      <c r="BA85" s="120"/>
      <c r="BB85" s="58"/>
      <c r="BC85" s="64"/>
      <c r="BD85" s="120"/>
      <c r="BE85" s="61"/>
      <c r="BF85" s="56"/>
      <c r="BG85" s="56"/>
      <c r="BH85" s="56">
        <f t="shared" si="4"/>
        <v>0</v>
      </c>
      <c r="BI85" s="56">
        <f t="shared" si="2"/>
        <v>0</v>
      </c>
      <c r="BJ85" s="57"/>
      <c r="BK85" s="57"/>
      <c r="BL85" s="57"/>
      <c r="BM85" s="57"/>
    </row>
    <row r="86" ht="12.0" hidden="1" customHeight="1">
      <c r="A86" s="113">
        <v>47.0</v>
      </c>
      <c r="B86" s="59"/>
      <c r="C86" s="58"/>
      <c r="D86" s="58"/>
      <c r="E86" s="58"/>
      <c r="F86" s="58"/>
      <c r="G86" s="58"/>
      <c r="H86" s="60"/>
      <c r="I86" s="61"/>
      <c r="J86" s="114"/>
      <c r="K86" s="115"/>
      <c r="L86" s="116"/>
      <c r="M86" s="60"/>
      <c r="N86" s="117"/>
      <c r="O86" s="118"/>
      <c r="P86" s="58"/>
      <c r="Q86" s="60"/>
      <c r="R86" s="62"/>
      <c r="S86" s="58"/>
      <c r="T86" s="58"/>
      <c r="U86" s="119"/>
      <c r="V86" s="119"/>
      <c r="W86" s="119"/>
      <c r="X86" s="119"/>
      <c r="Y86" s="64"/>
      <c r="Z86" s="120"/>
      <c r="AA86" s="58"/>
      <c r="AB86" s="60"/>
      <c r="AC86" s="63"/>
      <c r="AD86" s="58"/>
      <c r="AE86" s="119"/>
      <c r="AF86" s="119"/>
      <c r="AG86" s="119"/>
      <c r="AH86" s="119"/>
      <c r="AI86" s="119"/>
      <c r="AJ86" s="64"/>
      <c r="AK86" s="120"/>
      <c r="AL86" s="58"/>
      <c r="AM86" s="60"/>
      <c r="AN86" s="119"/>
      <c r="AO86" s="58"/>
      <c r="AP86" s="61"/>
      <c r="AQ86" s="120"/>
      <c r="AR86" s="58"/>
      <c r="AS86" s="63"/>
      <c r="AT86" s="58"/>
      <c r="AU86" s="61"/>
      <c r="AV86" s="120"/>
      <c r="AW86" s="58"/>
      <c r="AX86" s="63"/>
      <c r="AY86" s="58"/>
      <c r="AZ86" s="61"/>
      <c r="BA86" s="120"/>
      <c r="BB86" s="58"/>
      <c r="BC86" s="64"/>
      <c r="BD86" s="120"/>
      <c r="BE86" s="61"/>
      <c r="BF86" s="56"/>
      <c r="BG86" s="56"/>
      <c r="BH86" s="56">
        <f t="shared" si="4"/>
        <v>0</v>
      </c>
      <c r="BI86" s="56">
        <f t="shared" si="2"/>
        <v>0</v>
      </c>
      <c r="BJ86" s="57"/>
      <c r="BK86" s="57"/>
      <c r="BL86" s="57"/>
      <c r="BM86" s="57"/>
    </row>
    <row r="87" ht="12.0" hidden="1" customHeight="1">
      <c r="A87" s="113">
        <v>48.0</v>
      </c>
      <c r="B87" s="59"/>
      <c r="C87" s="58"/>
      <c r="D87" s="58"/>
      <c r="E87" s="58"/>
      <c r="F87" s="58"/>
      <c r="G87" s="58"/>
      <c r="H87" s="60"/>
      <c r="I87" s="61"/>
      <c r="J87" s="114"/>
      <c r="K87" s="115"/>
      <c r="L87" s="116"/>
      <c r="M87" s="60"/>
      <c r="N87" s="117"/>
      <c r="O87" s="118"/>
      <c r="P87" s="58"/>
      <c r="Q87" s="60"/>
      <c r="R87" s="62"/>
      <c r="S87" s="58"/>
      <c r="T87" s="58"/>
      <c r="U87" s="119"/>
      <c r="V87" s="119"/>
      <c r="W87" s="119"/>
      <c r="X87" s="119"/>
      <c r="Y87" s="64"/>
      <c r="Z87" s="120"/>
      <c r="AA87" s="58"/>
      <c r="AB87" s="60"/>
      <c r="AC87" s="63"/>
      <c r="AD87" s="58"/>
      <c r="AE87" s="119"/>
      <c r="AF87" s="119"/>
      <c r="AG87" s="119"/>
      <c r="AH87" s="119"/>
      <c r="AI87" s="119"/>
      <c r="AJ87" s="64"/>
      <c r="AK87" s="120"/>
      <c r="AL87" s="58"/>
      <c r="AM87" s="60"/>
      <c r="AN87" s="119"/>
      <c r="AO87" s="58"/>
      <c r="AP87" s="61"/>
      <c r="AQ87" s="120"/>
      <c r="AR87" s="58"/>
      <c r="AS87" s="63"/>
      <c r="AT87" s="58"/>
      <c r="AU87" s="61"/>
      <c r="AV87" s="120"/>
      <c r="AW87" s="58"/>
      <c r="AX87" s="63"/>
      <c r="AY87" s="58"/>
      <c r="AZ87" s="61"/>
      <c r="BA87" s="120"/>
      <c r="BB87" s="58"/>
      <c r="BC87" s="64"/>
      <c r="BD87" s="120"/>
      <c r="BE87" s="61"/>
      <c r="BF87" s="56"/>
      <c r="BG87" s="56"/>
      <c r="BH87" s="56">
        <f t="shared" si="4"/>
        <v>0</v>
      </c>
      <c r="BI87" s="56">
        <f t="shared" si="2"/>
        <v>0</v>
      </c>
      <c r="BJ87" s="57"/>
      <c r="BK87" s="57"/>
      <c r="BL87" s="57"/>
      <c r="BM87" s="57"/>
    </row>
    <row r="88" ht="12.0" hidden="1" customHeight="1">
      <c r="A88" s="113">
        <v>49.0</v>
      </c>
      <c r="B88" s="59"/>
      <c r="C88" s="58"/>
      <c r="D88" s="58"/>
      <c r="E88" s="58"/>
      <c r="F88" s="58"/>
      <c r="G88" s="58"/>
      <c r="H88" s="60"/>
      <c r="I88" s="61"/>
      <c r="J88" s="114"/>
      <c r="K88" s="115"/>
      <c r="L88" s="116"/>
      <c r="M88" s="60"/>
      <c r="N88" s="117"/>
      <c r="O88" s="118"/>
      <c r="P88" s="58"/>
      <c r="Q88" s="60"/>
      <c r="R88" s="62"/>
      <c r="S88" s="58"/>
      <c r="T88" s="58"/>
      <c r="U88" s="119"/>
      <c r="V88" s="119"/>
      <c r="W88" s="119"/>
      <c r="X88" s="119"/>
      <c r="Y88" s="64"/>
      <c r="Z88" s="120"/>
      <c r="AA88" s="58"/>
      <c r="AB88" s="60"/>
      <c r="AC88" s="63"/>
      <c r="AD88" s="58"/>
      <c r="AE88" s="119"/>
      <c r="AF88" s="119"/>
      <c r="AG88" s="119"/>
      <c r="AH88" s="119"/>
      <c r="AI88" s="119"/>
      <c r="AJ88" s="64"/>
      <c r="AK88" s="120"/>
      <c r="AL88" s="58"/>
      <c r="AM88" s="60"/>
      <c r="AN88" s="119"/>
      <c r="AO88" s="58"/>
      <c r="AP88" s="61"/>
      <c r="AQ88" s="120"/>
      <c r="AR88" s="58"/>
      <c r="AS88" s="63"/>
      <c r="AT88" s="58"/>
      <c r="AU88" s="61"/>
      <c r="AV88" s="120"/>
      <c r="AW88" s="58"/>
      <c r="AX88" s="63"/>
      <c r="AY88" s="58"/>
      <c r="AZ88" s="61"/>
      <c r="BA88" s="120"/>
      <c r="BB88" s="58"/>
      <c r="BC88" s="64"/>
      <c r="BD88" s="120"/>
      <c r="BE88" s="61"/>
      <c r="BF88" s="56"/>
      <c r="BG88" s="56"/>
      <c r="BH88" s="56">
        <f t="shared" si="4"/>
        <v>0</v>
      </c>
      <c r="BI88" s="56">
        <f t="shared" si="2"/>
        <v>0</v>
      </c>
      <c r="BJ88" s="57"/>
      <c r="BK88" s="57"/>
      <c r="BL88" s="57"/>
      <c r="BM88" s="57"/>
    </row>
    <row r="89" ht="12.0" hidden="1" customHeight="1">
      <c r="A89" s="113">
        <v>50.0</v>
      </c>
      <c r="B89" s="59"/>
      <c r="C89" s="58"/>
      <c r="D89" s="58"/>
      <c r="E89" s="58"/>
      <c r="F89" s="58"/>
      <c r="G89" s="58"/>
      <c r="H89" s="60"/>
      <c r="I89" s="61"/>
      <c r="J89" s="114"/>
      <c r="K89" s="115"/>
      <c r="L89" s="116"/>
      <c r="M89" s="60"/>
      <c r="N89" s="117"/>
      <c r="O89" s="118"/>
      <c r="P89" s="58"/>
      <c r="Q89" s="60"/>
      <c r="R89" s="62"/>
      <c r="S89" s="58"/>
      <c r="T89" s="58"/>
      <c r="U89" s="119"/>
      <c r="V89" s="119"/>
      <c r="W89" s="119"/>
      <c r="X89" s="119"/>
      <c r="Y89" s="64"/>
      <c r="Z89" s="120"/>
      <c r="AA89" s="58"/>
      <c r="AB89" s="60"/>
      <c r="AC89" s="63"/>
      <c r="AD89" s="58"/>
      <c r="AE89" s="119"/>
      <c r="AF89" s="119"/>
      <c r="AG89" s="119"/>
      <c r="AH89" s="119"/>
      <c r="AI89" s="119"/>
      <c r="AJ89" s="64"/>
      <c r="AK89" s="120"/>
      <c r="AL89" s="58"/>
      <c r="AM89" s="60"/>
      <c r="AN89" s="119"/>
      <c r="AO89" s="58"/>
      <c r="AP89" s="61"/>
      <c r="AQ89" s="120"/>
      <c r="AR89" s="58"/>
      <c r="AS89" s="63"/>
      <c r="AT89" s="58"/>
      <c r="AU89" s="61"/>
      <c r="AV89" s="120"/>
      <c r="AW89" s="58"/>
      <c r="AX89" s="63"/>
      <c r="AY89" s="58"/>
      <c r="AZ89" s="61"/>
      <c r="BA89" s="120"/>
      <c r="BB89" s="58"/>
      <c r="BC89" s="64"/>
      <c r="BD89" s="120"/>
      <c r="BE89" s="61"/>
      <c r="BF89" s="56"/>
      <c r="BG89" s="56"/>
      <c r="BH89" s="56">
        <f t="shared" si="4"/>
        <v>0</v>
      </c>
      <c r="BI89" s="56">
        <f t="shared" si="2"/>
        <v>0</v>
      </c>
      <c r="BJ89" s="57"/>
      <c r="BK89" s="57"/>
      <c r="BL89" s="57"/>
      <c r="BM89" s="57"/>
    </row>
    <row r="90" ht="12.0" hidden="1" customHeight="1">
      <c r="A90" s="113">
        <v>51.0</v>
      </c>
      <c r="B90" s="59"/>
      <c r="C90" s="58"/>
      <c r="D90" s="58"/>
      <c r="E90" s="58"/>
      <c r="F90" s="58"/>
      <c r="G90" s="58"/>
      <c r="H90" s="60"/>
      <c r="I90" s="61"/>
      <c r="J90" s="114"/>
      <c r="K90" s="115"/>
      <c r="L90" s="116"/>
      <c r="M90" s="60"/>
      <c r="N90" s="117"/>
      <c r="O90" s="118"/>
      <c r="P90" s="58"/>
      <c r="Q90" s="60"/>
      <c r="R90" s="62"/>
      <c r="S90" s="58"/>
      <c r="T90" s="58"/>
      <c r="U90" s="119"/>
      <c r="V90" s="119"/>
      <c r="W90" s="119"/>
      <c r="X90" s="119"/>
      <c r="Y90" s="64"/>
      <c r="Z90" s="120"/>
      <c r="AA90" s="58"/>
      <c r="AB90" s="60"/>
      <c r="AC90" s="63"/>
      <c r="AD90" s="58"/>
      <c r="AE90" s="119"/>
      <c r="AF90" s="119"/>
      <c r="AG90" s="119"/>
      <c r="AH90" s="119"/>
      <c r="AI90" s="119"/>
      <c r="AJ90" s="64"/>
      <c r="AK90" s="120"/>
      <c r="AL90" s="58"/>
      <c r="AM90" s="60"/>
      <c r="AN90" s="119"/>
      <c r="AO90" s="58"/>
      <c r="AP90" s="61"/>
      <c r="AQ90" s="120"/>
      <c r="AR90" s="58"/>
      <c r="AS90" s="63"/>
      <c r="AT90" s="58"/>
      <c r="AU90" s="61"/>
      <c r="AV90" s="120"/>
      <c r="AW90" s="58"/>
      <c r="AX90" s="63"/>
      <c r="AY90" s="58"/>
      <c r="AZ90" s="61"/>
      <c r="BA90" s="120"/>
      <c r="BB90" s="58"/>
      <c r="BC90" s="64"/>
      <c r="BD90" s="120"/>
      <c r="BE90" s="61"/>
      <c r="BF90" s="56"/>
      <c r="BG90" s="56"/>
      <c r="BH90" s="56">
        <f t="shared" si="4"/>
        <v>0</v>
      </c>
      <c r="BI90" s="56">
        <f t="shared" si="2"/>
        <v>0</v>
      </c>
      <c r="BJ90" s="57"/>
      <c r="BK90" s="57"/>
      <c r="BL90" s="57"/>
      <c r="BM90" s="57"/>
    </row>
    <row r="91" ht="12.0" hidden="1" customHeight="1">
      <c r="A91" s="113">
        <v>52.0</v>
      </c>
      <c r="B91" s="59"/>
      <c r="C91" s="58"/>
      <c r="D91" s="58"/>
      <c r="E91" s="58"/>
      <c r="F91" s="58"/>
      <c r="G91" s="58"/>
      <c r="H91" s="60"/>
      <c r="I91" s="61"/>
      <c r="J91" s="114"/>
      <c r="K91" s="115"/>
      <c r="L91" s="116"/>
      <c r="M91" s="60"/>
      <c r="N91" s="117"/>
      <c r="O91" s="118"/>
      <c r="P91" s="58"/>
      <c r="Q91" s="60"/>
      <c r="R91" s="62"/>
      <c r="S91" s="58"/>
      <c r="T91" s="58"/>
      <c r="U91" s="119"/>
      <c r="V91" s="119"/>
      <c r="W91" s="119"/>
      <c r="X91" s="119"/>
      <c r="Y91" s="64"/>
      <c r="Z91" s="120"/>
      <c r="AA91" s="58"/>
      <c r="AB91" s="60"/>
      <c r="AC91" s="63"/>
      <c r="AD91" s="58"/>
      <c r="AE91" s="119"/>
      <c r="AF91" s="119"/>
      <c r="AG91" s="119"/>
      <c r="AH91" s="119"/>
      <c r="AI91" s="119"/>
      <c r="AJ91" s="64"/>
      <c r="AK91" s="120"/>
      <c r="AL91" s="58"/>
      <c r="AM91" s="60"/>
      <c r="AN91" s="119"/>
      <c r="AO91" s="58"/>
      <c r="AP91" s="61"/>
      <c r="AQ91" s="120"/>
      <c r="AR91" s="58"/>
      <c r="AS91" s="63"/>
      <c r="AT91" s="58"/>
      <c r="AU91" s="61"/>
      <c r="AV91" s="120"/>
      <c r="AW91" s="58"/>
      <c r="AX91" s="63"/>
      <c r="AY91" s="58"/>
      <c r="AZ91" s="61"/>
      <c r="BA91" s="120"/>
      <c r="BB91" s="58"/>
      <c r="BC91" s="64"/>
      <c r="BD91" s="120"/>
      <c r="BE91" s="61"/>
      <c r="BF91" s="56"/>
      <c r="BG91" s="56"/>
      <c r="BH91" s="56">
        <f t="shared" si="4"/>
        <v>0</v>
      </c>
      <c r="BI91" s="56">
        <f t="shared" si="2"/>
        <v>0</v>
      </c>
      <c r="BJ91" s="57"/>
      <c r="BK91" s="57"/>
      <c r="BL91" s="57"/>
      <c r="BM91" s="57"/>
    </row>
    <row r="92" ht="12.0" hidden="1" customHeight="1">
      <c r="A92" s="113">
        <v>53.0</v>
      </c>
      <c r="B92" s="59"/>
      <c r="C92" s="58"/>
      <c r="D92" s="58"/>
      <c r="E92" s="58"/>
      <c r="F92" s="58"/>
      <c r="G92" s="58"/>
      <c r="H92" s="60"/>
      <c r="I92" s="61"/>
      <c r="J92" s="114"/>
      <c r="K92" s="115"/>
      <c r="L92" s="116"/>
      <c r="M92" s="60"/>
      <c r="N92" s="117"/>
      <c r="O92" s="118"/>
      <c r="P92" s="58"/>
      <c r="Q92" s="60"/>
      <c r="R92" s="62"/>
      <c r="S92" s="58"/>
      <c r="T92" s="58"/>
      <c r="U92" s="119"/>
      <c r="V92" s="119"/>
      <c r="W92" s="119"/>
      <c r="X92" s="119"/>
      <c r="Y92" s="64"/>
      <c r="Z92" s="120"/>
      <c r="AA92" s="58"/>
      <c r="AB92" s="60"/>
      <c r="AC92" s="63"/>
      <c r="AD92" s="58"/>
      <c r="AE92" s="119"/>
      <c r="AF92" s="119"/>
      <c r="AG92" s="119"/>
      <c r="AH92" s="119"/>
      <c r="AI92" s="119"/>
      <c r="AJ92" s="64"/>
      <c r="AK92" s="120"/>
      <c r="AL92" s="58"/>
      <c r="AM92" s="60"/>
      <c r="AN92" s="119"/>
      <c r="AO92" s="58"/>
      <c r="AP92" s="61"/>
      <c r="AQ92" s="120"/>
      <c r="AR92" s="58"/>
      <c r="AS92" s="63"/>
      <c r="AT92" s="58"/>
      <c r="AU92" s="61"/>
      <c r="AV92" s="120"/>
      <c r="AW92" s="58"/>
      <c r="AX92" s="63"/>
      <c r="AY92" s="58"/>
      <c r="AZ92" s="61"/>
      <c r="BA92" s="120"/>
      <c r="BB92" s="58"/>
      <c r="BC92" s="64"/>
      <c r="BD92" s="120"/>
      <c r="BE92" s="61"/>
      <c r="BF92" s="56"/>
      <c r="BG92" s="56"/>
      <c r="BH92" s="56">
        <f t="shared" si="4"/>
        <v>0</v>
      </c>
      <c r="BI92" s="56">
        <f t="shared" si="2"/>
        <v>0</v>
      </c>
      <c r="BJ92" s="57"/>
      <c r="BK92" s="57"/>
      <c r="BL92" s="57"/>
      <c r="BM92" s="57"/>
    </row>
    <row r="93" ht="12.0" hidden="1" customHeight="1">
      <c r="A93" s="113">
        <v>54.0</v>
      </c>
      <c r="B93" s="59"/>
      <c r="C93" s="58"/>
      <c r="D93" s="58"/>
      <c r="E93" s="58"/>
      <c r="F93" s="58"/>
      <c r="G93" s="58"/>
      <c r="H93" s="60"/>
      <c r="I93" s="61"/>
      <c r="J93" s="114"/>
      <c r="K93" s="115"/>
      <c r="L93" s="116"/>
      <c r="M93" s="60"/>
      <c r="N93" s="117"/>
      <c r="O93" s="118"/>
      <c r="P93" s="58"/>
      <c r="Q93" s="60"/>
      <c r="R93" s="62"/>
      <c r="S93" s="58"/>
      <c r="T93" s="58"/>
      <c r="U93" s="119"/>
      <c r="V93" s="119"/>
      <c r="W93" s="119"/>
      <c r="X93" s="119"/>
      <c r="Y93" s="64"/>
      <c r="Z93" s="120"/>
      <c r="AA93" s="58"/>
      <c r="AB93" s="60"/>
      <c r="AC93" s="63"/>
      <c r="AD93" s="58"/>
      <c r="AE93" s="119"/>
      <c r="AF93" s="119"/>
      <c r="AG93" s="119"/>
      <c r="AH93" s="119"/>
      <c r="AI93" s="119"/>
      <c r="AJ93" s="64"/>
      <c r="AK93" s="120"/>
      <c r="AL93" s="58"/>
      <c r="AM93" s="60"/>
      <c r="AN93" s="119"/>
      <c r="AO93" s="58"/>
      <c r="AP93" s="61"/>
      <c r="AQ93" s="120"/>
      <c r="AR93" s="58"/>
      <c r="AS93" s="63"/>
      <c r="AT93" s="58"/>
      <c r="AU93" s="61"/>
      <c r="AV93" s="120"/>
      <c r="AW93" s="58"/>
      <c r="AX93" s="63"/>
      <c r="AY93" s="58"/>
      <c r="AZ93" s="61"/>
      <c r="BA93" s="120"/>
      <c r="BB93" s="58"/>
      <c r="BC93" s="64"/>
      <c r="BD93" s="120"/>
      <c r="BE93" s="61"/>
      <c r="BF93" s="56"/>
      <c r="BG93" s="56"/>
      <c r="BH93" s="56">
        <f t="shared" si="4"/>
        <v>0</v>
      </c>
      <c r="BI93" s="56">
        <f t="shared" si="2"/>
        <v>0</v>
      </c>
      <c r="BJ93" s="57"/>
      <c r="BK93" s="57"/>
      <c r="BL93" s="57"/>
      <c r="BM93" s="57"/>
    </row>
    <row r="94" ht="12.0" hidden="1" customHeight="1">
      <c r="A94" s="113">
        <v>55.0</v>
      </c>
      <c r="B94" s="59"/>
      <c r="C94" s="58"/>
      <c r="D94" s="58"/>
      <c r="E94" s="58"/>
      <c r="F94" s="58"/>
      <c r="G94" s="58"/>
      <c r="H94" s="60"/>
      <c r="I94" s="61"/>
      <c r="J94" s="114"/>
      <c r="K94" s="115"/>
      <c r="L94" s="116"/>
      <c r="M94" s="60"/>
      <c r="N94" s="117"/>
      <c r="O94" s="118"/>
      <c r="P94" s="58"/>
      <c r="Q94" s="60"/>
      <c r="R94" s="62"/>
      <c r="S94" s="58"/>
      <c r="T94" s="58"/>
      <c r="U94" s="119"/>
      <c r="V94" s="119"/>
      <c r="W94" s="119"/>
      <c r="X94" s="119"/>
      <c r="Y94" s="64"/>
      <c r="Z94" s="120"/>
      <c r="AA94" s="58"/>
      <c r="AB94" s="60"/>
      <c r="AC94" s="63"/>
      <c r="AD94" s="58"/>
      <c r="AE94" s="119"/>
      <c r="AF94" s="119"/>
      <c r="AG94" s="119"/>
      <c r="AH94" s="119"/>
      <c r="AI94" s="119"/>
      <c r="AJ94" s="64"/>
      <c r="AK94" s="120"/>
      <c r="AL94" s="58"/>
      <c r="AM94" s="60"/>
      <c r="AN94" s="119"/>
      <c r="AO94" s="58"/>
      <c r="AP94" s="61"/>
      <c r="AQ94" s="120"/>
      <c r="AR94" s="58"/>
      <c r="AS94" s="63"/>
      <c r="AT94" s="58"/>
      <c r="AU94" s="61"/>
      <c r="AV94" s="120"/>
      <c r="AW94" s="58"/>
      <c r="AX94" s="63"/>
      <c r="AY94" s="58"/>
      <c r="AZ94" s="61"/>
      <c r="BA94" s="120"/>
      <c r="BB94" s="58"/>
      <c r="BC94" s="64"/>
      <c r="BD94" s="120"/>
      <c r="BE94" s="61"/>
      <c r="BF94" s="56"/>
      <c r="BG94" s="56"/>
      <c r="BH94" s="56">
        <f t="shared" si="4"/>
        <v>0</v>
      </c>
      <c r="BI94" s="56">
        <f t="shared" si="2"/>
        <v>0</v>
      </c>
      <c r="BJ94" s="57"/>
      <c r="BK94" s="57"/>
      <c r="BL94" s="57"/>
      <c r="BM94" s="57"/>
    </row>
    <row r="95" ht="12.0" hidden="1" customHeight="1">
      <c r="A95" s="113">
        <v>56.0</v>
      </c>
      <c r="B95" s="59"/>
      <c r="C95" s="58"/>
      <c r="D95" s="58"/>
      <c r="E95" s="58"/>
      <c r="F95" s="58"/>
      <c r="G95" s="58"/>
      <c r="H95" s="60"/>
      <c r="I95" s="61"/>
      <c r="J95" s="114"/>
      <c r="K95" s="115"/>
      <c r="L95" s="116"/>
      <c r="M95" s="60"/>
      <c r="N95" s="117"/>
      <c r="O95" s="118"/>
      <c r="P95" s="58"/>
      <c r="Q95" s="60"/>
      <c r="R95" s="62"/>
      <c r="S95" s="58"/>
      <c r="T95" s="58"/>
      <c r="U95" s="119"/>
      <c r="V95" s="119"/>
      <c r="W95" s="119"/>
      <c r="X95" s="119"/>
      <c r="Y95" s="64"/>
      <c r="Z95" s="120"/>
      <c r="AA95" s="58"/>
      <c r="AB95" s="60"/>
      <c r="AC95" s="63"/>
      <c r="AD95" s="58"/>
      <c r="AE95" s="119"/>
      <c r="AF95" s="119"/>
      <c r="AG95" s="119"/>
      <c r="AH95" s="119"/>
      <c r="AI95" s="119"/>
      <c r="AJ95" s="64"/>
      <c r="AK95" s="120"/>
      <c r="AL95" s="58"/>
      <c r="AM95" s="60"/>
      <c r="AN95" s="119"/>
      <c r="AO95" s="58"/>
      <c r="AP95" s="61"/>
      <c r="AQ95" s="120"/>
      <c r="AR95" s="58"/>
      <c r="AS95" s="63"/>
      <c r="AT95" s="58"/>
      <c r="AU95" s="61"/>
      <c r="AV95" s="120"/>
      <c r="AW95" s="58"/>
      <c r="AX95" s="63"/>
      <c r="AY95" s="58"/>
      <c r="AZ95" s="61"/>
      <c r="BA95" s="120"/>
      <c r="BB95" s="58"/>
      <c r="BC95" s="64"/>
      <c r="BD95" s="120"/>
      <c r="BE95" s="61"/>
      <c r="BF95" s="56"/>
      <c r="BG95" s="56"/>
      <c r="BH95" s="56">
        <f t="shared" si="4"/>
        <v>0</v>
      </c>
      <c r="BI95" s="56">
        <f t="shared" si="2"/>
        <v>0</v>
      </c>
      <c r="BJ95" s="57"/>
      <c r="BK95" s="57"/>
      <c r="BL95" s="57"/>
      <c r="BM95" s="57"/>
    </row>
    <row r="96" ht="12.0" hidden="1" customHeight="1">
      <c r="A96" s="113">
        <v>57.0</v>
      </c>
      <c r="B96" s="59"/>
      <c r="C96" s="58"/>
      <c r="D96" s="58"/>
      <c r="E96" s="58"/>
      <c r="F96" s="58"/>
      <c r="G96" s="58"/>
      <c r="H96" s="60"/>
      <c r="I96" s="61"/>
      <c r="J96" s="114"/>
      <c r="K96" s="115"/>
      <c r="L96" s="116"/>
      <c r="M96" s="60"/>
      <c r="N96" s="117"/>
      <c r="O96" s="118"/>
      <c r="P96" s="58"/>
      <c r="Q96" s="60"/>
      <c r="R96" s="62"/>
      <c r="S96" s="58"/>
      <c r="T96" s="58"/>
      <c r="U96" s="119"/>
      <c r="V96" s="119"/>
      <c r="W96" s="119"/>
      <c r="X96" s="119"/>
      <c r="Y96" s="64"/>
      <c r="Z96" s="120"/>
      <c r="AA96" s="58"/>
      <c r="AB96" s="60"/>
      <c r="AC96" s="63"/>
      <c r="AD96" s="58"/>
      <c r="AE96" s="119"/>
      <c r="AF96" s="119"/>
      <c r="AG96" s="119"/>
      <c r="AH96" s="119"/>
      <c r="AI96" s="119"/>
      <c r="AJ96" s="64"/>
      <c r="AK96" s="120"/>
      <c r="AL96" s="58"/>
      <c r="AM96" s="60"/>
      <c r="AN96" s="119"/>
      <c r="AO96" s="58"/>
      <c r="AP96" s="61"/>
      <c r="AQ96" s="120"/>
      <c r="AR96" s="58"/>
      <c r="AS96" s="63"/>
      <c r="AT96" s="58"/>
      <c r="AU96" s="61"/>
      <c r="AV96" s="120"/>
      <c r="AW96" s="58"/>
      <c r="AX96" s="63"/>
      <c r="AY96" s="58"/>
      <c r="AZ96" s="61"/>
      <c r="BA96" s="120"/>
      <c r="BB96" s="58"/>
      <c r="BC96" s="64"/>
      <c r="BD96" s="120"/>
      <c r="BE96" s="61"/>
      <c r="BF96" s="56"/>
      <c r="BG96" s="56"/>
      <c r="BH96" s="56">
        <f t="shared" si="4"/>
        <v>0</v>
      </c>
      <c r="BI96" s="56">
        <f t="shared" si="2"/>
        <v>0</v>
      </c>
      <c r="BJ96" s="57"/>
      <c r="BK96" s="57"/>
      <c r="BL96" s="57"/>
      <c r="BM96" s="57"/>
    </row>
    <row r="97" ht="12.0" hidden="1" customHeight="1">
      <c r="A97" s="113">
        <v>58.0</v>
      </c>
      <c r="B97" s="59"/>
      <c r="C97" s="58"/>
      <c r="D97" s="58"/>
      <c r="E97" s="58"/>
      <c r="F97" s="58"/>
      <c r="G97" s="58"/>
      <c r="H97" s="60"/>
      <c r="I97" s="61"/>
      <c r="J97" s="114"/>
      <c r="K97" s="115"/>
      <c r="L97" s="116"/>
      <c r="M97" s="60"/>
      <c r="N97" s="117"/>
      <c r="O97" s="118"/>
      <c r="P97" s="58"/>
      <c r="Q97" s="60"/>
      <c r="R97" s="62"/>
      <c r="S97" s="58"/>
      <c r="T97" s="58"/>
      <c r="U97" s="119"/>
      <c r="V97" s="119"/>
      <c r="W97" s="119"/>
      <c r="X97" s="119"/>
      <c r="Y97" s="64"/>
      <c r="Z97" s="120"/>
      <c r="AA97" s="58"/>
      <c r="AB97" s="60"/>
      <c r="AC97" s="63"/>
      <c r="AD97" s="58"/>
      <c r="AE97" s="119"/>
      <c r="AF97" s="119"/>
      <c r="AG97" s="119"/>
      <c r="AH97" s="119"/>
      <c r="AI97" s="119"/>
      <c r="AJ97" s="64"/>
      <c r="AK97" s="120"/>
      <c r="AL97" s="58"/>
      <c r="AM97" s="60"/>
      <c r="AN97" s="119"/>
      <c r="AO97" s="58"/>
      <c r="AP97" s="61"/>
      <c r="AQ97" s="120"/>
      <c r="AR97" s="58"/>
      <c r="AS97" s="63"/>
      <c r="AT97" s="58"/>
      <c r="AU97" s="61"/>
      <c r="AV97" s="120"/>
      <c r="AW97" s="58"/>
      <c r="AX97" s="63"/>
      <c r="AY97" s="58"/>
      <c r="AZ97" s="61"/>
      <c r="BA97" s="120"/>
      <c r="BB97" s="58"/>
      <c r="BC97" s="64"/>
      <c r="BD97" s="120"/>
      <c r="BE97" s="61"/>
      <c r="BF97" s="56"/>
      <c r="BG97" s="56"/>
      <c r="BH97" s="56">
        <f t="shared" si="4"/>
        <v>0</v>
      </c>
      <c r="BI97" s="56">
        <f t="shared" si="2"/>
        <v>0</v>
      </c>
      <c r="BJ97" s="57"/>
      <c r="BK97" s="57"/>
      <c r="BL97" s="57"/>
      <c r="BM97" s="57"/>
    </row>
    <row r="98" ht="12.0" hidden="1" customHeight="1">
      <c r="A98" s="113">
        <v>59.0</v>
      </c>
      <c r="B98" s="59"/>
      <c r="C98" s="58"/>
      <c r="D98" s="58"/>
      <c r="E98" s="58"/>
      <c r="F98" s="58"/>
      <c r="G98" s="58"/>
      <c r="H98" s="60"/>
      <c r="I98" s="61"/>
      <c r="J98" s="114"/>
      <c r="K98" s="115"/>
      <c r="L98" s="116"/>
      <c r="M98" s="60"/>
      <c r="N98" s="117"/>
      <c r="O98" s="118"/>
      <c r="P98" s="58"/>
      <c r="Q98" s="60"/>
      <c r="R98" s="62"/>
      <c r="S98" s="58"/>
      <c r="T98" s="58"/>
      <c r="U98" s="119"/>
      <c r="V98" s="119"/>
      <c r="W98" s="119"/>
      <c r="X98" s="119"/>
      <c r="Y98" s="64"/>
      <c r="Z98" s="120"/>
      <c r="AA98" s="58"/>
      <c r="AB98" s="60"/>
      <c r="AC98" s="63"/>
      <c r="AD98" s="58"/>
      <c r="AE98" s="119"/>
      <c r="AF98" s="119"/>
      <c r="AG98" s="119"/>
      <c r="AH98" s="119"/>
      <c r="AI98" s="119"/>
      <c r="AJ98" s="64"/>
      <c r="AK98" s="120"/>
      <c r="AL98" s="58"/>
      <c r="AM98" s="60"/>
      <c r="AN98" s="119"/>
      <c r="AO98" s="58"/>
      <c r="AP98" s="61"/>
      <c r="AQ98" s="120"/>
      <c r="AR98" s="58"/>
      <c r="AS98" s="63"/>
      <c r="AT98" s="58"/>
      <c r="AU98" s="61"/>
      <c r="AV98" s="120"/>
      <c r="AW98" s="58"/>
      <c r="AX98" s="63"/>
      <c r="AY98" s="58"/>
      <c r="AZ98" s="61"/>
      <c r="BA98" s="120"/>
      <c r="BB98" s="58"/>
      <c r="BC98" s="64"/>
      <c r="BD98" s="120"/>
      <c r="BE98" s="61"/>
      <c r="BF98" s="56"/>
      <c r="BG98" s="56"/>
      <c r="BH98" s="56">
        <f t="shared" si="4"/>
        <v>0</v>
      </c>
      <c r="BI98" s="56">
        <f t="shared" si="2"/>
        <v>0</v>
      </c>
      <c r="BJ98" s="57"/>
      <c r="BK98" s="57"/>
      <c r="BL98" s="57"/>
      <c r="BM98" s="57"/>
    </row>
    <row r="99" ht="12.0" hidden="1" customHeight="1">
      <c r="A99" s="113">
        <v>60.0</v>
      </c>
      <c r="B99" s="59"/>
      <c r="C99" s="58"/>
      <c r="D99" s="58"/>
      <c r="E99" s="58"/>
      <c r="F99" s="58"/>
      <c r="G99" s="58"/>
      <c r="H99" s="60"/>
      <c r="I99" s="61"/>
      <c r="J99" s="114"/>
      <c r="K99" s="115"/>
      <c r="L99" s="116"/>
      <c r="M99" s="60"/>
      <c r="N99" s="117"/>
      <c r="O99" s="118"/>
      <c r="P99" s="58"/>
      <c r="Q99" s="60"/>
      <c r="R99" s="62"/>
      <c r="S99" s="58"/>
      <c r="T99" s="58"/>
      <c r="U99" s="119"/>
      <c r="V99" s="119"/>
      <c r="W99" s="119"/>
      <c r="X99" s="119"/>
      <c r="Y99" s="64"/>
      <c r="Z99" s="120"/>
      <c r="AA99" s="58"/>
      <c r="AB99" s="60"/>
      <c r="AC99" s="63"/>
      <c r="AD99" s="58"/>
      <c r="AE99" s="119"/>
      <c r="AF99" s="119"/>
      <c r="AG99" s="119"/>
      <c r="AH99" s="119"/>
      <c r="AI99" s="119"/>
      <c r="AJ99" s="64"/>
      <c r="AK99" s="120"/>
      <c r="AL99" s="58"/>
      <c r="AM99" s="60"/>
      <c r="AN99" s="119"/>
      <c r="AO99" s="58"/>
      <c r="AP99" s="61"/>
      <c r="AQ99" s="120"/>
      <c r="AR99" s="58"/>
      <c r="AS99" s="63"/>
      <c r="AT99" s="58"/>
      <c r="AU99" s="61"/>
      <c r="AV99" s="120"/>
      <c r="AW99" s="58"/>
      <c r="AX99" s="63"/>
      <c r="AY99" s="58"/>
      <c r="AZ99" s="61"/>
      <c r="BA99" s="120"/>
      <c r="BB99" s="58"/>
      <c r="BC99" s="64"/>
      <c r="BD99" s="120"/>
      <c r="BE99" s="61"/>
      <c r="BF99" s="56"/>
      <c r="BG99" s="56"/>
      <c r="BH99" s="56">
        <f t="shared" si="4"/>
        <v>0</v>
      </c>
      <c r="BI99" s="56">
        <f t="shared" si="2"/>
        <v>0</v>
      </c>
      <c r="BJ99" s="57"/>
      <c r="BK99" s="57"/>
      <c r="BL99" s="57"/>
      <c r="BM99" s="57"/>
    </row>
    <row r="100" ht="12.0" hidden="1" customHeight="1">
      <c r="A100" s="113">
        <v>61.0</v>
      </c>
      <c r="B100" s="59"/>
      <c r="C100" s="58"/>
      <c r="D100" s="58"/>
      <c r="E100" s="58"/>
      <c r="F100" s="58"/>
      <c r="G100" s="58"/>
      <c r="H100" s="60"/>
      <c r="I100" s="61"/>
      <c r="J100" s="114"/>
      <c r="K100" s="115"/>
      <c r="L100" s="116"/>
      <c r="M100" s="60"/>
      <c r="N100" s="117"/>
      <c r="O100" s="118"/>
      <c r="P100" s="58"/>
      <c r="Q100" s="60"/>
      <c r="R100" s="62"/>
      <c r="S100" s="58"/>
      <c r="T100" s="58"/>
      <c r="U100" s="119"/>
      <c r="V100" s="119"/>
      <c r="W100" s="119"/>
      <c r="X100" s="119"/>
      <c r="Y100" s="64"/>
      <c r="Z100" s="120"/>
      <c r="AA100" s="58"/>
      <c r="AB100" s="60"/>
      <c r="AC100" s="63"/>
      <c r="AD100" s="58"/>
      <c r="AE100" s="119"/>
      <c r="AF100" s="119"/>
      <c r="AG100" s="119"/>
      <c r="AH100" s="119"/>
      <c r="AI100" s="119"/>
      <c r="AJ100" s="64"/>
      <c r="AK100" s="120"/>
      <c r="AL100" s="58"/>
      <c r="AM100" s="60"/>
      <c r="AN100" s="119"/>
      <c r="AO100" s="58"/>
      <c r="AP100" s="61"/>
      <c r="AQ100" s="120"/>
      <c r="AR100" s="58"/>
      <c r="AS100" s="63"/>
      <c r="AT100" s="58"/>
      <c r="AU100" s="61"/>
      <c r="AV100" s="120"/>
      <c r="AW100" s="58"/>
      <c r="AX100" s="63"/>
      <c r="AY100" s="58"/>
      <c r="AZ100" s="61"/>
      <c r="BA100" s="120"/>
      <c r="BB100" s="58"/>
      <c r="BC100" s="64"/>
      <c r="BD100" s="120"/>
      <c r="BE100" s="61"/>
      <c r="BF100" s="56"/>
      <c r="BG100" s="56"/>
      <c r="BH100" s="56">
        <f t="shared" si="4"/>
        <v>0</v>
      </c>
      <c r="BI100" s="56">
        <f t="shared" si="2"/>
        <v>0</v>
      </c>
      <c r="BJ100" s="57"/>
      <c r="BK100" s="57"/>
      <c r="BL100" s="57"/>
      <c r="BM100" s="57"/>
    </row>
    <row r="101" ht="12.0" hidden="1" customHeight="1">
      <c r="A101" s="113">
        <v>62.0</v>
      </c>
      <c r="B101" s="59"/>
      <c r="C101" s="58"/>
      <c r="D101" s="58"/>
      <c r="E101" s="58"/>
      <c r="F101" s="58"/>
      <c r="G101" s="58"/>
      <c r="H101" s="60"/>
      <c r="I101" s="61"/>
      <c r="J101" s="114"/>
      <c r="K101" s="115"/>
      <c r="L101" s="116"/>
      <c r="M101" s="60"/>
      <c r="N101" s="117"/>
      <c r="O101" s="118"/>
      <c r="P101" s="58"/>
      <c r="Q101" s="60"/>
      <c r="R101" s="62"/>
      <c r="S101" s="58"/>
      <c r="T101" s="58"/>
      <c r="U101" s="119"/>
      <c r="V101" s="119"/>
      <c r="W101" s="119"/>
      <c r="X101" s="119"/>
      <c r="Y101" s="64"/>
      <c r="Z101" s="120"/>
      <c r="AA101" s="58"/>
      <c r="AB101" s="60"/>
      <c r="AC101" s="63"/>
      <c r="AD101" s="58"/>
      <c r="AE101" s="119"/>
      <c r="AF101" s="119"/>
      <c r="AG101" s="119"/>
      <c r="AH101" s="119"/>
      <c r="AI101" s="119"/>
      <c r="AJ101" s="64"/>
      <c r="AK101" s="120"/>
      <c r="AL101" s="58"/>
      <c r="AM101" s="60"/>
      <c r="AN101" s="119"/>
      <c r="AO101" s="58"/>
      <c r="AP101" s="61"/>
      <c r="AQ101" s="120"/>
      <c r="AR101" s="58"/>
      <c r="AS101" s="63"/>
      <c r="AT101" s="58"/>
      <c r="AU101" s="61"/>
      <c r="AV101" s="120"/>
      <c r="AW101" s="58"/>
      <c r="AX101" s="63"/>
      <c r="AY101" s="58"/>
      <c r="AZ101" s="61"/>
      <c r="BA101" s="120"/>
      <c r="BB101" s="58"/>
      <c r="BC101" s="64"/>
      <c r="BD101" s="120"/>
      <c r="BE101" s="61"/>
      <c r="BF101" s="56"/>
      <c r="BG101" s="56"/>
      <c r="BH101" s="56">
        <f t="shared" si="4"/>
        <v>0</v>
      </c>
      <c r="BI101" s="56">
        <f t="shared" si="2"/>
        <v>0</v>
      </c>
      <c r="BJ101" s="57"/>
      <c r="BK101" s="57"/>
      <c r="BL101" s="57"/>
      <c r="BM101" s="57"/>
    </row>
    <row r="102" ht="12.0" hidden="1" customHeight="1">
      <c r="A102" s="113">
        <v>63.0</v>
      </c>
      <c r="B102" s="59"/>
      <c r="C102" s="58"/>
      <c r="D102" s="58"/>
      <c r="E102" s="58"/>
      <c r="F102" s="58"/>
      <c r="G102" s="58"/>
      <c r="H102" s="60"/>
      <c r="I102" s="61"/>
      <c r="J102" s="114"/>
      <c r="K102" s="115"/>
      <c r="L102" s="116"/>
      <c r="M102" s="60"/>
      <c r="N102" s="117"/>
      <c r="O102" s="118"/>
      <c r="P102" s="58"/>
      <c r="Q102" s="60"/>
      <c r="R102" s="62"/>
      <c r="S102" s="58"/>
      <c r="T102" s="58"/>
      <c r="U102" s="119"/>
      <c r="V102" s="119"/>
      <c r="W102" s="119"/>
      <c r="X102" s="119"/>
      <c r="Y102" s="64"/>
      <c r="Z102" s="120"/>
      <c r="AA102" s="58"/>
      <c r="AB102" s="60"/>
      <c r="AC102" s="63"/>
      <c r="AD102" s="58"/>
      <c r="AE102" s="119"/>
      <c r="AF102" s="119"/>
      <c r="AG102" s="119"/>
      <c r="AH102" s="119"/>
      <c r="AI102" s="119"/>
      <c r="AJ102" s="64"/>
      <c r="AK102" s="120"/>
      <c r="AL102" s="58"/>
      <c r="AM102" s="60"/>
      <c r="AN102" s="119"/>
      <c r="AO102" s="58"/>
      <c r="AP102" s="61"/>
      <c r="AQ102" s="120"/>
      <c r="AR102" s="58"/>
      <c r="AS102" s="63"/>
      <c r="AT102" s="58"/>
      <c r="AU102" s="61"/>
      <c r="AV102" s="120"/>
      <c r="AW102" s="58"/>
      <c r="AX102" s="63"/>
      <c r="AY102" s="58"/>
      <c r="AZ102" s="61"/>
      <c r="BA102" s="120"/>
      <c r="BB102" s="58"/>
      <c r="BC102" s="64"/>
      <c r="BD102" s="120"/>
      <c r="BE102" s="61"/>
      <c r="BF102" s="56"/>
      <c r="BG102" s="56"/>
      <c r="BH102" s="56">
        <f t="shared" si="4"/>
        <v>0</v>
      </c>
      <c r="BI102" s="56">
        <f t="shared" si="2"/>
        <v>0</v>
      </c>
      <c r="BJ102" s="57"/>
      <c r="BK102" s="57"/>
      <c r="BL102" s="57"/>
      <c r="BM102" s="57"/>
    </row>
    <row r="103" ht="12.0" hidden="1" customHeight="1">
      <c r="A103" s="113">
        <v>64.0</v>
      </c>
      <c r="B103" s="59"/>
      <c r="C103" s="58"/>
      <c r="D103" s="58"/>
      <c r="E103" s="58"/>
      <c r="F103" s="58"/>
      <c r="G103" s="58"/>
      <c r="H103" s="60"/>
      <c r="I103" s="61"/>
      <c r="J103" s="114"/>
      <c r="K103" s="115"/>
      <c r="L103" s="116"/>
      <c r="M103" s="60"/>
      <c r="N103" s="117"/>
      <c r="O103" s="118"/>
      <c r="P103" s="58"/>
      <c r="Q103" s="60"/>
      <c r="R103" s="62"/>
      <c r="S103" s="58"/>
      <c r="T103" s="58"/>
      <c r="U103" s="119"/>
      <c r="V103" s="119"/>
      <c r="W103" s="119"/>
      <c r="X103" s="119"/>
      <c r="Y103" s="64"/>
      <c r="Z103" s="120"/>
      <c r="AA103" s="58"/>
      <c r="AB103" s="60"/>
      <c r="AC103" s="63"/>
      <c r="AD103" s="58"/>
      <c r="AE103" s="119"/>
      <c r="AF103" s="119"/>
      <c r="AG103" s="119"/>
      <c r="AH103" s="119"/>
      <c r="AI103" s="119"/>
      <c r="AJ103" s="64"/>
      <c r="AK103" s="120"/>
      <c r="AL103" s="58"/>
      <c r="AM103" s="60"/>
      <c r="AN103" s="119"/>
      <c r="AO103" s="58"/>
      <c r="AP103" s="61"/>
      <c r="AQ103" s="120"/>
      <c r="AR103" s="58"/>
      <c r="AS103" s="63"/>
      <c r="AT103" s="58"/>
      <c r="AU103" s="61"/>
      <c r="AV103" s="120"/>
      <c r="AW103" s="58"/>
      <c r="AX103" s="63"/>
      <c r="AY103" s="58"/>
      <c r="AZ103" s="61"/>
      <c r="BA103" s="120"/>
      <c r="BB103" s="58"/>
      <c r="BC103" s="64"/>
      <c r="BD103" s="120"/>
      <c r="BE103" s="61"/>
      <c r="BF103" s="56"/>
      <c r="BG103" s="56"/>
      <c r="BH103" s="56">
        <f t="shared" si="4"/>
        <v>0</v>
      </c>
      <c r="BI103" s="56">
        <f t="shared" si="2"/>
        <v>0</v>
      </c>
      <c r="BJ103" s="57"/>
      <c r="BK103" s="57"/>
      <c r="BL103" s="57"/>
      <c r="BM103" s="57"/>
    </row>
    <row r="104" ht="12.0" hidden="1" customHeight="1">
      <c r="A104" s="113">
        <v>65.0</v>
      </c>
      <c r="B104" s="59"/>
      <c r="C104" s="58"/>
      <c r="D104" s="58"/>
      <c r="E104" s="58"/>
      <c r="F104" s="58"/>
      <c r="G104" s="58"/>
      <c r="H104" s="60"/>
      <c r="I104" s="61"/>
      <c r="J104" s="114"/>
      <c r="K104" s="115"/>
      <c r="L104" s="116"/>
      <c r="M104" s="60"/>
      <c r="N104" s="117"/>
      <c r="O104" s="118"/>
      <c r="P104" s="58"/>
      <c r="Q104" s="60"/>
      <c r="R104" s="62"/>
      <c r="S104" s="58"/>
      <c r="T104" s="58"/>
      <c r="U104" s="119"/>
      <c r="V104" s="119"/>
      <c r="W104" s="119"/>
      <c r="X104" s="119"/>
      <c r="Y104" s="64"/>
      <c r="Z104" s="120"/>
      <c r="AA104" s="58"/>
      <c r="AB104" s="60"/>
      <c r="AC104" s="63"/>
      <c r="AD104" s="58"/>
      <c r="AE104" s="119"/>
      <c r="AF104" s="119"/>
      <c r="AG104" s="119"/>
      <c r="AH104" s="119"/>
      <c r="AI104" s="119"/>
      <c r="AJ104" s="64"/>
      <c r="AK104" s="120"/>
      <c r="AL104" s="58"/>
      <c r="AM104" s="60"/>
      <c r="AN104" s="119"/>
      <c r="AO104" s="58"/>
      <c r="AP104" s="61"/>
      <c r="AQ104" s="120"/>
      <c r="AR104" s="58"/>
      <c r="AS104" s="63"/>
      <c r="AT104" s="58"/>
      <c r="AU104" s="61"/>
      <c r="AV104" s="120"/>
      <c r="AW104" s="58"/>
      <c r="AX104" s="63"/>
      <c r="AY104" s="58"/>
      <c r="AZ104" s="61"/>
      <c r="BA104" s="120"/>
      <c r="BB104" s="58"/>
      <c r="BC104" s="64"/>
      <c r="BD104" s="120"/>
      <c r="BE104" s="61"/>
      <c r="BF104" s="56"/>
      <c r="BG104" s="56"/>
      <c r="BH104" s="56">
        <f t="shared" si="4"/>
        <v>0</v>
      </c>
      <c r="BI104" s="56">
        <f t="shared" si="2"/>
        <v>0</v>
      </c>
      <c r="BJ104" s="57"/>
      <c r="BK104" s="57"/>
      <c r="BL104" s="57"/>
      <c r="BM104" s="57"/>
    </row>
    <row r="105" ht="12.0" hidden="1" customHeight="1">
      <c r="A105" s="113">
        <v>66.0</v>
      </c>
      <c r="B105" s="59"/>
      <c r="C105" s="58"/>
      <c r="D105" s="58"/>
      <c r="E105" s="58"/>
      <c r="F105" s="58"/>
      <c r="G105" s="58"/>
      <c r="H105" s="60"/>
      <c r="I105" s="61"/>
      <c r="J105" s="114"/>
      <c r="K105" s="115"/>
      <c r="L105" s="116"/>
      <c r="M105" s="60"/>
      <c r="N105" s="117"/>
      <c r="O105" s="118"/>
      <c r="P105" s="58"/>
      <c r="Q105" s="60"/>
      <c r="R105" s="62"/>
      <c r="S105" s="58"/>
      <c r="T105" s="58"/>
      <c r="U105" s="119"/>
      <c r="V105" s="119"/>
      <c r="W105" s="119"/>
      <c r="X105" s="119"/>
      <c r="Y105" s="64"/>
      <c r="Z105" s="120"/>
      <c r="AA105" s="58"/>
      <c r="AB105" s="60"/>
      <c r="AC105" s="63"/>
      <c r="AD105" s="58"/>
      <c r="AE105" s="119"/>
      <c r="AF105" s="119"/>
      <c r="AG105" s="119"/>
      <c r="AH105" s="119"/>
      <c r="AI105" s="119"/>
      <c r="AJ105" s="64"/>
      <c r="AK105" s="120"/>
      <c r="AL105" s="58"/>
      <c r="AM105" s="60"/>
      <c r="AN105" s="119"/>
      <c r="AO105" s="58"/>
      <c r="AP105" s="61"/>
      <c r="AQ105" s="120"/>
      <c r="AR105" s="58"/>
      <c r="AS105" s="63"/>
      <c r="AT105" s="58"/>
      <c r="AU105" s="61"/>
      <c r="AV105" s="120"/>
      <c r="AW105" s="58"/>
      <c r="AX105" s="63"/>
      <c r="AY105" s="58"/>
      <c r="AZ105" s="61"/>
      <c r="BA105" s="120"/>
      <c r="BB105" s="58"/>
      <c r="BC105" s="64"/>
      <c r="BD105" s="120"/>
      <c r="BE105" s="61"/>
      <c r="BF105" s="56"/>
      <c r="BG105" s="56"/>
      <c r="BH105" s="56">
        <f t="shared" si="4"/>
        <v>0</v>
      </c>
      <c r="BI105" s="56">
        <f t="shared" si="2"/>
        <v>0</v>
      </c>
      <c r="BJ105" s="57"/>
      <c r="BK105" s="57"/>
      <c r="BL105" s="57"/>
      <c r="BM105" s="57"/>
    </row>
    <row r="106" ht="12.0" hidden="1" customHeight="1">
      <c r="A106" s="113">
        <v>67.0</v>
      </c>
      <c r="B106" s="59"/>
      <c r="C106" s="58"/>
      <c r="D106" s="58"/>
      <c r="E106" s="58"/>
      <c r="F106" s="58"/>
      <c r="G106" s="58"/>
      <c r="H106" s="60"/>
      <c r="I106" s="61"/>
      <c r="J106" s="114"/>
      <c r="K106" s="115"/>
      <c r="L106" s="116"/>
      <c r="M106" s="60"/>
      <c r="N106" s="117"/>
      <c r="O106" s="118"/>
      <c r="P106" s="58"/>
      <c r="Q106" s="60"/>
      <c r="R106" s="62"/>
      <c r="S106" s="58"/>
      <c r="T106" s="58"/>
      <c r="U106" s="119"/>
      <c r="V106" s="119"/>
      <c r="W106" s="119"/>
      <c r="X106" s="119"/>
      <c r="Y106" s="64"/>
      <c r="Z106" s="120"/>
      <c r="AA106" s="58"/>
      <c r="AB106" s="60"/>
      <c r="AC106" s="63"/>
      <c r="AD106" s="58"/>
      <c r="AE106" s="119"/>
      <c r="AF106" s="119"/>
      <c r="AG106" s="119"/>
      <c r="AH106" s="119"/>
      <c r="AI106" s="119"/>
      <c r="AJ106" s="64"/>
      <c r="AK106" s="120"/>
      <c r="AL106" s="58"/>
      <c r="AM106" s="60"/>
      <c r="AN106" s="119"/>
      <c r="AO106" s="58"/>
      <c r="AP106" s="61"/>
      <c r="AQ106" s="120"/>
      <c r="AR106" s="58"/>
      <c r="AS106" s="63"/>
      <c r="AT106" s="58"/>
      <c r="AU106" s="61"/>
      <c r="AV106" s="120"/>
      <c r="AW106" s="58"/>
      <c r="AX106" s="63"/>
      <c r="AY106" s="58"/>
      <c r="AZ106" s="61"/>
      <c r="BA106" s="120"/>
      <c r="BB106" s="58"/>
      <c r="BC106" s="64"/>
      <c r="BD106" s="120"/>
      <c r="BE106" s="61"/>
      <c r="BF106" s="56"/>
      <c r="BG106" s="56"/>
      <c r="BH106" s="56">
        <f t="shared" si="4"/>
        <v>0</v>
      </c>
      <c r="BI106" s="56">
        <f t="shared" si="2"/>
        <v>0</v>
      </c>
      <c r="BJ106" s="57"/>
      <c r="BK106" s="57"/>
      <c r="BL106" s="57"/>
      <c r="BM106" s="57"/>
    </row>
    <row r="107" ht="12.0" hidden="1" customHeight="1">
      <c r="A107" s="113">
        <v>68.0</v>
      </c>
      <c r="B107" s="59"/>
      <c r="C107" s="58"/>
      <c r="D107" s="58"/>
      <c r="E107" s="58"/>
      <c r="F107" s="58"/>
      <c r="G107" s="58"/>
      <c r="H107" s="60"/>
      <c r="I107" s="61"/>
      <c r="J107" s="114"/>
      <c r="K107" s="115"/>
      <c r="L107" s="116"/>
      <c r="M107" s="60"/>
      <c r="N107" s="117"/>
      <c r="O107" s="118"/>
      <c r="P107" s="58"/>
      <c r="Q107" s="60"/>
      <c r="R107" s="62"/>
      <c r="S107" s="58"/>
      <c r="T107" s="58"/>
      <c r="U107" s="119"/>
      <c r="V107" s="119"/>
      <c r="W107" s="119"/>
      <c r="X107" s="119"/>
      <c r="Y107" s="64"/>
      <c r="Z107" s="120"/>
      <c r="AA107" s="58"/>
      <c r="AB107" s="60"/>
      <c r="AC107" s="63"/>
      <c r="AD107" s="58"/>
      <c r="AE107" s="119"/>
      <c r="AF107" s="119"/>
      <c r="AG107" s="119"/>
      <c r="AH107" s="119"/>
      <c r="AI107" s="119"/>
      <c r="AJ107" s="64"/>
      <c r="AK107" s="120"/>
      <c r="AL107" s="58"/>
      <c r="AM107" s="60"/>
      <c r="AN107" s="119"/>
      <c r="AO107" s="58"/>
      <c r="AP107" s="61"/>
      <c r="AQ107" s="120"/>
      <c r="AR107" s="58"/>
      <c r="AS107" s="63"/>
      <c r="AT107" s="58"/>
      <c r="AU107" s="61"/>
      <c r="AV107" s="120"/>
      <c r="AW107" s="58"/>
      <c r="AX107" s="63"/>
      <c r="AY107" s="58"/>
      <c r="AZ107" s="61"/>
      <c r="BA107" s="120"/>
      <c r="BB107" s="58"/>
      <c r="BC107" s="64"/>
      <c r="BD107" s="120"/>
      <c r="BE107" s="61"/>
      <c r="BF107" s="56"/>
      <c r="BG107" s="56"/>
      <c r="BH107" s="56">
        <f t="shared" si="4"/>
        <v>0</v>
      </c>
      <c r="BI107" s="56">
        <f t="shared" si="2"/>
        <v>0</v>
      </c>
      <c r="BJ107" s="57"/>
      <c r="BK107" s="57"/>
      <c r="BL107" s="57"/>
      <c r="BM107" s="57"/>
    </row>
    <row r="108" ht="12.0" hidden="1" customHeight="1">
      <c r="A108" s="113">
        <v>69.0</v>
      </c>
      <c r="B108" s="59"/>
      <c r="C108" s="58"/>
      <c r="D108" s="58"/>
      <c r="E108" s="58"/>
      <c r="F108" s="58"/>
      <c r="G108" s="58"/>
      <c r="H108" s="60"/>
      <c r="I108" s="61"/>
      <c r="J108" s="114"/>
      <c r="K108" s="115"/>
      <c r="L108" s="116"/>
      <c r="M108" s="60"/>
      <c r="N108" s="117"/>
      <c r="O108" s="118"/>
      <c r="P108" s="58"/>
      <c r="Q108" s="60"/>
      <c r="R108" s="62"/>
      <c r="S108" s="58"/>
      <c r="T108" s="58"/>
      <c r="U108" s="119"/>
      <c r="V108" s="119"/>
      <c r="W108" s="119"/>
      <c r="X108" s="119"/>
      <c r="Y108" s="64"/>
      <c r="Z108" s="120"/>
      <c r="AA108" s="58"/>
      <c r="AB108" s="60"/>
      <c r="AC108" s="63"/>
      <c r="AD108" s="58"/>
      <c r="AE108" s="119"/>
      <c r="AF108" s="119"/>
      <c r="AG108" s="119"/>
      <c r="AH108" s="119"/>
      <c r="AI108" s="119"/>
      <c r="AJ108" s="64"/>
      <c r="AK108" s="120"/>
      <c r="AL108" s="58"/>
      <c r="AM108" s="60"/>
      <c r="AN108" s="119"/>
      <c r="AO108" s="58"/>
      <c r="AP108" s="61"/>
      <c r="AQ108" s="120"/>
      <c r="AR108" s="58"/>
      <c r="AS108" s="63"/>
      <c r="AT108" s="58"/>
      <c r="AU108" s="61"/>
      <c r="AV108" s="120"/>
      <c r="AW108" s="58"/>
      <c r="AX108" s="63"/>
      <c r="AY108" s="58"/>
      <c r="AZ108" s="61"/>
      <c r="BA108" s="120"/>
      <c r="BB108" s="58"/>
      <c r="BC108" s="64"/>
      <c r="BD108" s="120"/>
      <c r="BE108" s="61"/>
      <c r="BF108" s="56"/>
      <c r="BG108" s="56"/>
      <c r="BH108" s="56">
        <f t="shared" si="4"/>
        <v>0</v>
      </c>
      <c r="BI108" s="56">
        <f t="shared" si="2"/>
        <v>0</v>
      </c>
      <c r="BJ108" s="57"/>
      <c r="BK108" s="57"/>
      <c r="BL108" s="57"/>
      <c r="BM108" s="57"/>
    </row>
    <row r="109" ht="12.0" hidden="1" customHeight="1">
      <c r="A109" s="113">
        <v>70.0</v>
      </c>
      <c r="B109" s="59"/>
      <c r="C109" s="58"/>
      <c r="D109" s="58"/>
      <c r="E109" s="58"/>
      <c r="F109" s="58"/>
      <c r="G109" s="58"/>
      <c r="H109" s="60"/>
      <c r="I109" s="61"/>
      <c r="J109" s="114"/>
      <c r="K109" s="115"/>
      <c r="L109" s="116"/>
      <c r="M109" s="60"/>
      <c r="N109" s="117"/>
      <c r="O109" s="118"/>
      <c r="P109" s="58"/>
      <c r="Q109" s="60"/>
      <c r="R109" s="62"/>
      <c r="S109" s="58"/>
      <c r="T109" s="58"/>
      <c r="U109" s="119"/>
      <c r="V109" s="119"/>
      <c r="W109" s="119"/>
      <c r="X109" s="119"/>
      <c r="Y109" s="64"/>
      <c r="Z109" s="120"/>
      <c r="AA109" s="58"/>
      <c r="AB109" s="60"/>
      <c r="AC109" s="63"/>
      <c r="AD109" s="58"/>
      <c r="AE109" s="119"/>
      <c r="AF109" s="119"/>
      <c r="AG109" s="119"/>
      <c r="AH109" s="119"/>
      <c r="AI109" s="119"/>
      <c r="AJ109" s="64"/>
      <c r="AK109" s="120"/>
      <c r="AL109" s="58"/>
      <c r="AM109" s="60"/>
      <c r="AN109" s="119"/>
      <c r="AO109" s="58"/>
      <c r="AP109" s="61"/>
      <c r="AQ109" s="120"/>
      <c r="AR109" s="58"/>
      <c r="AS109" s="63"/>
      <c r="AT109" s="58"/>
      <c r="AU109" s="61"/>
      <c r="AV109" s="120"/>
      <c r="AW109" s="58"/>
      <c r="AX109" s="63"/>
      <c r="AY109" s="58"/>
      <c r="AZ109" s="61"/>
      <c r="BA109" s="120"/>
      <c r="BB109" s="58"/>
      <c r="BC109" s="64"/>
      <c r="BD109" s="120"/>
      <c r="BE109" s="61"/>
      <c r="BF109" s="56"/>
      <c r="BG109" s="56"/>
      <c r="BH109" s="56">
        <f t="shared" si="4"/>
        <v>0</v>
      </c>
      <c r="BI109" s="56">
        <f t="shared" si="2"/>
        <v>0</v>
      </c>
      <c r="BJ109" s="57"/>
      <c r="BK109" s="57"/>
      <c r="BL109" s="57"/>
      <c r="BM109" s="57"/>
    </row>
    <row r="110" ht="12.0" hidden="1" customHeight="1">
      <c r="A110" s="113">
        <v>71.0</v>
      </c>
      <c r="B110" s="59"/>
      <c r="C110" s="58"/>
      <c r="D110" s="58"/>
      <c r="E110" s="58"/>
      <c r="F110" s="58"/>
      <c r="G110" s="58"/>
      <c r="H110" s="60"/>
      <c r="I110" s="61"/>
      <c r="J110" s="114"/>
      <c r="K110" s="115"/>
      <c r="L110" s="116"/>
      <c r="M110" s="60"/>
      <c r="N110" s="117"/>
      <c r="O110" s="118"/>
      <c r="P110" s="58"/>
      <c r="Q110" s="60"/>
      <c r="R110" s="62"/>
      <c r="S110" s="58"/>
      <c r="T110" s="58"/>
      <c r="U110" s="119"/>
      <c r="V110" s="119"/>
      <c r="W110" s="119"/>
      <c r="X110" s="119"/>
      <c r="Y110" s="64"/>
      <c r="Z110" s="120"/>
      <c r="AA110" s="58"/>
      <c r="AB110" s="60"/>
      <c r="AC110" s="63"/>
      <c r="AD110" s="58"/>
      <c r="AE110" s="119"/>
      <c r="AF110" s="119"/>
      <c r="AG110" s="119"/>
      <c r="AH110" s="119"/>
      <c r="AI110" s="119"/>
      <c r="AJ110" s="64"/>
      <c r="AK110" s="120"/>
      <c r="AL110" s="58"/>
      <c r="AM110" s="60"/>
      <c r="AN110" s="119"/>
      <c r="AO110" s="58"/>
      <c r="AP110" s="61"/>
      <c r="AQ110" s="120"/>
      <c r="AR110" s="58"/>
      <c r="AS110" s="63"/>
      <c r="AT110" s="58"/>
      <c r="AU110" s="61"/>
      <c r="AV110" s="120"/>
      <c r="AW110" s="58"/>
      <c r="AX110" s="63"/>
      <c r="AY110" s="58"/>
      <c r="AZ110" s="61"/>
      <c r="BA110" s="120"/>
      <c r="BB110" s="58"/>
      <c r="BC110" s="64"/>
      <c r="BD110" s="120"/>
      <c r="BE110" s="61"/>
      <c r="BF110" s="56"/>
      <c r="BG110" s="56"/>
      <c r="BH110" s="56">
        <f t="shared" si="4"/>
        <v>0</v>
      </c>
      <c r="BI110" s="56">
        <f t="shared" si="2"/>
        <v>0</v>
      </c>
      <c r="BJ110" s="57"/>
      <c r="BK110" s="57"/>
      <c r="BL110" s="57"/>
      <c r="BM110" s="57"/>
    </row>
    <row r="111" ht="12.0" hidden="1" customHeight="1">
      <c r="A111" s="113">
        <v>72.0</v>
      </c>
      <c r="B111" s="59"/>
      <c r="C111" s="58"/>
      <c r="D111" s="58"/>
      <c r="E111" s="58"/>
      <c r="F111" s="58"/>
      <c r="G111" s="58"/>
      <c r="H111" s="60"/>
      <c r="I111" s="61"/>
      <c r="J111" s="114"/>
      <c r="K111" s="115"/>
      <c r="L111" s="116"/>
      <c r="M111" s="60"/>
      <c r="N111" s="117"/>
      <c r="O111" s="118"/>
      <c r="P111" s="58"/>
      <c r="Q111" s="60"/>
      <c r="R111" s="62"/>
      <c r="S111" s="58"/>
      <c r="T111" s="58"/>
      <c r="U111" s="119"/>
      <c r="V111" s="119"/>
      <c r="W111" s="119"/>
      <c r="X111" s="119"/>
      <c r="Y111" s="64"/>
      <c r="Z111" s="120"/>
      <c r="AA111" s="58"/>
      <c r="AB111" s="60"/>
      <c r="AC111" s="63"/>
      <c r="AD111" s="58"/>
      <c r="AE111" s="119"/>
      <c r="AF111" s="119"/>
      <c r="AG111" s="119"/>
      <c r="AH111" s="119"/>
      <c r="AI111" s="119"/>
      <c r="AJ111" s="64"/>
      <c r="AK111" s="120"/>
      <c r="AL111" s="58"/>
      <c r="AM111" s="60"/>
      <c r="AN111" s="119"/>
      <c r="AO111" s="58"/>
      <c r="AP111" s="61"/>
      <c r="AQ111" s="120"/>
      <c r="AR111" s="58"/>
      <c r="AS111" s="63"/>
      <c r="AT111" s="58"/>
      <c r="AU111" s="61"/>
      <c r="AV111" s="120"/>
      <c r="AW111" s="58"/>
      <c r="AX111" s="63"/>
      <c r="AY111" s="58"/>
      <c r="AZ111" s="61"/>
      <c r="BA111" s="120"/>
      <c r="BB111" s="58"/>
      <c r="BC111" s="64"/>
      <c r="BD111" s="120"/>
      <c r="BE111" s="61"/>
      <c r="BF111" s="56"/>
      <c r="BG111" s="56"/>
      <c r="BH111" s="56">
        <f t="shared" si="4"/>
        <v>0</v>
      </c>
      <c r="BI111" s="56">
        <f t="shared" si="2"/>
        <v>0</v>
      </c>
      <c r="BJ111" s="57"/>
      <c r="BK111" s="57"/>
      <c r="BL111" s="57"/>
      <c r="BM111" s="57"/>
    </row>
    <row r="112" ht="12.0" hidden="1" customHeight="1">
      <c r="A112" s="113">
        <v>73.0</v>
      </c>
      <c r="B112" s="59"/>
      <c r="C112" s="58"/>
      <c r="D112" s="58"/>
      <c r="E112" s="58"/>
      <c r="F112" s="58"/>
      <c r="G112" s="58"/>
      <c r="H112" s="60"/>
      <c r="I112" s="61"/>
      <c r="J112" s="114"/>
      <c r="K112" s="115"/>
      <c r="L112" s="116"/>
      <c r="M112" s="60"/>
      <c r="N112" s="117"/>
      <c r="O112" s="118"/>
      <c r="P112" s="58"/>
      <c r="Q112" s="60"/>
      <c r="R112" s="62"/>
      <c r="S112" s="58"/>
      <c r="T112" s="58"/>
      <c r="U112" s="119"/>
      <c r="V112" s="119"/>
      <c r="W112" s="119"/>
      <c r="X112" s="119"/>
      <c r="Y112" s="64"/>
      <c r="Z112" s="120"/>
      <c r="AA112" s="58"/>
      <c r="AB112" s="60"/>
      <c r="AC112" s="63"/>
      <c r="AD112" s="58"/>
      <c r="AE112" s="119"/>
      <c r="AF112" s="119"/>
      <c r="AG112" s="119"/>
      <c r="AH112" s="119"/>
      <c r="AI112" s="119"/>
      <c r="AJ112" s="64"/>
      <c r="AK112" s="120"/>
      <c r="AL112" s="58"/>
      <c r="AM112" s="60"/>
      <c r="AN112" s="119"/>
      <c r="AO112" s="58"/>
      <c r="AP112" s="61"/>
      <c r="AQ112" s="120"/>
      <c r="AR112" s="58"/>
      <c r="AS112" s="63"/>
      <c r="AT112" s="58"/>
      <c r="AU112" s="61"/>
      <c r="AV112" s="120"/>
      <c r="AW112" s="58"/>
      <c r="AX112" s="63"/>
      <c r="AY112" s="58"/>
      <c r="AZ112" s="61"/>
      <c r="BA112" s="120"/>
      <c r="BB112" s="58"/>
      <c r="BC112" s="64"/>
      <c r="BD112" s="120"/>
      <c r="BE112" s="61"/>
      <c r="BF112" s="56"/>
      <c r="BG112" s="56"/>
      <c r="BH112" s="56">
        <f t="shared" si="4"/>
        <v>0</v>
      </c>
      <c r="BI112" s="56">
        <f t="shared" si="2"/>
        <v>0</v>
      </c>
      <c r="BJ112" s="57"/>
      <c r="BK112" s="57"/>
      <c r="BL112" s="57"/>
      <c r="BM112" s="57"/>
    </row>
    <row r="113" ht="12.0" hidden="1" customHeight="1">
      <c r="A113" s="113">
        <v>74.0</v>
      </c>
      <c r="B113" s="59"/>
      <c r="C113" s="58"/>
      <c r="D113" s="58"/>
      <c r="E113" s="58"/>
      <c r="F113" s="58"/>
      <c r="G113" s="58"/>
      <c r="H113" s="60"/>
      <c r="I113" s="61"/>
      <c r="J113" s="114"/>
      <c r="K113" s="115"/>
      <c r="L113" s="116"/>
      <c r="M113" s="60"/>
      <c r="N113" s="117"/>
      <c r="O113" s="118"/>
      <c r="P113" s="58"/>
      <c r="Q113" s="60"/>
      <c r="R113" s="62"/>
      <c r="S113" s="58"/>
      <c r="T113" s="58"/>
      <c r="U113" s="119"/>
      <c r="V113" s="119"/>
      <c r="W113" s="119"/>
      <c r="X113" s="119"/>
      <c r="Y113" s="64"/>
      <c r="Z113" s="120"/>
      <c r="AA113" s="58"/>
      <c r="AB113" s="60"/>
      <c r="AC113" s="63"/>
      <c r="AD113" s="58"/>
      <c r="AE113" s="119"/>
      <c r="AF113" s="119"/>
      <c r="AG113" s="119"/>
      <c r="AH113" s="119"/>
      <c r="AI113" s="119"/>
      <c r="AJ113" s="64"/>
      <c r="AK113" s="120"/>
      <c r="AL113" s="58"/>
      <c r="AM113" s="60"/>
      <c r="AN113" s="119"/>
      <c r="AO113" s="58"/>
      <c r="AP113" s="61"/>
      <c r="AQ113" s="120"/>
      <c r="AR113" s="58"/>
      <c r="AS113" s="63"/>
      <c r="AT113" s="58"/>
      <c r="AU113" s="61"/>
      <c r="AV113" s="120"/>
      <c r="AW113" s="58"/>
      <c r="AX113" s="63"/>
      <c r="AY113" s="58"/>
      <c r="AZ113" s="61"/>
      <c r="BA113" s="120"/>
      <c r="BB113" s="58"/>
      <c r="BC113" s="64"/>
      <c r="BD113" s="120"/>
      <c r="BE113" s="61"/>
      <c r="BF113" s="56"/>
      <c r="BG113" s="56"/>
      <c r="BH113" s="56">
        <f t="shared" si="4"/>
        <v>0</v>
      </c>
      <c r="BI113" s="56">
        <f t="shared" si="2"/>
        <v>0</v>
      </c>
      <c r="BJ113" s="57"/>
      <c r="BK113" s="57"/>
      <c r="BL113" s="57"/>
      <c r="BM113" s="57"/>
    </row>
    <row r="114" ht="12.0" hidden="1" customHeight="1">
      <c r="A114" s="113">
        <v>75.0</v>
      </c>
      <c r="B114" s="59"/>
      <c r="C114" s="58"/>
      <c r="D114" s="58"/>
      <c r="E114" s="58"/>
      <c r="F114" s="58"/>
      <c r="G114" s="58"/>
      <c r="H114" s="60"/>
      <c r="I114" s="61"/>
      <c r="J114" s="114"/>
      <c r="K114" s="115"/>
      <c r="L114" s="116"/>
      <c r="M114" s="60"/>
      <c r="N114" s="117"/>
      <c r="O114" s="118"/>
      <c r="P114" s="58"/>
      <c r="Q114" s="60"/>
      <c r="R114" s="62"/>
      <c r="S114" s="58"/>
      <c r="T114" s="58"/>
      <c r="U114" s="119"/>
      <c r="V114" s="119"/>
      <c r="W114" s="119"/>
      <c r="X114" s="119"/>
      <c r="Y114" s="64"/>
      <c r="Z114" s="120"/>
      <c r="AA114" s="58"/>
      <c r="AB114" s="60"/>
      <c r="AC114" s="63"/>
      <c r="AD114" s="58"/>
      <c r="AE114" s="119"/>
      <c r="AF114" s="119"/>
      <c r="AG114" s="119"/>
      <c r="AH114" s="119"/>
      <c r="AI114" s="119"/>
      <c r="AJ114" s="64"/>
      <c r="AK114" s="120"/>
      <c r="AL114" s="58"/>
      <c r="AM114" s="60"/>
      <c r="AN114" s="119"/>
      <c r="AO114" s="58"/>
      <c r="AP114" s="61"/>
      <c r="AQ114" s="120"/>
      <c r="AR114" s="58"/>
      <c r="AS114" s="63"/>
      <c r="AT114" s="58"/>
      <c r="AU114" s="61"/>
      <c r="AV114" s="120"/>
      <c r="AW114" s="58"/>
      <c r="AX114" s="63"/>
      <c r="AY114" s="58"/>
      <c r="AZ114" s="61"/>
      <c r="BA114" s="120"/>
      <c r="BB114" s="58"/>
      <c r="BC114" s="64"/>
      <c r="BD114" s="120"/>
      <c r="BE114" s="61"/>
      <c r="BF114" s="56"/>
      <c r="BG114" s="56"/>
      <c r="BH114" s="56">
        <f t="shared" si="4"/>
        <v>0</v>
      </c>
      <c r="BI114" s="56">
        <f t="shared" si="2"/>
        <v>0</v>
      </c>
      <c r="BJ114" s="57"/>
      <c r="BK114" s="57"/>
      <c r="BL114" s="57"/>
      <c r="BM114" s="57"/>
    </row>
    <row r="115" ht="12.0" hidden="1" customHeight="1">
      <c r="A115" s="113">
        <v>76.0</v>
      </c>
      <c r="B115" s="59"/>
      <c r="C115" s="58"/>
      <c r="D115" s="58"/>
      <c r="E115" s="58"/>
      <c r="F115" s="58"/>
      <c r="G115" s="58"/>
      <c r="H115" s="60"/>
      <c r="I115" s="61"/>
      <c r="J115" s="114"/>
      <c r="K115" s="115"/>
      <c r="L115" s="116"/>
      <c r="M115" s="60"/>
      <c r="N115" s="117"/>
      <c r="O115" s="118"/>
      <c r="P115" s="58"/>
      <c r="Q115" s="60"/>
      <c r="R115" s="62"/>
      <c r="S115" s="58"/>
      <c r="T115" s="58"/>
      <c r="U115" s="119"/>
      <c r="V115" s="119"/>
      <c r="W115" s="119"/>
      <c r="X115" s="119"/>
      <c r="Y115" s="64"/>
      <c r="Z115" s="120"/>
      <c r="AA115" s="58"/>
      <c r="AB115" s="60"/>
      <c r="AC115" s="63"/>
      <c r="AD115" s="58"/>
      <c r="AE115" s="119"/>
      <c r="AF115" s="119"/>
      <c r="AG115" s="119"/>
      <c r="AH115" s="119"/>
      <c r="AI115" s="119"/>
      <c r="AJ115" s="64"/>
      <c r="AK115" s="120"/>
      <c r="AL115" s="58"/>
      <c r="AM115" s="60"/>
      <c r="AN115" s="119"/>
      <c r="AO115" s="58"/>
      <c r="AP115" s="61"/>
      <c r="AQ115" s="120"/>
      <c r="AR115" s="58"/>
      <c r="AS115" s="63"/>
      <c r="AT115" s="58"/>
      <c r="AU115" s="61"/>
      <c r="AV115" s="120"/>
      <c r="AW115" s="58"/>
      <c r="AX115" s="63"/>
      <c r="AY115" s="58"/>
      <c r="AZ115" s="61"/>
      <c r="BA115" s="120"/>
      <c r="BB115" s="58"/>
      <c r="BC115" s="64"/>
      <c r="BD115" s="120"/>
      <c r="BE115" s="61"/>
      <c r="BF115" s="56"/>
      <c r="BG115" s="56"/>
      <c r="BH115" s="56">
        <f t="shared" si="4"/>
        <v>0</v>
      </c>
      <c r="BI115" s="56">
        <f t="shared" si="2"/>
        <v>0</v>
      </c>
      <c r="BJ115" s="57"/>
      <c r="BK115" s="57"/>
      <c r="BL115" s="57"/>
      <c r="BM115" s="57"/>
    </row>
    <row r="116" ht="12.0" hidden="1" customHeight="1">
      <c r="A116" s="113">
        <v>77.0</v>
      </c>
      <c r="B116" s="59"/>
      <c r="C116" s="58"/>
      <c r="D116" s="58"/>
      <c r="E116" s="58"/>
      <c r="F116" s="58"/>
      <c r="G116" s="58"/>
      <c r="H116" s="60"/>
      <c r="I116" s="61"/>
      <c r="J116" s="114"/>
      <c r="K116" s="115"/>
      <c r="L116" s="116"/>
      <c r="M116" s="60"/>
      <c r="N116" s="117"/>
      <c r="O116" s="118"/>
      <c r="P116" s="58"/>
      <c r="Q116" s="60"/>
      <c r="R116" s="62"/>
      <c r="S116" s="58"/>
      <c r="T116" s="58"/>
      <c r="U116" s="119"/>
      <c r="V116" s="119"/>
      <c r="W116" s="119"/>
      <c r="X116" s="119"/>
      <c r="Y116" s="64"/>
      <c r="Z116" s="120"/>
      <c r="AA116" s="58"/>
      <c r="AB116" s="60"/>
      <c r="AC116" s="63"/>
      <c r="AD116" s="58"/>
      <c r="AE116" s="119"/>
      <c r="AF116" s="119"/>
      <c r="AG116" s="119"/>
      <c r="AH116" s="119"/>
      <c r="AI116" s="119"/>
      <c r="AJ116" s="64"/>
      <c r="AK116" s="120"/>
      <c r="AL116" s="58"/>
      <c r="AM116" s="60"/>
      <c r="AN116" s="119"/>
      <c r="AO116" s="58"/>
      <c r="AP116" s="61"/>
      <c r="AQ116" s="120"/>
      <c r="AR116" s="58"/>
      <c r="AS116" s="63"/>
      <c r="AT116" s="58"/>
      <c r="AU116" s="61"/>
      <c r="AV116" s="120"/>
      <c r="AW116" s="58"/>
      <c r="AX116" s="63"/>
      <c r="AY116" s="58"/>
      <c r="AZ116" s="61"/>
      <c r="BA116" s="120"/>
      <c r="BB116" s="58"/>
      <c r="BC116" s="64"/>
      <c r="BD116" s="120"/>
      <c r="BE116" s="61"/>
      <c r="BF116" s="56"/>
      <c r="BG116" s="56"/>
      <c r="BH116" s="56">
        <f t="shared" si="4"/>
        <v>0</v>
      </c>
      <c r="BI116" s="56">
        <f t="shared" si="2"/>
        <v>0</v>
      </c>
      <c r="BJ116" s="57"/>
      <c r="BK116" s="57"/>
      <c r="BL116" s="57"/>
      <c r="BM116" s="57"/>
    </row>
    <row r="117" ht="12.0" hidden="1" customHeight="1">
      <c r="A117" s="113">
        <v>78.0</v>
      </c>
      <c r="B117" s="59"/>
      <c r="C117" s="58"/>
      <c r="D117" s="58"/>
      <c r="E117" s="58"/>
      <c r="F117" s="58"/>
      <c r="G117" s="58"/>
      <c r="H117" s="60"/>
      <c r="I117" s="61"/>
      <c r="J117" s="114"/>
      <c r="K117" s="115"/>
      <c r="L117" s="116"/>
      <c r="M117" s="60"/>
      <c r="N117" s="117"/>
      <c r="O117" s="118"/>
      <c r="P117" s="58"/>
      <c r="Q117" s="60"/>
      <c r="R117" s="62"/>
      <c r="S117" s="58"/>
      <c r="T117" s="58"/>
      <c r="U117" s="119"/>
      <c r="V117" s="119"/>
      <c r="W117" s="119"/>
      <c r="X117" s="119"/>
      <c r="Y117" s="64"/>
      <c r="Z117" s="120"/>
      <c r="AA117" s="58"/>
      <c r="AB117" s="60"/>
      <c r="AC117" s="63"/>
      <c r="AD117" s="58"/>
      <c r="AE117" s="119"/>
      <c r="AF117" s="119"/>
      <c r="AG117" s="119"/>
      <c r="AH117" s="119"/>
      <c r="AI117" s="119"/>
      <c r="AJ117" s="64"/>
      <c r="AK117" s="120"/>
      <c r="AL117" s="58"/>
      <c r="AM117" s="60"/>
      <c r="AN117" s="119"/>
      <c r="AO117" s="58"/>
      <c r="AP117" s="61"/>
      <c r="AQ117" s="120"/>
      <c r="AR117" s="58"/>
      <c r="AS117" s="63"/>
      <c r="AT117" s="58"/>
      <c r="AU117" s="61"/>
      <c r="AV117" s="120"/>
      <c r="AW117" s="58"/>
      <c r="AX117" s="63"/>
      <c r="AY117" s="58"/>
      <c r="AZ117" s="61"/>
      <c r="BA117" s="120"/>
      <c r="BB117" s="58"/>
      <c r="BC117" s="64"/>
      <c r="BD117" s="120"/>
      <c r="BE117" s="61"/>
      <c r="BF117" s="56"/>
      <c r="BG117" s="56"/>
      <c r="BH117" s="56">
        <f t="shared" si="4"/>
        <v>0</v>
      </c>
      <c r="BI117" s="56">
        <f t="shared" si="2"/>
        <v>0</v>
      </c>
      <c r="BJ117" s="57"/>
      <c r="BK117" s="57"/>
      <c r="BL117" s="57"/>
      <c r="BM117" s="57"/>
    </row>
    <row r="118" ht="12.0" hidden="1" customHeight="1">
      <c r="A118" s="113">
        <v>79.0</v>
      </c>
      <c r="B118" s="59"/>
      <c r="C118" s="58"/>
      <c r="D118" s="58"/>
      <c r="E118" s="58"/>
      <c r="F118" s="58"/>
      <c r="G118" s="58"/>
      <c r="H118" s="60"/>
      <c r="I118" s="61"/>
      <c r="J118" s="114"/>
      <c r="K118" s="115"/>
      <c r="L118" s="116"/>
      <c r="M118" s="60"/>
      <c r="N118" s="117"/>
      <c r="O118" s="118"/>
      <c r="P118" s="58"/>
      <c r="Q118" s="60"/>
      <c r="R118" s="62"/>
      <c r="S118" s="58"/>
      <c r="T118" s="58"/>
      <c r="U118" s="119"/>
      <c r="V118" s="119"/>
      <c r="W118" s="119"/>
      <c r="X118" s="119"/>
      <c r="Y118" s="64"/>
      <c r="Z118" s="120"/>
      <c r="AA118" s="58"/>
      <c r="AB118" s="60"/>
      <c r="AC118" s="63"/>
      <c r="AD118" s="58"/>
      <c r="AE118" s="119"/>
      <c r="AF118" s="119"/>
      <c r="AG118" s="119"/>
      <c r="AH118" s="119"/>
      <c r="AI118" s="119"/>
      <c r="AJ118" s="64"/>
      <c r="AK118" s="120"/>
      <c r="AL118" s="58"/>
      <c r="AM118" s="60"/>
      <c r="AN118" s="119"/>
      <c r="AO118" s="58"/>
      <c r="AP118" s="61"/>
      <c r="AQ118" s="120"/>
      <c r="AR118" s="58"/>
      <c r="AS118" s="63"/>
      <c r="AT118" s="58"/>
      <c r="AU118" s="61"/>
      <c r="AV118" s="120"/>
      <c r="AW118" s="58"/>
      <c r="AX118" s="63"/>
      <c r="AY118" s="58"/>
      <c r="AZ118" s="61"/>
      <c r="BA118" s="120"/>
      <c r="BB118" s="58"/>
      <c r="BC118" s="64"/>
      <c r="BD118" s="120"/>
      <c r="BE118" s="61"/>
      <c r="BF118" s="56"/>
      <c r="BG118" s="56"/>
      <c r="BH118" s="56">
        <f t="shared" si="4"/>
        <v>0</v>
      </c>
      <c r="BI118" s="56">
        <f t="shared" si="2"/>
        <v>0</v>
      </c>
      <c r="BJ118" s="57"/>
      <c r="BK118" s="57"/>
      <c r="BL118" s="57"/>
      <c r="BM118" s="57"/>
    </row>
    <row r="119" ht="12.0" hidden="1" customHeight="1">
      <c r="A119" s="113">
        <v>80.0</v>
      </c>
      <c r="B119" s="59"/>
      <c r="C119" s="58"/>
      <c r="D119" s="58"/>
      <c r="E119" s="58"/>
      <c r="F119" s="58"/>
      <c r="G119" s="58"/>
      <c r="H119" s="60"/>
      <c r="I119" s="61"/>
      <c r="J119" s="114"/>
      <c r="K119" s="115"/>
      <c r="L119" s="116"/>
      <c r="M119" s="60"/>
      <c r="N119" s="117"/>
      <c r="O119" s="118"/>
      <c r="P119" s="58"/>
      <c r="Q119" s="60"/>
      <c r="R119" s="62"/>
      <c r="S119" s="58"/>
      <c r="T119" s="58"/>
      <c r="U119" s="119"/>
      <c r="V119" s="119"/>
      <c r="W119" s="119"/>
      <c r="X119" s="119"/>
      <c r="Y119" s="64"/>
      <c r="Z119" s="120"/>
      <c r="AA119" s="58"/>
      <c r="AB119" s="60"/>
      <c r="AC119" s="63"/>
      <c r="AD119" s="58"/>
      <c r="AE119" s="119"/>
      <c r="AF119" s="119"/>
      <c r="AG119" s="119"/>
      <c r="AH119" s="119"/>
      <c r="AI119" s="119"/>
      <c r="AJ119" s="64"/>
      <c r="AK119" s="120"/>
      <c r="AL119" s="58"/>
      <c r="AM119" s="60"/>
      <c r="AN119" s="119"/>
      <c r="AO119" s="58"/>
      <c r="AP119" s="61"/>
      <c r="AQ119" s="120"/>
      <c r="AR119" s="58"/>
      <c r="AS119" s="63"/>
      <c r="AT119" s="58"/>
      <c r="AU119" s="61"/>
      <c r="AV119" s="120"/>
      <c r="AW119" s="58"/>
      <c r="AX119" s="63"/>
      <c r="AY119" s="58"/>
      <c r="AZ119" s="61"/>
      <c r="BA119" s="120"/>
      <c r="BB119" s="58"/>
      <c r="BC119" s="64"/>
      <c r="BD119" s="120"/>
      <c r="BE119" s="61"/>
      <c r="BF119" s="56"/>
      <c r="BG119" s="56"/>
      <c r="BH119" s="56">
        <f t="shared" si="4"/>
        <v>0</v>
      </c>
      <c r="BI119" s="56">
        <f t="shared" si="2"/>
        <v>0</v>
      </c>
      <c r="BJ119" s="57"/>
      <c r="BK119" s="57"/>
      <c r="BL119" s="57"/>
      <c r="BM119" s="57"/>
    </row>
    <row r="120" ht="12.0" hidden="1" customHeight="1">
      <c r="A120" s="113">
        <v>81.0</v>
      </c>
      <c r="B120" s="59"/>
      <c r="C120" s="58"/>
      <c r="D120" s="58"/>
      <c r="E120" s="58"/>
      <c r="F120" s="58"/>
      <c r="G120" s="58"/>
      <c r="H120" s="60"/>
      <c r="I120" s="61"/>
      <c r="J120" s="114"/>
      <c r="K120" s="115"/>
      <c r="L120" s="116"/>
      <c r="M120" s="60"/>
      <c r="N120" s="117"/>
      <c r="O120" s="118"/>
      <c r="P120" s="58"/>
      <c r="Q120" s="60"/>
      <c r="R120" s="62"/>
      <c r="S120" s="58"/>
      <c r="T120" s="58"/>
      <c r="U120" s="119"/>
      <c r="V120" s="119"/>
      <c r="W120" s="119"/>
      <c r="X120" s="119"/>
      <c r="Y120" s="64"/>
      <c r="Z120" s="120"/>
      <c r="AA120" s="58"/>
      <c r="AB120" s="60"/>
      <c r="AC120" s="63"/>
      <c r="AD120" s="58"/>
      <c r="AE120" s="119"/>
      <c r="AF120" s="119"/>
      <c r="AG120" s="119"/>
      <c r="AH120" s="119"/>
      <c r="AI120" s="119"/>
      <c r="AJ120" s="64"/>
      <c r="AK120" s="120"/>
      <c r="AL120" s="58"/>
      <c r="AM120" s="60"/>
      <c r="AN120" s="119"/>
      <c r="AO120" s="58"/>
      <c r="AP120" s="61"/>
      <c r="AQ120" s="120"/>
      <c r="AR120" s="58"/>
      <c r="AS120" s="63"/>
      <c r="AT120" s="58"/>
      <c r="AU120" s="61"/>
      <c r="AV120" s="120"/>
      <c r="AW120" s="58"/>
      <c r="AX120" s="63"/>
      <c r="AY120" s="58"/>
      <c r="AZ120" s="61"/>
      <c r="BA120" s="120"/>
      <c r="BB120" s="58"/>
      <c r="BC120" s="64"/>
      <c r="BD120" s="120"/>
      <c r="BE120" s="61"/>
      <c r="BF120" s="56"/>
      <c r="BG120" s="56"/>
      <c r="BH120" s="56">
        <f t="shared" si="4"/>
        <v>0</v>
      </c>
      <c r="BI120" s="56">
        <f t="shared" si="2"/>
        <v>0</v>
      </c>
      <c r="BJ120" s="57"/>
      <c r="BK120" s="57"/>
      <c r="BL120" s="57"/>
      <c r="BM120" s="57"/>
    </row>
    <row r="121" ht="12.0" hidden="1" customHeight="1">
      <c r="A121" s="113">
        <v>82.0</v>
      </c>
      <c r="B121" s="59"/>
      <c r="C121" s="58"/>
      <c r="D121" s="58"/>
      <c r="E121" s="58"/>
      <c r="F121" s="58"/>
      <c r="G121" s="58"/>
      <c r="H121" s="60"/>
      <c r="I121" s="61"/>
      <c r="J121" s="114"/>
      <c r="K121" s="115"/>
      <c r="L121" s="116"/>
      <c r="M121" s="60"/>
      <c r="N121" s="117"/>
      <c r="O121" s="118"/>
      <c r="P121" s="58"/>
      <c r="Q121" s="60"/>
      <c r="R121" s="62"/>
      <c r="S121" s="58"/>
      <c r="T121" s="58"/>
      <c r="U121" s="119"/>
      <c r="V121" s="119"/>
      <c r="W121" s="119"/>
      <c r="X121" s="119"/>
      <c r="Y121" s="64"/>
      <c r="Z121" s="120"/>
      <c r="AA121" s="58"/>
      <c r="AB121" s="60"/>
      <c r="AC121" s="63"/>
      <c r="AD121" s="58"/>
      <c r="AE121" s="119"/>
      <c r="AF121" s="119"/>
      <c r="AG121" s="119"/>
      <c r="AH121" s="119"/>
      <c r="AI121" s="119"/>
      <c r="AJ121" s="64"/>
      <c r="AK121" s="120"/>
      <c r="AL121" s="58"/>
      <c r="AM121" s="60"/>
      <c r="AN121" s="119"/>
      <c r="AO121" s="58"/>
      <c r="AP121" s="61"/>
      <c r="AQ121" s="120"/>
      <c r="AR121" s="58"/>
      <c r="AS121" s="63"/>
      <c r="AT121" s="58"/>
      <c r="AU121" s="61"/>
      <c r="AV121" s="120"/>
      <c r="AW121" s="58"/>
      <c r="AX121" s="63"/>
      <c r="AY121" s="58"/>
      <c r="AZ121" s="61"/>
      <c r="BA121" s="120"/>
      <c r="BB121" s="58"/>
      <c r="BC121" s="64"/>
      <c r="BD121" s="120"/>
      <c r="BE121" s="61"/>
      <c r="BF121" s="56"/>
      <c r="BG121" s="56"/>
      <c r="BH121" s="56">
        <f t="shared" si="4"/>
        <v>0</v>
      </c>
      <c r="BI121" s="56">
        <f t="shared" si="2"/>
        <v>0</v>
      </c>
      <c r="BJ121" s="57"/>
      <c r="BK121" s="57"/>
      <c r="BL121" s="57"/>
      <c r="BM121" s="57"/>
    </row>
    <row r="122" ht="12.0" hidden="1" customHeight="1">
      <c r="A122" s="113">
        <v>83.0</v>
      </c>
      <c r="B122" s="59"/>
      <c r="C122" s="58"/>
      <c r="D122" s="58"/>
      <c r="E122" s="58"/>
      <c r="F122" s="58"/>
      <c r="G122" s="58"/>
      <c r="H122" s="60"/>
      <c r="I122" s="61"/>
      <c r="J122" s="114"/>
      <c r="K122" s="115"/>
      <c r="L122" s="116"/>
      <c r="M122" s="60"/>
      <c r="N122" s="117"/>
      <c r="O122" s="118"/>
      <c r="P122" s="58"/>
      <c r="Q122" s="60"/>
      <c r="R122" s="62"/>
      <c r="S122" s="58"/>
      <c r="T122" s="58"/>
      <c r="U122" s="119"/>
      <c r="V122" s="119"/>
      <c r="W122" s="119"/>
      <c r="X122" s="119"/>
      <c r="Y122" s="64"/>
      <c r="Z122" s="120"/>
      <c r="AA122" s="58"/>
      <c r="AB122" s="60"/>
      <c r="AC122" s="63"/>
      <c r="AD122" s="58"/>
      <c r="AE122" s="119"/>
      <c r="AF122" s="119"/>
      <c r="AG122" s="119"/>
      <c r="AH122" s="119"/>
      <c r="AI122" s="119"/>
      <c r="AJ122" s="64"/>
      <c r="AK122" s="120"/>
      <c r="AL122" s="58"/>
      <c r="AM122" s="60"/>
      <c r="AN122" s="119"/>
      <c r="AO122" s="58"/>
      <c r="AP122" s="61"/>
      <c r="AQ122" s="120"/>
      <c r="AR122" s="58"/>
      <c r="AS122" s="63"/>
      <c r="AT122" s="58"/>
      <c r="AU122" s="61"/>
      <c r="AV122" s="120"/>
      <c r="AW122" s="58"/>
      <c r="AX122" s="63"/>
      <c r="AY122" s="58"/>
      <c r="AZ122" s="61"/>
      <c r="BA122" s="120"/>
      <c r="BB122" s="58"/>
      <c r="BC122" s="64"/>
      <c r="BD122" s="120"/>
      <c r="BE122" s="61"/>
      <c r="BF122" s="56"/>
      <c r="BG122" s="56"/>
      <c r="BH122" s="56">
        <f t="shared" si="4"/>
        <v>0</v>
      </c>
      <c r="BI122" s="56">
        <f t="shared" si="2"/>
        <v>0</v>
      </c>
      <c r="BJ122" s="57"/>
      <c r="BK122" s="57"/>
      <c r="BL122" s="57"/>
      <c r="BM122" s="57"/>
    </row>
    <row r="123" ht="12.0" hidden="1" customHeight="1">
      <c r="A123" s="113">
        <v>84.0</v>
      </c>
      <c r="B123" s="59"/>
      <c r="C123" s="58"/>
      <c r="D123" s="58"/>
      <c r="E123" s="58"/>
      <c r="F123" s="58"/>
      <c r="G123" s="58"/>
      <c r="H123" s="60"/>
      <c r="I123" s="61"/>
      <c r="J123" s="114"/>
      <c r="K123" s="115"/>
      <c r="L123" s="116"/>
      <c r="M123" s="60"/>
      <c r="N123" s="117"/>
      <c r="O123" s="118"/>
      <c r="P123" s="58"/>
      <c r="Q123" s="60"/>
      <c r="R123" s="62"/>
      <c r="S123" s="58"/>
      <c r="T123" s="58"/>
      <c r="U123" s="119"/>
      <c r="V123" s="119"/>
      <c r="W123" s="119"/>
      <c r="X123" s="119"/>
      <c r="Y123" s="64"/>
      <c r="Z123" s="120"/>
      <c r="AA123" s="58"/>
      <c r="AB123" s="60"/>
      <c r="AC123" s="63"/>
      <c r="AD123" s="58"/>
      <c r="AE123" s="119"/>
      <c r="AF123" s="119"/>
      <c r="AG123" s="119"/>
      <c r="AH123" s="119"/>
      <c r="AI123" s="119"/>
      <c r="AJ123" s="64"/>
      <c r="AK123" s="120"/>
      <c r="AL123" s="58"/>
      <c r="AM123" s="60"/>
      <c r="AN123" s="119"/>
      <c r="AO123" s="58"/>
      <c r="AP123" s="61"/>
      <c r="AQ123" s="120"/>
      <c r="AR123" s="58"/>
      <c r="AS123" s="63"/>
      <c r="AT123" s="58"/>
      <c r="AU123" s="61"/>
      <c r="AV123" s="120"/>
      <c r="AW123" s="58"/>
      <c r="AX123" s="63"/>
      <c r="AY123" s="58"/>
      <c r="AZ123" s="61"/>
      <c r="BA123" s="120"/>
      <c r="BB123" s="58"/>
      <c r="BC123" s="64"/>
      <c r="BD123" s="120"/>
      <c r="BE123" s="61"/>
      <c r="BF123" s="56"/>
      <c r="BG123" s="56"/>
      <c r="BH123" s="56">
        <f t="shared" si="4"/>
        <v>0</v>
      </c>
      <c r="BI123" s="56">
        <f t="shared" si="2"/>
        <v>0</v>
      </c>
      <c r="BJ123" s="57"/>
      <c r="BK123" s="57"/>
      <c r="BL123" s="57"/>
      <c r="BM123" s="57"/>
    </row>
    <row r="124" ht="12.0" hidden="1" customHeight="1">
      <c r="A124" s="113">
        <v>85.0</v>
      </c>
      <c r="B124" s="59"/>
      <c r="C124" s="58"/>
      <c r="D124" s="58"/>
      <c r="E124" s="58"/>
      <c r="F124" s="58"/>
      <c r="G124" s="58"/>
      <c r="H124" s="60"/>
      <c r="I124" s="61"/>
      <c r="J124" s="114"/>
      <c r="K124" s="115"/>
      <c r="L124" s="116"/>
      <c r="M124" s="60"/>
      <c r="N124" s="117"/>
      <c r="O124" s="118"/>
      <c r="P124" s="58"/>
      <c r="Q124" s="60"/>
      <c r="R124" s="62"/>
      <c r="S124" s="58"/>
      <c r="T124" s="58"/>
      <c r="U124" s="119"/>
      <c r="V124" s="119"/>
      <c r="W124" s="119"/>
      <c r="X124" s="119"/>
      <c r="Y124" s="64"/>
      <c r="Z124" s="120"/>
      <c r="AA124" s="58"/>
      <c r="AB124" s="60"/>
      <c r="AC124" s="63"/>
      <c r="AD124" s="58"/>
      <c r="AE124" s="119"/>
      <c r="AF124" s="119"/>
      <c r="AG124" s="119"/>
      <c r="AH124" s="119"/>
      <c r="AI124" s="119"/>
      <c r="AJ124" s="64"/>
      <c r="AK124" s="120"/>
      <c r="AL124" s="58"/>
      <c r="AM124" s="60"/>
      <c r="AN124" s="119"/>
      <c r="AO124" s="58"/>
      <c r="AP124" s="61"/>
      <c r="AQ124" s="120"/>
      <c r="AR124" s="58"/>
      <c r="AS124" s="63"/>
      <c r="AT124" s="58"/>
      <c r="AU124" s="61"/>
      <c r="AV124" s="120"/>
      <c r="AW124" s="58"/>
      <c r="AX124" s="63"/>
      <c r="AY124" s="58"/>
      <c r="AZ124" s="61"/>
      <c r="BA124" s="120"/>
      <c r="BB124" s="58"/>
      <c r="BC124" s="64"/>
      <c r="BD124" s="120"/>
      <c r="BE124" s="61"/>
      <c r="BF124" s="56"/>
      <c r="BG124" s="56"/>
      <c r="BH124" s="56">
        <f t="shared" si="4"/>
        <v>0</v>
      </c>
      <c r="BI124" s="56">
        <f t="shared" si="2"/>
        <v>0</v>
      </c>
      <c r="BJ124" s="57"/>
      <c r="BK124" s="57"/>
      <c r="BL124" s="57"/>
      <c r="BM124" s="57"/>
    </row>
    <row r="125" ht="12.0" hidden="1" customHeight="1">
      <c r="A125" s="113">
        <v>86.0</v>
      </c>
      <c r="B125" s="59"/>
      <c r="C125" s="58"/>
      <c r="D125" s="58"/>
      <c r="E125" s="58"/>
      <c r="F125" s="58"/>
      <c r="G125" s="58"/>
      <c r="H125" s="60"/>
      <c r="I125" s="61"/>
      <c r="J125" s="114"/>
      <c r="K125" s="115"/>
      <c r="L125" s="116"/>
      <c r="M125" s="60"/>
      <c r="N125" s="117"/>
      <c r="O125" s="118"/>
      <c r="P125" s="58"/>
      <c r="Q125" s="60"/>
      <c r="R125" s="62"/>
      <c r="S125" s="58"/>
      <c r="T125" s="58"/>
      <c r="U125" s="119"/>
      <c r="V125" s="119"/>
      <c r="W125" s="119"/>
      <c r="X125" s="119"/>
      <c r="Y125" s="64"/>
      <c r="Z125" s="120"/>
      <c r="AA125" s="58"/>
      <c r="AB125" s="60"/>
      <c r="AC125" s="63"/>
      <c r="AD125" s="58"/>
      <c r="AE125" s="119"/>
      <c r="AF125" s="119"/>
      <c r="AG125" s="119"/>
      <c r="AH125" s="119"/>
      <c r="AI125" s="119"/>
      <c r="AJ125" s="64"/>
      <c r="AK125" s="120"/>
      <c r="AL125" s="58"/>
      <c r="AM125" s="60"/>
      <c r="AN125" s="119"/>
      <c r="AO125" s="58"/>
      <c r="AP125" s="61"/>
      <c r="AQ125" s="120"/>
      <c r="AR125" s="58"/>
      <c r="AS125" s="63"/>
      <c r="AT125" s="58"/>
      <c r="AU125" s="61"/>
      <c r="AV125" s="120"/>
      <c r="AW125" s="58"/>
      <c r="AX125" s="63"/>
      <c r="AY125" s="58"/>
      <c r="AZ125" s="61"/>
      <c r="BA125" s="120"/>
      <c r="BB125" s="58"/>
      <c r="BC125" s="64"/>
      <c r="BD125" s="120"/>
      <c r="BE125" s="61"/>
      <c r="BF125" s="56"/>
      <c r="BG125" s="56"/>
      <c r="BH125" s="56">
        <f t="shared" si="4"/>
        <v>0</v>
      </c>
      <c r="BI125" s="56">
        <f t="shared" si="2"/>
        <v>0</v>
      </c>
      <c r="BJ125" s="57"/>
      <c r="BK125" s="57"/>
      <c r="BL125" s="57"/>
      <c r="BM125" s="57"/>
    </row>
    <row r="126" ht="12.0" hidden="1" customHeight="1">
      <c r="A126" s="113">
        <v>87.0</v>
      </c>
      <c r="B126" s="59"/>
      <c r="C126" s="58"/>
      <c r="D126" s="58"/>
      <c r="E126" s="58"/>
      <c r="F126" s="58"/>
      <c r="G126" s="58"/>
      <c r="H126" s="60"/>
      <c r="I126" s="61"/>
      <c r="J126" s="114"/>
      <c r="K126" s="115"/>
      <c r="L126" s="116"/>
      <c r="M126" s="60"/>
      <c r="N126" s="117"/>
      <c r="O126" s="118"/>
      <c r="P126" s="58"/>
      <c r="Q126" s="60"/>
      <c r="R126" s="62"/>
      <c r="S126" s="58"/>
      <c r="T126" s="58"/>
      <c r="U126" s="119"/>
      <c r="V126" s="119"/>
      <c r="W126" s="119"/>
      <c r="X126" s="119"/>
      <c r="Y126" s="64"/>
      <c r="Z126" s="120"/>
      <c r="AA126" s="58"/>
      <c r="AB126" s="60"/>
      <c r="AC126" s="63"/>
      <c r="AD126" s="58"/>
      <c r="AE126" s="119"/>
      <c r="AF126" s="119"/>
      <c r="AG126" s="119"/>
      <c r="AH126" s="119"/>
      <c r="AI126" s="119"/>
      <c r="AJ126" s="64"/>
      <c r="AK126" s="120"/>
      <c r="AL126" s="58"/>
      <c r="AM126" s="60"/>
      <c r="AN126" s="119"/>
      <c r="AO126" s="58"/>
      <c r="AP126" s="61"/>
      <c r="AQ126" s="120"/>
      <c r="AR126" s="58"/>
      <c r="AS126" s="63"/>
      <c r="AT126" s="58"/>
      <c r="AU126" s="61"/>
      <c r="AV126" s="120"/>
      <c r="AW126" s="58"/>
      <c r="AX126" s="63"/>
      <c r="AY126" s="58"/>
      <c r="AZ126" s="61"/>
      <c r="BA126" s="120"/>
      <c r="BB126" s="58"/>
      <c r="BC126" s="64"/>
      <c r="BD126" s="120"/>
      <c r="BE126" s="61"/>
      <c r="BF126" s="56"/>
      <c r="BG126" s="56"/>
      <c r="BH126" s="56">
        <f t="shared" si="4"/>
        <v>0</v>
      </c>
      <c r="BI126" s="56">
        <f t="shared" si="2"/>
        <v>0</v>
      </c>
      <c r="BJ126" s="57"/>
      <c r="BK126" s="57"/>
      <c r="BL126" s="57"/>
      <c r="BM126" s="57"/>
    </row>
    <row r="127" ht="12.0" hidden="1" customHeight="1">
      <c r="A127" s="113">
        <v>88.0</v>
      </c>
      <c r="B127" s="59"/>
      <c r="C127" s="58"/>
      <c r="D127" s="58"/>
      <c r="E127" s="58"/>
      <c r="F127" s="58"/>
      <c r="G127" s="58"/>
      <c r="H127" s="60"/>
      <c r="I127" s="61"/>
      <c r="J127" s="114"/>
      <c r="K127" s="115"/>
      <c r="L127" s="116"/>
      <c r="M127" s="60"/>
      <c r="N127" s="117"/>
      <c r="O127" s="118"/>
      <c r="P127" s="58"/>
      <c r="Q127" s="60"/>
      <c r="R127" s="62"/>
      <c r="S127" s="58"/>
      <c r="T127" s="58"/>
      <c r="U127" s="119"/>
      <c r="V127" s="119"/>
      <c r="W127" s="119"/>
      <c r="X127" s="119"/>
      <c r="Y127" s="64"/>
      <c r="Z127" s="120"/>
      <c r="AA127" s="58"/>
      <c r="AB127" s="60"/>
      <c r="AC127" s="63"/>
      <c r="AD127" s="58"/>
      <c r="AE127" s="119"/>
      <c r="AF127" s="119"/>
      <c r="AG127" s="119"/>
      <c r="AH127" s="119"/>
      <c r="AI127" s="119"/>
      <c r="AJ127" s="64"/>
      <c r="AK127" s="120"/>
      <c r="AL127" s="58"/>
      <c r="AM127" s="60"/>
      <c r="AN127" s="119"/>
      <c r="AO127" s="58"/>
      <c r="AP127" s="61"/>
      <c r="AQ127" s="120"/>
      <c r="AR127" s="58"/>
      <c r="AS127" s="63"/>
      <c r="AT127" s="58"/>
      <c r="AU127" s="61"/>
      <c r="AV127" s="120"/>
      <c r="AW127" s="58"/>
      <c r="AX127" s="63"/>
      <c r="AY127" s="58"/>
      <c r="AZ127" s="61"/>
      <c r="BA127" s="120"/>
      <c r="BB127" s="58"/>
      <c r="BC127" s="64"/>
      <c r="BD127" s="120"/>
      <c r="BE127" s="61"/>
      <c r="BF127" s="56"/>
      <c r="BG127" s="56"/>
      <c r="BH127" s="56">
        <f t="shared" si="4"/>
        <v>0</v>
      </c>
      <c r="BI127" s="56">
        <f t="shared" si="2"/>
        <v>0</v>
      </c>
      <c r="BJ127" s="57"/>
      <c r="BK127" s="57"/>
      <c r="BL127" s="57"/>
      <c r="BM127" s="57"/>
    </row>
    <row r="128" ht="12.0" hidden="1" customHeight="1">
      <c r="A128" s="113">
        <v>89.0</v>
      </c>
      <c r="B128" s="59"/>
      <c r="C128" s="58"/>
      <c r="D128" s="58"/>
      <c r="E128" s="58"/>
      <c r="F128" s="58"/>
      <c r="G128" s="58"/>
      <c r="H128" s="60"/>
      <c r="I128" s="61"/>
      <c r="J128" s="114"/>
      <c r="K128" s="115"/>
      <c r="L128" s="116"/>
      <c r="M128" s="60"/>
      <c r="N128" s="117"/>
      <c r="O128" s="118"/>
      <c r="P128" s="58"/>
      <c r="Q128" s="60"/>
      <c r="R128" s="62"/>
      <c r="S128" s="58"/>
      <c r="T128" s="58"/>
      <c r="U128" s="119"/>
      <c r="V128" s="119"/>
      <c r="W128" s="119"/>
      <c r="X128" s="119"/>
      <c r="Y128" s="64"/>
      <c r="Z128" s="120"/>
      <c r="AA128" s="58"/>
      <c r="AB128" s="60"/>
      <c r="AC128" s="63"/>
      <c r="AD128" s="58"/>
      <c r="AE128" s="119"/>
      <c r="AF128" s="119"/>
      <c r="AG128" s="119"/>
      <c r="AH128" s="119"/>
      <c r="AI128" s="119"/>
      <c r="AJ128" s="64"/>
      <c r="AK128" s="120"/>
      <c r="AL128" s="58"/>
      <c r="AM128" s="60"/>
      <c r="AN128" s="119"/>
      <c r="AO128" s="58"/>
      <c r="AP128" s="61"/>
      <c r="AQ128" s="120"/>
      <c r="AR128" s="58"/>
      <c r="AS128" s="63"/>
      <c r="AT128" s="58"/>
      <c r="AU128" s="61"/>
      <c r="AV128" s="120"/>
      <c r="AW128" s="58"/>
      <c r="AX128" s="63"/>
      <c r="AY128" s="58"/>
      <c r="AZ128" s="61"/>
      <c r="BA128" s="120"/>
      <c r="BB128" s="58"/>
      <c r="BC128" s="64"/>
      <c r="BD128" s="120"/>
      <c r="BE128" s="61"/>
      <c r="BF128" s="56"/>
      <c r="BG128" s="56"/>
      <c r="BH128" s="56">
        <f t="shared" si="4"/>
        <v>0</v>
      </c>
      <c r="BI128" s="56">
        <f t="shared" si="2"/>
        <v>0</v>
      </c>
      <c r="BJ128" s="57"/>
      <c r="BK128" s="57"/>
      <c r="BL128" s="57"/>
      <c r="BM128" s="57"/>
    </row>
    <row r="129" ht="12.0" hidden="1" customHeight="1">
      <c r="A129" s="113">
        <v>90.0</v>
      </c>
      <c r="B129" s="59"/>
      <c r="C129" s="58"/>
      <c r="D129" s="58"/>
      <c r="E129" s="58"/>
      <c r="F129" s="58"/>
      <c r="G129" s="58"/>
      <c r="H129" s="60"/>
      <c r="I129" s="61"/>
      <c r="J129" s="114"/>
      <c r="K129" s="115"/>
      <c r="L129" s="116"/>
      <c r="M129" s="60"/>
      <c r="N129" s="117"/>
      <c r="O129" s="118"/>
      <c r="P129" s="58"/>
      <c r="Q129" s="60"/>
      <c r="R129" s="62"/>
      <c r="S129" s="58"/>
      <c r="T129" s="58"/>
      <c r="U129" s="119"/>
      <c r="V129" s="119"/>
      <c r="W129" s="119"/>
      <c r="X129" s="119"/>
      <c r="Y129" s="64"/>
      <c r="Z129" s="120"/>
      <c r="AA129" s="58"/>
      <c r="AB129" s="60"/>
      <c r="AC129" s="63"/>
      <c r="AD129" s="58"/>
      <c r="AE129" s="119"/>
      <c r="AF129" s="119"/>
      <c r="AG129" s="119"/>
      <c r="AH129" s="119"/>
      <c r="AI129" s="119"/>
      <c r="AJ129" s="64"/>
      <c r="AK129" s="120"/>
      <c r="AL129" s="58"/>
      <c r="AM129" s="60"/>
      <c r="AN129" s="119"/>
      <c r="AO129" s="58"/>
      <c r="AP129" s="61"/>
      <c r="AQ129" s="120"/>
      <c r="AR129" s="58"/>
      <c r="AS129" s="63"/>
      <c r="AT129" s="58"/>
      <c r="AU129" s="61"/>
      <c r="AV129" s="120"/>
      <c r="AW129" s="58"/>
      <c r="AX129" s="63"/>
      <c r="AY129" s="58"/>
      <c r="AZ129" s="61"/>
      <c r="BA129" s="120"/>
      <c r="BB129" s="58"/>
      <c r="BC129" s="64"/>
      <c r="BD129" s="120"/>
      <c r="BE129" s="61"/>
      <c r="BF129" s="56"/>
      <c r="BG129" s="56"/>
      <c r="BH129" s="56">
        <f t="shared" si="4"/>
        <v>0</v>
      </c>
      <c r="BI129" s="56">
        <f t="shared" si="2"/>
        <v>0</v>
      </c>
      <c r="BJ129" s="57"/>
      <c r="BK129" s="57"/>
      <c r="BL129" s="57"/>
      <c r="BM129" s="57"/>
    </row>
    <row r="130" ht="12.0" hidden="1" customHeight="1">
      <c r="A130" s="113">
        <v>91.0</v>
      </c>
      <c r="B130" s="59"/>
      <c r="C130" s="58"/>
      <c r="D130" s="58"/>
      <c r="E130" s="58"/>
      <c r="F130" s="58"/>
      <c r="G130" s="58"/>
      <c r="H130" s="60"/>
      <c r="I130" s="61"/>
      <c r="J130" s="114"/>
      <c r="K130" s="115"/>
      <c r="L130" s="116"/>
      <c r="M130" s="60"/>
      <c r="N130" s="117"/>
      <c r="O130" s="118"/>
      <c r="P130" s="58"/>
      <c r="Q130" s="60"/>
      <c r="R130" s="62"/>
      <c r="S130" s="58"/>
      <c r="T130" s="58"/>
      <c r="U130" s="119"/>
      <c r="V130" s="119"/>
      <c r="W130" s="119"/>
      <c r="X130" s="119"/>
      <c r="Y130" s="64"/>
      <c r="Z130" s="120"/>
      <c r="AA130" s="58"/>
      <c r="AB130" s="60"/>
      <c r="AC130" s="63"/>
      <c r="AD130" s="58"/>
      <c r="AE130" s="119"/>
      <c r="AF130" s="119"/>
      <c r="AG130" s="119"/>
      <c r="AH130" s="119"/>
      <c r="AI130" s="119"/>
      <c r="AJ130" s="64"/>
      <c r="AK130" s="120"/>
      <c r="AL130" s="58"/>
      <c r="AM130" s="60"/>
      <c r="AN130" s="119"/>
      <c r="AO130" s="58"/>
      <c r="AP130" s="61"/>
      <c r="AQ130" s="120"/>
      <c r="AR130" s="58"/>
      <c r="AS130" s="63"/>
      <c r="AT130" s="58"/>
      <c r="AU130" s="61"/>
      <c r="AV130" s="120"/>
      <c r="AW130" s="58"/>
      <c r="AX130" s="63"/>
      <c r="AY130" s="58"/>
      <c r="AZ130" s="61"/>
      <c r="BA130" s="120"/>
      <c r="BB130" s="58"/>
      <c r="BC130" s="64"/>
      <c r="BD130" s="120"/>
      <c r="BE130" s="61"/>
      <c r="BF130" s="56"/>
      <c r="BG130" s="56"/>
      <c r="BH130" s="56">
        <f t="shared" si="4"/>
        <v>0</v>
      </c>
      <c r="BI130" s="56">
        <f t="shared" si="2"/>
        <v>0</v>
      </c>
      <c r="BJ130" s="57"/>
      <c r="BK130" s="57"/>
      <c r="BL130" s="57"/>
      <c r="BM130" s="57"/>
    </row>
    <row r="131" ht="12.0" hidden="1" customHeight="1">
      <c r="A131" s="113">
        <v>92.0</v>
      </c>
      <c r="B131" s="59"/>
      <c r="C131" s="58"/>
      <c r="D131" s="58"/>
      <c r="E131" s="58"/>
      <c r="F131" s="58"/>
      <c r="G131" s="58"/>
      <c r="H131" s="60"/>
      <c r="I131" s="61"/>
      <c r="J131" s="114"/>
      <c r="K131" s="115"/>
      <c r="L131" s="116"/>
      <c r="M131" s="60"/>
      <c r="N131" s="117"/>
      <c r="O131" s="118"/>
      <c r="P131" s="58"/>
      <c r="Q131" s="60"/>
      <c r="R131" s="62"/>
      <c r="S131" s="58"/>
      <c r="T131" s="58"/>
      <c r="U131" s="119"/>
      <c r="V131" s="119"/>
      <c r="W131" s="119"/>
      <c r="X131" s="119"/>
      <c r="Y131" s="64"/>
      <c r="Z131" s="120"/>
      <c r="AA131" s="58"/>
      <c r="AB131" s="60"/>
      <c r="AC131" s="63"/>
      <c r="AD131" s="58"/>
      <c r="AE131" s="119"/>
      <c r="AF131" s="119"/>
      <c r="AG131" s="119"/>
      <c r="AH131" s="119"/>
      <c r="AI131" s="119"/>
      <c r="AJ131" s="64"/>
      <c r="AK131" s="120"/>
      <c r="AL131" s="58"/>
      <c r="AM131" s="60"/>
      <c r="AN131" s="119"/>
      <c r="AO131" s="58"/>
      <c r="AP131" s="61"/>
      <c r="AQ131" s="120"/>
      <c r="AR131" s="58"/>
      <c r="AS131" s="63"/>
      <c r="AT131" s="58"/>
      <c r="AU131" s="61"/>
      <c r="AV131" s="120"/>
      <c r="AW131" s="58"/>
      <c r="AX131" s="63"/>
      <c r="AY131" s="58"/>
      <c r="AZ131" s="61"/>
      <c r="BA131" s="120"/>
      <c r="BB131" s="58"/>
      <c r="BC131" s="64"/>
      <c r="BD131" s="120"/>
      <c r="BE131" s="61"/>
      <c r="BF131" s="56"/>
      <c r="BG131" s="56"/>
      <c r="BH131" s="56">
        <f t="shared" si="4"/>
        <v>0</v>
      </c>
      <c r="BI131" s="56">
        <f t="shared" si="2"/>
        <v>0</v>
      </c>
      <c r="BJ131" s="57"/>
      <c r="BK131" s="57"/>
      <c r="BL131" s="57"/>
      <c r="BM131" s="57"/>
    </row>
    <row r="132" ht="12.0" hidden="1" customHeight="1">
      <c r="A132" s="113">
        <v>93.0</v>
      </c>
      <c r="B132" s="59"/>
      <c r="C132" s="58"/>
      <c r="D132" s="58"/>
      <c r="E132" s="58"/>
      <c r="F132" s="58"/>
      <c r="G132" s="58"/>
      <c r="H132" s="60"/>
      <c r="I132" s="61"/>
      <c r="J132" s="114"/>
      <c r="K132" s="115"/>
      <c r="L132" s="116"/>
      <c r="M132" s="60"/>
      <c r="N132" s="117"/>
      <c r="O132" s="118"/>
      <c r="P132" s="58"/>
      <c r="Q132" s="60"/>
      <c r="R132" s="62"/>
      <c r="S132" s="58"/>
      <c r="T132" s="58"/>
      <c r="U132" s="119"/>
      <c r="V132" s="119"/>
      <c r="W132" s="119"/>
      <c r="X132" s="119"/>
      <c r="Y132" s="64"/>
      <c r="Z132" s="120"/>
      <c r="AA132" s="58"/>
      <c r="AB132" s="60"/>
      <c r="AC132" s="63"/>
      <c r="AD132" s="58"/>
      <c r="AE132" s="119"/>
      <c r="AF132" s="119"/>
      <c r="AG132" s="119"/>
      <c r="AH132" s="119"/>
      <c r="AI132" s="119"/>
      <c r="AJ132" s="64"/>
      <c r="AK132" s="120"/>
      <c r="AL132" s="58"/>
      <c r="AM132" s="60"/>
      <c r="AN132" s="119"/>
      <c r="AO132" s="58"/>
      <c r="AP132" s="61"/>
      <c r="AQ132" s="120"/>
      <c r="AR132" s="58"/>
      <c r="AS132" s="63"/>
      <c r="AT132" s="58"/>
      <c r="AU132" s="61"/>
      <c r="AV132" s="120"/>
      <c r="AW132" s="58"/>
      <c r="AX132" s="63"/>
      <c r="AY132" s="58"/>
      <c r="AZ132" s="61"/>
      <c r="BA132" s="120"/>
      <c r="BB132" s="58"/>
      <c r="BC132" s="64"/>
      <c r="BD132" s="120"/>
      <c r="BE132" s="61"/>
      <c r="BF132" s="56"/>
      <c r="BG132" s="56"/>
      <c r="BH132" s="56">
        <f t="shared" si="4"/>
        <v>0</v>
      </c>
      <c r="BI132" s="56">
        <f t="shared" si="2"/>
        <v>0</v>
      </c>
      <c r="BJ132" s="57"/>
      <c r="BK132" s="57"/>
      <c r="BL132" s="57"/>
      <c r="BM132" s="57"/>
    </row>
    <row r="133" ht="12.0" hidden="1" customHeight="1">
      <c r="A133" s="113">
        <v>94.0</v>
      </c>
      <c r="B133" s="59"/>
      <c r="C133" s="58"/>
      <c r="D133" s="58"/>
      <c r="E133" s="58"/>
      <c r="F133" s="58"/>
      <c r="G133" s="58"/>
      <c r="H133" s="60"/>
      <c r="I133" s="61"/>
      <c r="J133" s="114"/>
      <c r="K133" s="115"/>
      <c r="L133" s="116"/>
      <c r="M133" s="60"/>
      <c r="N133" s="117"/>
      <c r="O133" s="118"/>
      <c r="P133" s="58"/>
      <c r="Q133" s="60"/>
      <c r="R133" s="62"/>
      <c r="S133" s="58"/>
      <c r="T133" s="58"/>
      <c r="U133" s="119"/>
      <c r="V133" s="119"/>
      <c r="W133" s="119"/>
      <c r="X133" s="119"/>
      <c r="Y133" s="64"/>
      <c r="Z133" s="120"/>
      <c r="AA133" s="58"/>
      <c r="AB133" s="60"/>
      <c r="AC133" s="63"/>
      <c r="AD133" s="58"/>
      <c r="AE133" s="119"/>
      <c r="AF133" s="119"/>
      <c r="AG133" s="119"/>
      <c r="AH133" s="119"/>
      <c r="AI133" s="119"/>
      <c r="AJ133" s="64"/>
      <c r="AK133" s="120"/>
      <c r="AL133" s="58"/>
      <c r="AM133" s="60"/>
      <c r="AN133" s="119"/>
      <c r="AO133" s="58"/>
      <c r="AP133" s="61"/>
      <c r="AQ133" s="120"/>
      <c r="AR133" s="58"/>
      <c r="AS133" s="63"/>
      <c r="AT133" s="58"/>
      <c r="AU133" s="61"/>
      <c r="AV133" s="120"/>
      <c r="AW133" s="58"/>
      <c r="AX133" s="63"/>
      <c r="AY133" s="58"/>
      <c r="AZ133" s="61"/>
      <c r="BA133" s="120"/>
      <c r="BB133" s="58"/>
      <c r="BC133" s="64"/>
      <c r="BD133" s="120"/>
      <c r="BE133" s="61"/>
      <c r="BF133" s="56"/>
      <c r="BG133" s="56"/>
      <c r="BH133" s="56">
        <f t="shared" si="4"/>
        <v>0</v>
      </c>
      <c r="BI133" s="56">
        <f t="shared" si="2"/>
        <v>0</v>
      </c>
      <c r="BJ133" s="57"/>
      <c r="BK133" s="57"/>
      <c r="BL133" s="57"/>
      <c r="BM133" s="57"/>
    </row>
    <row r="134" ht="12.0" hidden="1" customHeight="1">
      <c r="A134" s="113">
        <v>95.0</v>
      </c>
      <c r="B134" s="59"/>
      <c r="C134" s="58"/>
      <c r="D134" s="58"/>
      <c r="E134" s="58"/>
      <c r="F134" s="58"/>
      <c r="G134" s="58"/>
      <c r="H134" s="60"/>
      <c r="I134" s="61"/>
      <c r="J134" s="114"/>
      <c r="K134" s="115"/>
      <c r="L134" s="116"/>
      <c r="M134" s="60"/>
      <c r="N134" s="117"/>
      <c r="O134" s="118"/>
      <c r="P134" s="58"/>
      <c r="Q134" s="60"/>
      <c r="R134" s="62"/>
      <c r="S134" s="58"/>
      <c r="T134" s="58"/>
      <c r="U134" s="119"/>
      <c r="V134" s="119"/>
      <c r="W134" s="119"/>
      <c r="X134" s="119"/>
      <c r="Y134" s="64"/>
      <c r="Z134" s="120"/>
      <c r="AA134" s="58"/>
      <c r="AB134" s="60"/>
      <c r="AC134" s="63"/>
      <c r="AD134" s="58"/>
      <c r="AE134" s="119"/>
      <c r="AF134" s="119"/>
      <c r="AG134" s="119"/>
      <c r="AH134" s="119"/>
      <c r="AI134" s="119"/>
      <c r="AJ134" s="64"/>
      <c r="AK134" s="120"/>
      <c r="AL134" s="58"/>
      <c r="AM134" s="60"/>
      <c r="AN134" s="119"/>
      <c r="AO134" s="58"/>
      <c r="AP134" s="61"/>
      <c r="AQ134" s="120"/>
      <c r="AR134" s="58"/>
      <c r="AS134" s="63"/>
      <c r="AT134" s="58"/>
      <c r="AU134" s="61"/>
      <c r="AV134" s="120"/>
      <c r="AW134" s="58"/>
      <c r="AX134" s="63"/>
      <c r="AY134" s="58"/>
      <c r="AZ134" s="61"/>
      <c r="BA134" s="120"/>
      <c r="BB134" s="58"/>
      <c r="BC134" s="64"/>
      <c r="BD134" s="120"/>
      <c r="BE134" s="61"/>
      <c r="BF134" s="56"/>
      <c r="BG134" s="56"/>
      <c r="BH134" s="56">
        <f t="shared" si="4"/>
        <v>0</v>
      </c>
      <c r="BI134" s="56">
        <f t="shared" si="2"/>
        <v>0</v>
      </c>
      <c r="BJ134" s="57"/>
      <c r="BK134" s="57"/>
      <c r="BL134" s="57"/>
      <c r="BM134" s="57"/>
    </row>
    <row r="135" ht="12.0" hidden="1" customHeight="1">
      <c r="A135" s="113">
        <v>96.0</v>
      </c>
      <c r="B135" s="59"/>
      <c r="C135" s="58"/>
      <c r="D135" s="58"/>
      <c r="E135" s="58"/>
      <c r="F135" s="58"/>
      <c r="G135" s="58"/>
      <c r="H135" s="60"/>
      <c r="I135" s="61"/>
      <c r="J135" s="114"/>
      <c r="K135" s="115"/>
      <c r="L135" s="116"/>
      <c r="M135" s="60"/>
      <c r="N135" s="117"/>
      <c r="O135" s="118"/>
      <c r="P135" s="58"/>
      <c r="Q135" s="60"/>
      <c r="R135" s="62"/>
      <c r="S135" s="58"/>
      <c r="T135" s="58"/>
      <c r="U135" s="119"/>
      <c r="V135" s="119"/>
      <c r="W135" s="119"/>
      <c r="X135" s="119"/>
      <c r="Y135" s="64"/>
      <c r="Z135" s="120"/>
      <c r="AA135" s="58"/>
      <c r="AB135" s="60"/>
      <c r="AC135" s="63"/>
      <c r="AD135" s="58"/>
      <c r="AE135" s="119"/>
      <c r="AF135" s="119"/>
      <c r="AG135" s="119"/>
      <c r="AH135" s="119"/>
      <c r="AI135" s="119"/>
      <c r="AJ135" s="64"/>
      <c r="AK135" s="120"/>
      <c r="AL135" s="58"/>
      <c r="AM135" s="60"/>
      <c r="AN135" s="119"/>
      <c r="AO135" s="58"/>
      <c r="AP135" s="61"/>
      <c r="AQ135" s="120"/>
      <c r="AR135" s="58"/>
      <c r="AS135" s="63"/>
      <c r="AT135" s="58"/>
      <c r="AU135" s="61"/>
      <c r="AV135" s="120"/>
      <c r="AW135" s="58"/>
      <c r="AX135" s="63"/>
      <c r="AY135" s="58"/>
      <c r="AZ135" s="61"/>
      <c r="BA135" s="120"/>
      <c r="BB135" s="58"/>
      <c r="BC135" s="64"/>
      <c r="BD135" s="120"/>
      <c r="BE135" s="61"/>
      <c r="BF135" s="56"/>
      <c r="BG135" s="56"/>
      <c r="BH135" s="56">
        <f t="shared" si="4"/>
        <v>0</v>
      </c>
      <c r="BI135" s="56">
        <f t="shared" si="2"/>
        <v>0</v>
      </c>
      <c r="BJ135" s="57"/>
      <c r="BK135" s="57"/>
      <c r="BL135" s="57"/>
      <c r="BM135" s="57"/>
    </row>
    <row r="136" ht="12.0" hidden="1" customHeight="1">
      <c r="A136" s="113">
        <v>97.0</v>
      </c>
      <c r="B136" s="59"/>
      <c r="C136" s="58"/>
      <c r="D136" s="58"/>
      <c r="E136" s="58"/>
      <c r="F136" s="58"/>
      <c r="G136" s="58"/>
      <c r="H136" s="60"/>
      <c r="I136" s="61"/>
      <c r="J136" s="114"/>
      <c r="K136" s="115"/>
      <c r="L136" s="116"/>
      <c r="M136" s="60"/>
      <c r="N136" s="117"/>
      <c r="O136" s="118"/>
      <c r="P136" s="58"/>
      <c r="Q136" s="60"/>
      <c r="R136" s="62"/>
      <c r="S136" s="58"/>
      <c r="T136" s="58"/>
      <c r="U136" s="119"/>
      <c r="V136" s="119"/>
      <c r="W136" s="119"/>
      <c r="X136" s="119"/>
      <c r="Y136" s="64"/>
      <c r="Z136" s="120"/>
      <c r="AA136" s="58"/>
      <c r="AB136" s="60"/>
      <c r="AC136" s="63"/>
      <c r="AD136" s="58"/>
      <c r="AE136" s="119"/>
      <c r="AF136" s="119"/>
      <c r="AG136" s="119"/>
      <c r="AH136" s="119"/>
      <c r="AI136" s="119"/>
      <c r="AJ136" s="64"/>
      <c r="AK136" s="120"/>
      <c r="AL136" s="58"/>
      <c r="AM136" s="60"/>
      <c r="AN136" s="119"/>
      <c r="AO136" s="58"/>
      <c r="AP136" s="61"/>
      <c r="AQ136" s="120"/>
      <c r="AR136" s="58"/>
      <c r="AS136" s="63"/>
      <c r="AT136" s="58"/>
      <c r="AU136" s="61"/>
      <c r="AV136" s="120"/>
      <c r="AW136" s="58"/>
      <c r="AX136" s="63"/>
      <c r="AY136" s="58"/>
      <c r="AZ136" s="61"/>
      <c r="BA136" s="120"/>
      <c r="BB136" s="58"/>
      <c r="BC136" s="64"/>
      <c r="BD136" s="120"/>
      <c r="BE136" s="61"/>
      <c r="BF136" s="56"/>
      <c r="BG136" s="56"/>
      <c r="BH136" s="56">
        <f t="shared" si="4"/>
        <v>0</v>
      </c>
      <c r="BI136" s="56">
        <f t="shared" si="2"/>
        <v>0</v>
      </c>
      <c r="BJ136" s="57"/>
      <c r="BK136" s="57"/>
      <c r="BL136" s="57"/>
      <c r="BM136" s="57"/>
    </row>
    <row r="137" ht="12.0" hidden="1" customHeight="1">
      <c r="A137" s="113">
        <v>98.0</v>
      </c>
      <c r="B137" s="59"/>
      <c r="C137" s="58"/>
      <c r="D137" s="58"/>
      <c r="E137" s="58"/>
      <c r="F137" s="58"/>
      <c r="G137" s="58"/>
      <c r="H137" s="60"/>
      <c r="I137" s="61"/>
      <c r="J137" s="114"/>
      <c r="K137" s="115"/>
      <c r="L137" s="116"/>
      <c r="M137" s="60"/>
      <c r="N137" s="117"/>
      <c r="O137" s="118"/>
      <c r="P137" s="58"/>
      <c r="Q137" s="60"/>
      <c r="R137" s="62"/>
      <c r="S137" s="58"/>
      <c r="T137" s="58"/>
      <c r="U137" s="119"/>
      <c r="V137" s="119"/>
      <c r="W137" s="119"/>
      <c r="X137" s="119"/>
      <c r="Y137" s="64"/>
      <c r="Z137" s="120"/>
      <c r="AA137" s="58"/>
      <c r="AB137" s="60"/>
      <c r="AC137" s="63"/>
      <c r="AD137" s="58"/>
      <c r="AE137" s="119"/>
      <c r="AF137" s="119"/>
      <c r="AG137" s="119"/>
      <c r="AH137" s="119"/>
      <c r="AI137" s="119"/>
      <c r="AJ137" s="64"/>
      <c r="AK137" s="120"/>
      <c r="AL137" s="58"/>
      <c r="AM137" s="60"/>
      <c r="AN137" s="119"/>
      <c r="AO137" s="58"/>
      <c r="AP137" s="61"/>
      <c r="AQ137" s="120"/>
      <c r="AR137" s="58"/>
      <c r="AS137" s="63"/>
      <c r="AT137" s="58"/>
      <c r="AU137" s="61"/>
      <c r="AV137" s="120"/>
      <c r="AW137" s="58"/>
      <c r="AX137" s="63"/>
      <c r="AY137" s="58"/>
      <c r="AZ137" s="61"/>
      <c r="BA137" s="120"/>
      <c r="BB137" s="58"/>
      <c r="BC137" s="64"/>
      <c r="BD137" s="120"/>
      <c r="BE137" s="61"/>
      <c r="BF137" s="56"/>
      <c r="BG137" s="56"/>
      <c r="BH137" s="56">
        <f t="shared" si="4"/>
        <v>0</v>
      </c>
      <c r="BI137" s="56">
        <f t="shared" si="2"/>
        <v>0</v>
      </c>
      <c r="BJ137" s="57"/>
      <c r="BK137" s="57"/>
      <c r="BL137" s="57"/>
      <c r="BM137" s="57"/>
    </row>
    <row r="138" ht="12.0" hidden="1" customHeight="1">
      <c r="A138" s="113">
        <v>99.0</v>
      </c>
      <c r="B138" s="59"/>
      <c r="C138" s="58"/>
      <c r="D138" s="58"/>
      <c r="E138" s="58"/>
      <c r="F138" s="58"/>
      <c r="G138" s="58"/>
      <c r="H138" s="60"/>
      <c r="I138" s="61"/>
      <c r="J138" s="114"/>
      <c r="K138" s="115"/>
      <c r="L138" s="116"/>
      <c r="M138" s="60"/>
      <c r="N138" s="117"/>
      <c r="O138" s="118"/>
      <c r="P138" s="58"/>
      <c r="Q138" s="60"/>
      <c r="R138" s="62"/>
      <c r="S138" s="58"/>
      <c r="T138" s="58"/>
      <c r="U138" s="119"/>
      <c r="V138" s="119"/>
      <c r="W138" s="119"/>
      <c r="X138" s="119"/>
      <c r="Y138" s="64"/>
      <c r="Z138" s="120"/>
      <c r="AA138" s="58"/>
      <c r="AB138" s="60"/>
      <c r="AC138" s="63"/>
      <c r="AD138" s="58"/>
      <c r="AE138" s="119"/>
      <c r="AF138" s="119"/>
      <c r="AG138" s="119"/>
      <c r="AH138" s="119"/>
      <c r="AI138" s="119"/>
      <c r="AJ138" s="64"/>
      <c r="AK138" s="120"/>
      <c r="AL138" s="58"/>
      <c r="AM138" s="60"/>
      <c r="AN138" s="119"/>
      <c r="AO138" s="58"/>
      <c r="AP138" s="61"/>
      <c r="AQ138" s="120"/>
      <c r="AR138" s="58"/>
      <c r="AS138" s="63"/>
      <c r="AT138" s="58"/>
      <c r="AU138" s="61"/>
      <c r="AV138" s="120"/>
      <c r="AW138" s="58"/>
      <c r="AX138" s="63"/>
      <c r="AY138" s="58"/>
      <c r="AZ138" s="61"/>
      <c r="BA138" s="120"/>
      <c r="BB138" s="58"/>
      <c r="BC138" s="64"/>
      <c r="BD138" s="120"/>
      <c r="BE138" s="61"/>
      <c r="BF138" s="56"/>
      <c r="BG138" s="56"/>
      <c r="BH138" s="56">
        <f t="shared" si="4"/>
        <v>0</v>
      </c>
      <c r="BI138" s="56">
        <f t="shared" si="2"/>
        <v>0</v>
      </c>
      <c r="BJ138" s="57"/>
      <c r="BK138" s="57"/>
      <c r="BL138" s="57"/>
      <c r="BM138" s="57"/>
    </row>
    <row r="139" ht="12.0" hidden="1" customHeight="1">
      <c r="A139" s="113">
        <v>100.0</v>
      </c>
      <c r="B139" s="59"/>
      <c r="C139" s="58"/>
      <c r="D139" s="58"/>
      <c r="E139" s="58"/>
      <c r="F139" s="58"/>
      <c r="G139" s="58"/>
      <c r="H139" s="60"/>
      <c r="I139" s="61"/>
      <c r="J139" s="114"/>
      <c r="K139" s="115"/>
      <c r="L139" s="116"/>
      <c r="M139" s="60"/>
      <c r="N139" s="117"/>
      <c r="O139" s="118"/>
      <c r="P139" s="58"/>
      <c r="Q139" s="60"/>
      <c r="R139" s="62"/>
      <c r="S139" s="58"/>
      <c r="T139" s="58"/>
      <c r="U139" s="119"/>
      <c r="V139" s="119"/>
      <c r="W139" s="119"/>
      <c r="X139" s="119"/>
      <c r="Y139" s="64"/>
      <c r="Z139" s="120"/>
      <c r="AA139" s="58"/>
      <c r="AB139" s="60"/>
      <c r="AC139" s="63"/>
      <c r="AD139" s="58"/>
      <c r="AE139" s="119"/>
      <c r="AF139" s="119"/>
      <c r="AG139" s="119"/>
      <c r="AH139" s="119"/>
      <c r="AI139" s="119"/>
      <c r="AJ139" s="64"/>
      <c r="AK139" s="120"/>
      <c r="AL139" s="58"/>
      <c r="AM139" s="60"/>
      <c r="AN139" s="119"/>
      <c r="AO139" s="58"/>
      <c r="AP139" s="61"/>
      <c r="AQ139" s="120"/>
      <c r="AR139" s="58"/>
      <c r="AS139" s="63"/>
      <c r="AT139" s="58"/>
      <c r="AU139" s="61"/>
      <c r="AV139" s="120"/>
      <c r="AW139" s="58"/>
      <c r="AX139" s="63"/>
      <c r="AY139" s="58"/>
      <c r="AZ139" s="61"/>
      <c r="BA139" s="120"/>
      <c r="BB139" s="58"/>
      <c r="BC139" s="64"/>
      <c r="BD139" s="120"/>
      <c r="BE139" s="61"/>
      <c r="BF139" s="56"/>
      <c r="BG139" s="56"/>
      <c r="BH139" s="56">
        <f t="shared" si="4"/>
        <v>0</v>
      </c>
      <c r="BI139" s="56">
        <f t="shared" si="2"/>
        <v>0</v>
      </c>
      <c r="BJ139" s="57"/>
      <c r="BK139" s="57"/>
      <c r="BL139" s="57"/>
      <c r="BM139" s="57"/>
    </row>
    <row r="140" ht="12.0" hidden="1" customHeight="1">
      <c r="A140" s="113">
        <v>101.0</v>
      </c>
      <c r="B140" s="59"/>
      <c r="C140" s="58"/>
      <c r="D140" s="58"/>
      <c r="E140" s="58"/>
      <c r="F140" s="58"/>
      <c r="G140" s="58"/>
      <c r="H140" s="60"/>
      <c r="I140" s="61"/>
      <c r="J140" s="114"/>
      <c r="K140" s="115"/>
      <c r="L140" s="116"/>
      <c r="M140" s="60"/>
      <c r="N140" s="117"/>
      <c r="O140" s="118"/>
      <c r="P140" s="58"/>
      <c r="Q140" s="60"/>
      <c r="R140" s="62"/>
      <c r="S140" s="58"/>
      <c r="T140" s="58"/>
      <c r="U140" s="119"/>
      <c r="V140" s="119"/>
      <c r="W140" s="119"/>
      <c r="X140" s="119"/>
      <c r="Y140" s="64"/>
      <c r="Z140" s="120"/>
      <c r="AA140" s="58"/>
      <c r="AB140" s="60"/>
      <c r="AC140" s="63"/>
      <c r="AD140" s="58"/>
      <c r="AE140" s="119"/>
      <c r="AF140" s="119"/>
      <c r="AG140" s="119"/>
      <c r="AH140" s="119"/>
      <c r="AI140" s="119"/>
      <c r="AJ140" s="64"/>
      <c r="AK140" s="120"/>
      <c r="AL140" s="58"/>
      <c r="AM140" s="60"/>
      <c r="AN140" s="119"/>
      <c r="AO140" s="58"/>
      <c r="AP140" s="61"/>
      <c r="AQ140" s="120"/>
      <c r="AR140" s="58"/>
      <c r="AS140" s="63"/>
      <c r="AT140" s="58"/>
      <c r="AU140" s="61"/>
      <c r="AV140" s="120"/>
      <c r="AW140" s="58"/>
      <c r="AX140" s="63"/>
      <c r="AY140" s="58"/>
      <c r="AZ140" s="61"/>
      <c r="BA140" s="120"/>
      <c r="BB140" s="58"/>
      <c r="BC140" s="64"/>
      <c r="BD140" s="120"/>
      <c r="BE140" s="61"/>
      <c r="BF140" s="56"/>
      <c r="BG140" s="56"/>
      <c r="BH140" s="56">
        <f t="shared" si="4"/>
        <v>0</v>
      </c>
      <c r="BI140" s="56">
        <f t="shared" si="2"/>
        <v>0</v>
      </c>
      <c r="BJ140" s="57"/>
      <c r="BK140" s="57"/>
      <c r="BL140" s="57"/>
      <c r="BM140" s="57"/>
    </row>
    <row r="141" ht="12.0" hidden="1" customHeight="1">
      <c r="A141" s="113">
        <v>102.0</v>
      </c>
      <c r="B141" s="59"/>
      <c r="C141" s="58"/>
      <c r="D141" s="58"/>
      <c r="E141" s="58"/>
      <c r="F141" s="58"/>
      <c r="G141" s="58"/>
      <c r="H141" s="60"/>
      <c r="I141" s="61"/>
      <c r="J141" s="114"/>
      <c r="K141" s="115"/>
      <c r="L141" s="116"/>
      <c r="M141" s="60"/>
      <c r="N141" s="117"/>
      <c r="O141" s="118"/>
      <c r="P141" s="58"/>
      <c r="Q141" s="60"/>
      <c r="R141" s="62"/>
      <c r="S141" s="58"/>
      <c r="T141" s="58"/>
      <c r="U141" s="119"/>
      <c r="V141" s="119"/>
      <c r="W141" s="119"/>
      <c r="X141" s="119"/>
      <c r="Y141" s="64"/>
      <c r="Z141" s="120"/>
      <c r="AA141" s="58"/>
      <c r="AB141" s="60"/>
      <c r="AC141" s="63"/>
      <c r="AD141" s="58"/>
      <c r="AE141" s="119"/>
      <c r="AF141" s="119"/>
      <c r="AG141" s="119"/>
      <c r="AH141" s="119"/>
      <c r="AI141" s="119"/>
      <c r="AJ141" s="64"/>
      <c r="AK141" s="120"/>
      <c r="AL141" s="58"/>
      <c r="AM141" s="60"/>
      <c r="AN141" s="119"/>
      <c r="AO141" s="58"/>
      <c r="AP141" s="61"/>
      <c r="AQ141" s="120"/>
      <c r="AR141" s="58"/>
      <c r="AS141" s="63"/>
      <c r="AT141" s="58"/>
      <c r="AU141" s="61"/>
      <c r="AV141" s="120"/>
      <c r="AW141" s="58"/>
      <c r="AX141" s="63"/>
      <c r="AY141" s="58"/>
      <c r="AZ141" s="61"/>
      <c r="BA141" s="120"/>
      <c r="BB141" s="58"/>
      <c r="BC141" s="64"/>
      <c r="BD141" s="120"/>
      <c r="BE141" s="61"/>
      <c r="BF141" s="56"/>
      <c r="BG141" s="56"/>
      <c r="BH141" s="56">
        <f t="shared" si="4"/>
        <v>0</v>
      </c>
      <c r="BI141" s="56">
        <f t="shared" si="2"/>
        <v>0</v>
      </c>
      <c r="BJ141" s="57"/>
      <c r="BK141" s="57"/>
      <c r="BL141" s="57"/>
      <c r="BM141" s="57"/>
    </row>
    <row r="142" ht="12.0" hidden="1" customHeight="1">
      <c r="A142" s="113">
        <v>103.0</v>
      </c>
      <c r="B142" s="59"/>
      <c r="C142" s="58"/>
      <c r="D142" s="58"/>
      <c r="E142" s="58"/>
      <c r="F142" s="58"/>
      <c r="G142" s="58"/>
      <c r="H142" s="60"/>
      <c r="I142" s="61"/>
      <c r="J142" s="114"/>
      <c r="K142" s="115"/>
      <c r="L142" s="116"/>
      <c r="M142" s="60"/>
      <c r="N142" s="117"/>
      <c r="O142" s="118"/>
      <c r="P142" s="58"/>
      <c r="Q142" s="60"/>
      <c r="R142" s="62"/>
      <c r="S142" s="58"/>
      <c r="T142" s="58"/>
      <c r="U142" s="119"/>
      <c r="V142" s="119"/>
      <c r="W142" s="119"/>
      <c r="X142" s="119"/>
      <c r="Y142" s="64"/>
      <c r="Z142" s="120"/>
      <c r="AA142" s="58"/>
      <c r="AB142" s="60"/>
      <c r="AC142" s="63"/>
      <c r="AD142" s="58"/>
      <c r="AE142" s="119"/>
      <c r="AF142" s="119"/>
      <c r="AG142" s="119"/>
      <c r="AH142" s="119"/>
      <c r="AI142" s="119"/>
      <c r="AJ142" s="64"/>
      <c r="AK142" s="120"/>
      <c r="AL142" s="58"/>
      <c r="AM142" s="60"/>
      <c r="AN142" s="119"/>
      <c r="AO142" s="58"/>
      <c r="AP142" s="61"/>
      <c r="AQ142" s="120"/>
      <c r="AR142" s="58"/>
      <c r="AS142" s="63"/>
      <c r="AT142" s="58"/>
      <c r="AU142" s="61"/>
      <c r="AV142" s="120"/>
      <c r="AW142" s="58"/>
      <c r="AX142" s="63"/>
      <c r="AY142" s="58"/>
      <c r="AZ142" s="61"/>
      <c r="BA142" s="120"/>
      <c r="BB142" s="58"/>
      <c r="BC142" s="64"/>
      <c r="BD142" s="120"/>
      <c r="BE142" s="61"/>
      <c r="BF142" s="56"/>
      <c r="BG142" s="56"/>
      <c r="BH142" s="56">
        <f t="shared" si="4"/>
        <v>0</v>
      </c>
      <c r="BI142" s="56">
        <f t="shared" si="2"/>
        <v>0</v>
      </c>
      <c r="BJ142" s="57"/>
      <c r="BK142" s="57"/>
      <c r="BL142" s="57"/>
      <c r="BM142" s="57"/>
    </row>
    <row r="143" ht="12.0" hidden="1" customHeight="1">
      <c r="A143" s="113">
        <v>104.0</v>
      </c>
      <c r="B143" s="59"/>
      <c r="C143" s="58"/>
      <c r="D143" s="58"/>
      <c r="E143" s="58"/>
      <c r="F143" s="58"/>
      <c r="G143" s="58"/>
      <c r="H143" s="60"/>
      <c r="I143" s="61"/>
      <c r="J143" s="114"/>
      <c r="K143" s="115"/>
      <c r="L143" s="116"/>
      <c r="M143" s="60"/>
      <c r="N143" s="117"/>
      <c r="O143" s="118"/>
      <c r="P143" s="58"/>
      <c r="Q143" s="60"/>
      <c r="R143" s="62"/>
      <c r="S143" s="58"/>
      <c r="T143" s="58"/>
      <c r="U143" s="119"/>
      <c r="V143" s="119"/>
      <c r="W143" s="119"/>
      <c r="X143" s="119"/>
      <c r="Y143" s="64"/>
      <c r="Z143" s="120"/>
      <c r="AA143" s="58"/>
      <c r="AB143" s="60"/>
      <c r="AC143" s="63"/>
      <c r="AD143" s="58"/>
      <c r="AE143" s="119"/>
      <c r="AF143" s="119"/>
      <c r="AG143" s="119"/>
      <c r="AH143" s="119"/>
      <c r="AI143" s="119"/>
      <c r="AJ143" s="64"/>
      <c r="AK143" s="120"/>
      <c r="AL143" s="58"/>
      <c r="AM143" s="60"/>
      <c r="AN143" s="119"/>
      <c r="AO143" s="58"/>
      <c r="AP143" s="61"/>
      <c r="AQ143" s="120"/>
      <c r="AR143" s="58"/>
      <c r="AS143" s="63"/>
      <c r="AT143" s="58"/>
      <c r="AU143" s="61"/>
      <c r="AV143" s="120"/>
      <c r="AW143" s="58"/>
      <c r="AX143" s="63"/>
      <c r="AY143" s="58"/>
      <c r="AZ143" s="61"/>
      <c r="BA143" s="120"/>
      <c r="BB143" s="58"/>
      <c r="BC143" s="64"/>
      <c r="BD143" s="120"/>
      <c r="BE143" s="61"/>
      <c r="BF143" s="56"/>
      <c r="BG143" s="56"/>
      <c r="BH143" s="56">
        <f t="shared" si="4"/>
        <v>0</v>
      </c>
      <c r="BI143" s="56">
        <f t="shared" si="2"/>
        <v>0</v>
      </c>
      <c r="BJ143" s="57"/>
      <c r="BK143" s="57"/>
      <c r="BL143" s="57"/>
      <c r="BM143" s="57"/>
    </row>
    <row r="144" ht="12.0" hidden="1" customHeight="1">
      <c r="A144" s="113">
        <v>105.0</v>
      </c>
      <c r="B144" s="59"/>
      <c r="C144" s="58"/>
      <c r="D144" s="58"/>
      <c r="E144" s="58"/>
      <c r="F144" s="58"/>
      <c r="G144" s="58"/>
      <c r="H144" s="60"/>
      <c r="I144" s="61"/>
      <c r="J144" s="114"/>
      <c r="K144" s="115"/>
      <c r="L144" s="116"/>
      <c r="M144" s="60"/>
      <c r="N144" s="117"/>
      <c r="O144" s="118"/>
      <c r="P144" s="58"/>
      <c r="Q144" s="60"/>
      <c r="R144" s="62"/>
      <c r="S144" s="58"/>
      <c r="T144" s="58"/>
      <c r="U144" s="119"/>
      <c r="V144" s="119"/>
      <c r="W144" s="119"/>
      <c r="X144" s="119"/>
      <c r="Y144" s="64"/>
      <c r="Z144" s="120"/>
      <c r="AA144" s="58"/>
      <c r="AB144" s="60"/>
      <c r="AC144" s="63"/>
      <c r="AD144" s="58"/>
      <c r="AE144" s="119"/>
      <c r="AF144" s="119"/>
      <c r="AG144" s="119"/>
      <c r="AH144" s="119"/>
      <c r="AI144" s="119"/>
      <c r="AJ144" s="64"/>
      <c r="AK144" s="120"/>
      <c r="AL144" s="58"/>
      <c r="AM144" s="60"/>
      <c r="AN144" s="119"/>
      <c r="AO144" s="58"/>
      <c r="AP144" s="61"/>
      <c r="AQ144" s="120"/>
      <c r="AR144" s="58"/>
      <c r="AS144" s="63"/>
      <c r="AT144" s="58"/>
      <c r="AU144" s="61"/>
      <c r="AV144" s="120"/>
      <c r="AW144" s="58"/>
      <c r="AX144" s="63"/>
      <c r="AY144" s="58"/>
      <c r="AZ144" s="61"/>
      <c r="BA144" s="120"/>
      <c r="BB144" s="58"/>
      <c r="BC144" s="64"/>
      <c r="BD144" s="120"/>
      <c r="BE144" s="61"/>
      <c r="BF144" s="56"/>
      <c r="BG144" s="56"/>
      <c r="BH144" s="56">
        <f t="shared" si="4"/>
        <v>0</v>
      </c>
      <c r="BI144" s="56">
        <f t="shared" si="2"/>
        <v>0</v>
      </c>
      <c r="BJ144" s="57"/>
      <c r="BK144" s="57"/>
      <c r="BL144" s="57"/>
      <c r="BM144" s="57"/>
    </row>
    <row r="145" ht="12.0" hidden="1" customHeight="1">
      <c r="A145" s="113">
        <v>106.0</v>
      </c>
      <c r="B145" s="59"/>
      <c r="C145" s="58"/>
      <c r="D145" s="58"/>
      <c r="E145" s="58"/>
      <c r="F145" s="58"/>
      <c r="G145" s="58"/>
      <c r="H145" s="60"/>
      <c r="I145" s="61"/>
      <c r="J145" s="114"/>
      <c r="K145" s="115"/>
      <c r="L145" s="116"/>
      <c r="M145" s="60"/>
      <c r="N145" s="117"/>
      <c r="O145" s="118"/>
      <c r="P145" s="58"/>
      <c r="Q145" s="60"/>
      <c r="R145" s="62"/>
      <c r="S145" s="58"/>
      <c r="T145" s="58"/>
      <c r="U145" s="119"/>
      <c r="V145" s="119"/>
      <c r="W145" s="119"/>
      <c r="X145" s="119"/>
      <c r="Y145" s="64"/>
      <c r="Z145" s="120"/>
      <c r="AA145" s="58"/>
      <c r="AB145" s="60"/>
      <c r="AC145" s="63"/>
      <c r="AD145" s="58"/>
      <c r="AE145" s="119"/>
      <c r="AF145" s="119"/>
      <c r="AG145" s="119"/>
      <c r="AH145" s="119"/>
      <c r="AI145" s="119"/>
      <c r="AJ145" s="64"/>
      <c r="AK145" s="120"/>
      <c r="AL145" s="58"/>
      <c r="AM145" s="60"/>
      <c r="AN145" s="119"/>
      <c r="AO145" s="58"/>
      <c r="AP145" s="61"/>
      <c r="AQ145" s="120"/>
      <c r="AR145" s="58"/>
      <c r="AS145" s="63"/>
      <c r="AT145" s="58"/>
      <c r="AU145" s="61"/>
      <c r="AV145" s="120"/>
      <c r="AW145" s="58"/>
      <c r="AX145" s="63"/>
      <c r="AY145" s="58"/>
      <c r="AZ145" s="61"/>
      <c r="BA145" s="120"/>
      <c r="BB145" s="58"/>
      <c r="BC145" s="64"/>
      <c r="BD145" s="120"/>
      <c r="BE145" s="61"/>
      <c r="BF145" s="56"/>
      <c r="BG145" s="56"/>
      <c r="BH145" s="56">
        <f t="shared" si="4"/>
        <v>0</v>
      </c>
      <c r="BI145" s="56">
        <f t="shared" si="2"/>
        <v>0</v>
      </c>
      <c r="BJ145" s="57"/>
      <c r="BK145" s="57"/>
      <c r="BL145" s="57"/>
      <c r="BM145" s="57"/>
    </row>
    <row r="146" ht="12.0" hidden="1" customHeight="1">
      <c r="A146" s="113">
        <v>107.0</v>
      </c>
      <c r="B146" s="59"/>
      <c r="C146" s="58"/>
      <c r="D146" s="58"/>
      <c r="E146" s="58"/>
      <c r="F146" s="58"/>
      <c r="G146" s="58"/>
      <c r="H146" s="60"/>
      <c r="I146" s="61"/>
      <c r="J146" s="114"/>
      <c r="K146" s="115"/>
      <c r="L146" s="116"/>
      <c r="M146" s="60"/>
      <c r="N146" s="117"/>
      <c r="O146" s="118"/>
      <c r="P146" s="58"/>
      <c r="Q146" s="60"/>
      <c r="R146" s="62"/>
      <c r="S146" s="58"/>
      <c r="T146" s="58"/>
      <c r="U146" s="119"/>
      <c r="V146" s="119"/>
      <c r="W146" s="119"/>
      <c r="X146" s="119"/>
      <c r="Y146" s="64"/>
      <c r="Z146" s="120"/>
      <c r="AA146" s="58"/>
      <c r="AB146" s="60"/>
      <c r="AC146" s="63"/>
      <c r="AD146" s="58"/>
      <c r="AE146" s="119"/>
      <c r="AF146" s="119"/>
      <c r="AG146" s="119"/>
      <c r="AH146" s="119"/>
      <c r="AI146" s="119"/>
      <c r="AJ146" s="64"/>
      <c r="AK146" s="120"/>
      <c r="AL146" s="58"/>
      <c r="AM146" s="60"/>
      <c r="AN146" s="119"/>
      <c r="AO146" s="58"/>
      <c r="AP146" s="61"/>
      <c r="AQ146" s="120"/>
      <c r="AR146" s="58"/>
      <c r="AS146" s="63"/>
      <c r="AT146" s="58"/>
      <c r="AU146" s="61"/>
      <c r="AV146" s="120"/>
      <c r="AW146" s="58"/>
      <c r="AX146" s="63"/>
      <c r="AY146" s="58"/>
      <c r="AZ146" s="61"/>
      <c r="BA146" s="120"/>
      <c r="BB146" s="58"/>
      <c r="BC146" s="64"/>
      <c r="BD146" s="120"/>
      <c r="BE146" s="61"/>
      <c r="BF146" s="56"/>
      <c r="BG146" s="56"/>
      <c r="BH146" s="56">
        <f t="shared" si="4"/>
        <v>0</v>
      </c>
      <c r="BI146" s="56">
        <f t="shared" si="2"/>
        <v>0</v>
      </c>
      <c r="BJ146" s="57"/>
      <c r="BK146" s="57"/>
      <c r="BL146" s="57"/>
      <c r="BM146" s="57"/>
    </row>
    <row r="147" ht="12.0" hidden="1" customHeight="1">
      <c r="A147" s="113">
        <v>108.0</v>
      </c>
      <c r="B147" s="59"/>
      <c r="C147" s="58"/>
      <c r="D147" s="58"/>
      <c r="E147" s="58"/>
      <c r="F147" s="58"/>
      <c r="G147" s="58"/>
      <c r="H147" s="60"/>
      <c r="I147" s="61"/>
      <c r="J147" s="114"/>
      <c r="K147" s="115"/>
      <c r="L147" s="116"/>
      <c r="M147" s="60"/>
      <c r="N147" s="117"/>
      <c r="O147" s="118"/>
      <c r="P147" s="58"/>
      <c r="Q147" s="60"/>
      <c r="R147" s="62"/>
      <c r="S147" s="58"/>
      <c r="T147" s="58"/>
      <c r="U147" s="119"/>
      <c r="V147" s="119"/>
      <c r="W147" s="119"/>
      <c r="X147" s="119"/>
      <c r="Y147" s="64"/>
      <c r="Z147" s="120"/>
      <c r="AA147" s="58"/>
      <c r="AB147" s="60"/>
      <c r="AC147" s="63"/>
      <c r="AD147" s="58"/>
      <c r="AE147" s="119"/>
      <c r="AF147" s="119"/>
      <c r="AG147" s="119"/>
      <c r="AH147" s="119"/>
      <c r="AI147" s="119"/>
      <c r="AJ147" s="64"/>
      <c r="AK147" s="120"/>
      <c r="AL147" s="58"/>
      <c r="AM147" s="60"/>
      <c r="AN147" s="119"/>
      <c r="AO147" s="58"/>
      <c r="AP147" s="61"/>
      <c r="AQ147" s="120"/>
      <c r="AR147" s="58"/>
      <c r="AS147" s="63"/>
      <c r="AT147" s="58"/>
      <c r="AU147" s="61"/>
      <c r="AV147" s="120"/>
      <c r="AW147" s="58"/>
      <c r="AX147" s="63"/>
      <c r="AY147" s="58"/>
      <c r="AZ147" s="61"/>
      <c r="BA147" s="120"/>
      <c r="BB147" s="58"/>
      <c r="BC147" s="64"/>
      <c r="BD147" s="120"/>
      <c r="BE147" s="61"/>
      <c r="BF147" s="56"/>
      <c r="BG147" s="56"/>
      <c r="BH147" s="56">
        <f t="shared" si="4"/>
        <v>0</v>
      </c>
      <c r="BI147" s="56">
        <f t="shared" si="2"/>
        <v>0</v>
      </c>
      <c r="BJ147" s="57"/>
      <c r="BK147" s="57"/>
      <c r="BL147" s="57"/>
      <c r="BM147" s="57"/>
    </row>
    <row r="148" ht="12.0" hidden="1" customHeight="1">
      <c r="A148" s="113">
        <v>109.0</v>
      </c>
      <c r="B148" s="59"/>
      <c r="C148" s="58"/>
      <c r="D148" s="58"/>
      <c r="E148" s="58"/>
      <c r="F148" s="58"/>
      <c r="G148" s="58"/>
      <c r="H148" s="60"/>
      <c r="I148" s="61"/>
      <c r="J148" s="114"/>
      <c r="K148" s="115"/>
      <c r="L148" s="116"/>
      <c r="M148" s="60"/>
      <c r="N148" s="117"/>
      <c r="O148" s="118"/>
      <c r="P148" s="58"/>
      <c r="Q148" s="60"/>
      <c r="R148" s="62"/>
      <c r="S148" s="58"/>
      <c r="T148" s="58"/>
      <c r="U148" s="119"/>
      <c r="V148" s="119"/>
      <c r="W148" s="119"/>
      <c r="X148" s="119"/>
      <c r="Y148" s="64"/>
      <c r="Z148" s="120"/>
      <c r="AA148" s="58"/>
      <c r="AB148" s="60"/>
      <c r="AC148" s="63"/>
      <c r="AD148" s="58"/>
      <c r="AE148" s="119"/>
      <c r="AF148" s="119"/>
      <c r="AG148" s="119"/>
      <c r="AH148" s="119"/>
      <c r="AI148" s="119"/>
      <c r="AJ148" s="64"/>
      <c r="AK148" s="120"/>
      <c r="AL148" s="58"/>
      <c r="AM148" s="60"/>
      <c r="AN148" s="119"/>
      <c r="AO148" s="58"/>
      <c r="AP148" s="61"/>
      <c r="AQ148" s="120"/>
      <c r="AR148" s="58"/>
      <c r="AS148" s="63"/>
      <c r="AT148" s="58"/>
      <c r="AU148" s="61"/>
      <c r="AV148" s="120"/>
      <c r="AW148" s="58"/>
      <c r="AX148" s="63"/>
      <c r="AY148" s="58"/>
      <c r="AZ148" s="61"/>
      <c r="BA148" s="120"/>
      <c r="BB148" s="58"/>
      <c r="BC148" s="64"/>
      <c r="BD148" s="120"/>
      <c r="BE148" s="61"/>
      <c r="BF148" s="56"/>
      <c r="BG148" s="56"/>
      <c r="BH148" s="56">
        <f t="shared" si="4"/>
        <v>0</v>
      </c>
      <c r="BI148" s="56">
        <f t="shared" si="2"/>
        <v>0</v>
      </c>
      <c r="BJ148" s="57"/>
      <c r="BK148" s="57"/>
      <c r="BL148" s="57"/>
      <c r="BM148" s="57"/>
    </row>
    <row r="149" ht="12.0" hidden="1" customHeight="1">
      <c r="A149" s="113">
        <v>110.0</v>
      </c>
      <c r="B149" s="59"/>
      <c r="C149" s="58"/>
      <c r="D149" s="58"/>
      <c r="E149" s="58"/>
      <c r="F149" s="58"/>
      <c r="G149" s="58"/>
      <c r="H149" s="60"/>
      <c r="I149" s="61"/>
      <c r="J149" s="114"/>
      <c r="K149" s="115"/>
      <c r="L149" s="116"/>
      <c r="M149" s="60"/>
      <c r="N149" s="117"/>
      <c r="O149" s="118"/>
      <c r="P149" s="58"/>
      <c r="Q149" s="60"/>
      <c r="R149" s="62"/>
      <c r="S149" s="58"/>
      <c r="T149" s="58"/>
      <c r="U149" s="119"/>
      <c r="V149" s="119"/>
      <c r="W149" s="119"/>
      <c r="X149" s="119"/>
      <c r="Y149" s="64"/>
      <c r="Z149" s="120"/>
      <c r="AA149" s="58"/>
      <c r="AB149" s="60"/>
      <c r="AC149" s="63"/>
      <c r="AD149" s="58"/>
      <c r="AE149" s="119"/>
      <c r="AF149" s="119"/>
      <c r="AG149" s="119"/>
      <c r="AH149" s="119"/>
      <c r="AI149" s="119"/>
      <c r="AJ149" s="64"/>
      <c r="AK149" s="120"/>
      <c r="AL149" s="58"/>
      <c r="AM149" s="60"/>
      <c r="AN149" s="119"/>
      <c r="AO149" s="58"/>
      <c r="AP149" s="61"/>
      <c r="AQ149" s="120"/>
      <c r="AR149" s="58"/>
      <c r="AS149" s="63"/>
      <c r="AT149" s="58"/>
      <c r="AU149" s="61"/>
      <c r="AV149" s="120"/>
      <c r="AW149" s="58"/>
      <c r="AX149" s="63"/>
      <c r="AY149" s="58"/>
      <c r="AZ149" s="61"/>
      <c r="BA149" s="120"/>
      <c r="BB149" s="58"/>
      <c r="BC149" s="64"/>
      <c r="BD149" s="120"/>
      <c r="BE149" s="61"/>
      <c r="BF149" s="56"/>
      <c r="BG149" s="56"/>
      <c r="BH149" s="56">
        <f t="shared" si="4"/>
        <v>0</v>
      </c>
      <c r="BI149" s="56">
        <f t="shared" si="2"/>
        <v>0</v>
      </c>
      <c r="BJ149" s="57"/>
      <c r="BK149" s="57"/>
      <c r="BL149" s="57"/>
      <c r="BM149" s="57"/>
    </row>
    <row r="150" ht="12.0" hidden="1" customHeight="1">
      <c r="A150" s="113">
        <v>111.0</v>
      </c>
      <c r="B150" s="59"/>
      <c r="C150" s="58"/>
      <c r="D150" s="58"/>
      <c r="E150" s="58"/>
      <c r="F150" s="58"/>
      <c r="G150" s="58"/>
      <c r="H150" s="60"/>
      <c r="I150" s="61"/>
      <c r="J150" s="114"/>
      <c r="K150" s="115"/>
      <c r="L150" s="116"/>
      <c r="M150" s="60"/>
      <c r="N150" s="117"/>
      <c r="O150" s="118"/>
      <c r="P150" s="58"/>
      <c r="Q150" s="60"/>
      <c r="R150" s="62"/>
      <c r="S150" s="58"/>
      <c r="T150" s="58"/>
      <c r="U150" s="119"/>
      <c r="V150" s="119"/>
      <c r="W150" s="119"/>
      <c r="X150" s="119"/>
      <c r="Y150" s="64"/>
      <c r="Z150" s="120"/>
      <c r="AA150" s="58"/>
      <c r="AB150" s="60"/>
      <c r="AC150" s="63"/>
      <c r="AD150" s="58"/>
      <c r="AE150" s="119"/>
      <c r="AF150" s="119"/>
      <c r="AG150" s="119"/>
      <c r="AH150" s="119"/>
      <c r="AI150" s="119"/>
      <c r="AJ150" s="64"/>
      <c r="AK150" s="120"/>
      <c r="AL150" s="58"/>
      <c r="AM150" s="60"/>
      <c r="AN150" s="119"/>
      <c r="AO150" s="58"/>
      <c r="AP150" s="61"/>
      <c r="AQ150" s="120"/>
      <c r="AR150" s="58"/>
      <c r="AS150" s="63"/>
      <c r="AT150" s="58"/>
      <c r="AU150" s="61"/>
      <c r="AV150" s="120"/>
      <c r="AW150" s="58"/>
      <c r="AX150" s="63"/>
      <c r="AY150" s="58"/>
      <c r="AZ150" s="61"/>
      <c r="BA150" s="120"/>
      <c r="BB150" s="58"/>
      <c r="BC150" s="64"/>
      <c r="BD150" s="120"/>
      <c r="BE150" s="61"/>
      <c r="BF150" s="56"/>
      <c r="BG150" s="56"/>
      <c r="BH150" s="56">
        <f t="shared" si="4"/>
        <v>0</v>
      </c>
      <c r="BI150" s="56">
        <f t="shared" si="2"/>
        <v>0</v>
      </c>
      <c r="BJ150" s="57"/>
      <c r="BK150" s="57"/>
      <c r="BL150" s="57"/>
      <c r="BM150" s="57"/>
    </row>
    <row r="151" ht="12.0" hidden="1" customHeight="1">
      <c r="A151" s="113">
        <v>112.0</v>
      </c>
      <c r="B151" s="59"/>
      <c r="C151" s="58"/>
      <c r="D151" s="58"/>
      <c r="E151" s="58"/>
      <c r="F151" s="58"/>
      <c r="G151" s="58"/>
      <c r="H151" s="60"/>
      <c r="I151" s="61"/>
      <c r="J151" s="114"/>
      <c r="K151" s="115"/>
      <c r="L151" s="116"/>
      <c r="M151" s="60"/>
      <c r="N151" s="117"/>
      <c r="O151" s="118"/>
      <c r="P151" s="58"/>
      <c r="Q151" s="60"/>
      <c r="R151" s="62"/>
      <c r="S151" s="58"/>
      <c r="T151" s="58"/>
      <c r="U151" s="119"/>
      <c r="V151" s="119"/>
      <c r="W151" s="119"/>
      <c r="X151" s="119"/>
      <c r="Y151" s="64"/>
      <c r="Z151" s="120"/>
      <c r="AA151" s="58"/>
      <c r="AB151" s="60"/>
      <c r="AC151" s="63"/>
      <c r="AD151" s="58"/>
      <c r="AE151" s="119"/>
      <c r="AF151" s="119"/>
      <c r="AG151" s="119"/>
      <c r="AH151" s="119"/>
      <c r="AI151" s="119"/>
      <c r="AJ151" s="64"/>
      <c r="AK151" s="120"/>
      <c r="AL151" s="58"/>
      <c r="AM151" s="60"/>
      <c r="AN151" s="119"/>
      <c r="AO151" s="58"/>
      <c r="AP151" s="61"/>
      <c r="AQ151" s="120"/>
      <c r="AR151" s="58"/>
      <c r="AS151" s="63"/>
      <c r="AT151" s="58"/>
      <c r="AU151" s="61"/>
      <c r="AV151" s="120"/>
      <c r="AW151" s="58"/>
      <c r="AX151" s="63"/>
      <c r="AY151" s="58"/>
      <c r="AZ151" s="61"/>
      <c r="BA151" s="120"/>
      <c r="BB151" s="58"/>
      <c r="BC151" s="64"/>
      <c r="BD151" s="120"/>
      <c r="BE151" s="61"/>
      <c r="BF151" s="56"/>
      <c r="BG151" s="56"/>
      <c r="BH151" s="56">
        <f t="shared" si="4"/>
        <v>0</v>
      </c>
      <c r="BI151" s="56">
        <f t="shared" si="2"/>
        <v>0</v>
      </c>
      <c r="BJ151" s="57"/>
      <c r="BK151" s="57"/>
      <c r="BL151" s="57"/>
      <c r="BM151" s="57"/>
    </row>
    <row r="152" ht="12.0" hidden="1" customHeight="1">
      <c r="A152" s="113">
        <v>113.0</v>
      </c>
      <c r="B152" s="59"/>
      <c r="C152" s="58"/>
      <c r="D152" s="58"/>
      <c r="E152" s="58"/>
      <c r="F152" s="58"/>
      <c r="G152" s="58"/>
      <c r="H152" s="60"/>
      <c r="I152" s="61"/>
      <c r="J152" s="114"/>
      <c r="K152" s="115"/>
      <c r="L152" s="116"/>
      <c r="M152" s="60"/>
      <c r="N152" s="117"/>
      <c r="O152" s="118"/>
      <c r="P152" s="58"/>
      <c r="Q152" s="60"/>
      <c r="R152" s="62"/>
      <c r="S152" s="58"/>
      <c r="T152" s="58"/>
      <c r="U152" s="119"/>
      <c r="V152" s="119"/>
      <c r="W152" s="119"/>
      <c r="X152" s="119"/>
      <c r="Y152" s="64"/>
      <c r="Z152" s="120"/>
      <c r="AA152" s="58"/>
      <c r="AB152" s="60"/>
      <c r="AC152" s="63"/>
      <c r="AD152" s="58"/>
      <c r="AE152" s="119"/>
      <c r="AF152" s="119"/>
      <c r="AG152" s="119"/>
      <c r="AH152" s="119"/>
      <c r="AI152" s="119"/>
      <c r="AJ152" s="64"/>
      <c r="AK152" s="120"/>
      <c r="AL152" s="58"/>
      <c r="AM152" s="60"/>
      <c r="AN152" s="119"/>
      <c r="AO152" s="58"/>
      <c r="AP152" s="61"/>
      <c r="AQ152" s="120"/>
      <c r="AR152" s="58"/>
      <c r="AS152" s="63"/>
      <c r="AT152" s="58"/>
      <c r="AU152" s="61"/>
      <c r="AV152" s="120"/>
      <c r="AW152" s="58"/>
      <c r="AX152" s="63"/>
      <c r="AY152" s="58"/>
      <c r="AZ152" s="61"/>
      <c r="BA152" s="120"/>
      <c r="BB152" s="58"/>
      <c r="BC152" s="64"/>
      <c r="BD152" s="120"/>
      <c r="BE152" s="61"/>
      <c r="BF152" s="56"/>
      <c r="BG152" s="56"/>
      <c r="BH152" s="56">
        <f t="shared" si="4"/>
        <v>0</v>
      </c>
      <c r="BI152" s="56">
        <f t="shared" si="2"/>
        <v>0</v>
      </c>
      <c r="BJ152" s="57"/>
      <c r="BK152" s="57"/>
      <c r="BL152" s="57"/>
      <c r="BM152" s="57"/>
    </row>
    <row r="153" ht="12.0" hidden="1" customHeight="1">
      <c r="A153" s="113">
        <v>114.0</v>
      </c>
      <c r="B153" s="59"/>
      <c r="C153" s="58"/>
      <c r="D153" s="58"/>
      <c r="E153" s="58"/>
      <c r="F153" s="58"/>
      <c r="G153" s="58"/>
      <c r="H153" s="60"/>
      <c r="I153" s="61"/>
      <c r="J153" s="114"/>
      <c r="K153" s="115"/>
      <c r="L153" s="116"/>
      <c r="M153" s="60"/>
      <c r="N153" s="117"/>
      <c r="O153" s="118"/>
      <c r="P153" s="58"/>
      <c r="Q153" s="60"/>
      <c r="R153" s="62"/>
      <c r="S153" s="58"/>
      <c r="T153" s="58"/>
      <c r="U153" s="119"/>
      <c r="V153" s="119"/>
      <c r="W153" s="119"/>
      <c r="X153" s="119"/>
      <c r="Y153" s="64"/>
      <c r="Z153" s="120"/>
      <c r="AA153" s="58"/>
      <c r="AB153" s="60"/>
      <c r="AC153" s="63"/>
      <c r="AD153" s="58"/>
      <c r="AE153" s="119"/>
      <c r="AF153" s="119"/>
      <c r="AG153" s="119"/>
      <c r="AH153" s="119"/>
      <c r="AI153" s="119"/>
      <c r="AJ153" s="64"/>
      <c r="AK153" s="120"/>
      <c r="AL153" s="58"/>
      <c r="AM153" s="60"/>
      <c r="AN153" s="119"/>
      <c r="AO153" s="58"/>
      <c r="AP153" s="61"/>
      <c r="AQ153" s="120"/>
      <c r="AR153" s="58"/>
      <c r="AS153" s="63"/>
      <c r="AT153" s="58"/>
      <c r="AU153" s="61"/>
      <c r="AV153" s="120"/>
      <c r="AW153" s="58"/>
      <c r="AX153" s="63"/>
      <c r="AY153" s="58"/>
      <c r="AZ153" s="61"/>
      <c r="BA153" s="120"/>
      <c r="BB153" s="58"/>
      <c r="BC153" s="64"/>
      <c r="BD153" s="120"/>
      <c r="BE153" s="61"/>
      <c r="BF153" s="56"/>
      <c r="BG153" s="56"/>
      <c r="BH153" s="56">
        <f t="shared" si="4"/>
        <v>0</v>
      </c>
      <c r="BI153" s="56">
        <f t="shared" si="2"/>
        <v>0</v>
      </c>
      <c r="BJ153" s="57"/>
      <c r="BK153" s="57"/>
      <c r="BL153" s="57"/>
      <c r="BM153" s="57"/>
    </row>
    <row r="154" ht="12.0" hidden="1" customHeight="1">
      <c r="A154" s="113">
        <v>115.0</v>
      </c>
      <c r="B154" s="59"/>
      <c r="C154" s="58"/>
      <c r="D154" s="58"/>
      <c r="E154" s="58"/>
      <c r="F154" s="58"/>
      <c r="G154" s="58"/>
      <c r="H154" s="60"/>
      <c r="I154" s="61"/>
      <c r="J154" s="114"/>
      <c r="K154" s="115"/>
      <c r="L154" s="116"/>
      <c r="M154" s="60"/>
      <c r="N154" s="117"/>
      <c r="O154" s="118"/>
      <c r="P154" s="58"/>
      <c r="Q154" s="60"/>
      <c r="R154" s="62"/>
      <c r="S154" s="58"/>
      <c r="T154" s="58"/>
      <c r="U154" s="119"/>
      <c r="V154" s="119"/>
      <c r="W154" s="119"/>
      <c r="X154" s="119"/>
      <c r="Y154" s="64"/>
      <c r="Z154" s="120"/>
      <c r="AA154" s="58"/>
      <c r="AB154" s="60"/>
      <c r="AC154" s="63"/>
      <c r="AD154" s="58"/>
      <c r="AE154" s="119"/>
      <c r="AF154" s="119"/>
      <c r="AG154" s="119"/>
      <c r="AH154" s="119"/>
      <c r="AI154" s="119"/>
      <c r="AJ154" s="64"/>
      <c r="AK154" s="120"/>
      <c r="AL154" s="58"/>
      <c r="AM154" s="60"/>
      <c r="AN154" s="119"/>
      <c r="AO154" s="58"/>
      <c r="AP154" s="61"/>
      <c r="AQ154" s="120"/>
      <c r="AR154" s="58"/>
      <c r="AS154" s="63"/>
      <c r="AT154" s="58"/>
      <c r="AU154" s="61"/>
      <c r="AV154" s="120"/>
      <c r="AW154" s="58"/>
      <c r="AX154" s="63"/>
      <c r="AY154" s="58"/>
      <c r="AZ154" s="61"/>
      <c r="BA154" s="120"/>
      <c r="BB154" s="58"/>
      <c r="BC154" s="64"/>
      <c r="BD154" s="120"/>
      <c r="BE154" s="61"/>
      <c r="BF154" s="56"/>
      <c r="BG154" s="56"/>
      <c r="BH154" s="56">
        <f t="shared" si="4"/>
        <v>0</v>
      </c>
      <c r="BI154" s="56">
        <f t="shared" si="2"/>
        <v>0</v>
      </c>
      <c r="BJ154" s="57"/>
      <c r="BK154" s="57"/>
      <c r="BL154" s="57"/>
      <c r="BM154" s="57"/>
    </row>
    <row r="155" ht="12.0" hidden="1" customHeight="1">
      <c r="A155" s="113">
        <v>116.0</v>
      </c>
      <c r="B155" s="59"/>
      <c r="C155" s="58"/>
      <c r="D155" s="58"/>
      <c r="E155" s="58"/>
      <c r="F155" s="58"/>
      <c r="G155" s="58"/>
      <c r="H155" s="60"/>
      <c r="I155" s="61"/>
      <c r="J155" s="114"/>
      <c r="K155" s="115"/>
      <c r="L155" s="116"/>
      <c r="M155" s="60"/>
      <c r="N155" s="117"/>
      <c r="O155" s="118"/>
      <c r="P155" s="58"/>
      <c r="Q155" s="60"/>
      <c r="R155" s="62"/>
      <c r="S155" s="58"/>
      <c r="T155" s="58"/>
      <c r="U155" s="119"/>
      <c r="V155" s="119"/>
      <c r="W155" s="119"/>
      <c r="X155" s="119"/>
      <c r="Y155" s="64"/>
      <c r="Z155" s="120"/>
      <c r="AA155" s="58"/>
      <c r="AB155" s="60"/>
      <c r="AC155" s="63"/>
      <c r="AD155" s="58"/>
      <c r="AE155" s="119"/>
      <c r="AF155" s="119"/>
      <c r="AG155" s="119"/>
      <c r="AH155" s="119"/>
      <c r="AI155" s="119"/>
      <c r="AJ155" s="64"/>
      <c r="AK155" s="120"/>
      <c r="AL155" s="58"/>
      <c r="AM155" s="60"/>
      <c r="AN155" s="119"/>
      <c r="AO155" s="58"/>
      <c r="AP155" s="61"/>
      <c r="AQ155" s="120"/>
      <c r="AR155" s="58"/>
      <c r="AS155" s="63"/>
      <c r="AT155" s="58"/>
      <c r="AU155" s="61"/>
      <c r="AV155" s="120"/>
      <c r="AW155" s="58"/>
      <c r="AX155" s="63"/>
      <c r="AY155" s="58"/>
      <c r="AZ155" s="61"/>
      <c r="BA155" s="120"/>
      <c r="BB155" s="58"/>
      <c r="BC155" s="64"/>
      <c r="BD155" s="120"/>
      <c r="BE155" s="61"/>
      <c r="BF155" s="56"/>
      <c r="BG155" s="56"/>
      <c r="BH155" s="56">
        <f t="shared" si="4"/>
        <v>0</v>
      </c>
      <c r="BI155" s="56">
        <f t="shared" si="2"/>
        <v>0</v>
      </c>
      <c r="BJ155" s="57"/>
      <c r="BK155" s="57"/>
      <c r="BL155" s="57"/>
      <c r="BM155" s="57"/>
    </row>
    <row r="156" ht="12.0" hidden="1" customHeight="1">
      <c r="A156" s="113">
        <v>117.0</v>
      </c>
      <c r="B156" s="59"/>
      <c r="C156" s="58"/>
      <c r="D156" s="58"/>
      <c r="E156" s="58"/>
      <c r="F156" s="58"/>
      <c r="G156" s="58"/>
      <c r="H156" s="60"/>
      <c r="I156" s="61"/>
      <c r="J156" s="114"/>
      <c r="K156" s="115"/>
      <c r="L156" s="116"/>
      <c r="M156" s="60"/>
      <c r="N156" s="117"/>
      <c r="O156" s="118"/>
      <c r="P156" s="58"/>
      <c r="Q156" s="60"/>
      <c r="R156" s="62"/>
      <c r="S156" s="58"/>
      <c r="T156" s="58"/>
      <c r="U156" s="119"/>
      <c r="V156" s="119"/>
      <c r="W156" s="119"/>
      <c r="X156" s="119"/>
      <c r="Y156" s="64"/>
      <c r="Z156" s="120"/>
      <c r="AA156" s="58"/>
      <c r="AB156" s="60"/>
      <c r="AC156" s="63"/>
      <c r="AD156" s="58"/>
      <c r="AE156" s="119"/>
      <c r="AF156" s="119"/>
      <c r="AG156" s="119"/>
      <c r="AH156" s="119"/>
      <c r="AI156" s="119"/>
      <c r="AJ156" s="64"/>
      <c r="AK156" s="120"/>
      <c r="AL156" s="58"/>
      <c r="AM156" s="60"/>
      <c r="AN156" s="119"/>
      <c r="AO156" s="58"/>
      <c r="AP156" s="61"/>
      <c r="AQ156" s="120"/>
      <c r="AR156" s="58"/>
      <c r="AS156" s="63"/>
      <c r="AT156" s="58"/>
      <c r="AU156" s="61"/>
      <c r="AV156" s="120"/>
      <c r="AW156" s="58"/>
      <c r="AX156" s="63"/>
      <c r="AY156" s="58"/>
      <c r="AZ156" s="61"/>
      <c r="BA156" s="120"/>
      <c r="BB156" s="58"/>
      <c r="BC156" s="64"/>
      <c r="BD156" s="120"/>
      <c r="BE156" s="61"/>
      <c r="BF156" s="56"/>
      <c r="BG156" s="56"/>
      <c r="BH156" s="56">
        <f t="shared" si="4"/>
        <v>0</v>
      </c>
      <c r="BI156" s="56">
        <f t="shared" si="2"/>
        <v>0</v>
      </c>
      <c r="BJ156" s="57"/>
      <c r="BK156" s="57"/>
      <c r="BL156" s="57"/>
      <c r="BM156" s="57"/>
    </row>
    <row r="157" ht="12.0" hidden="1" customHeight="1">
      <c r="A157" s="113">
        <v>118.0</v>
      </c>
      <c r="B157" s="59"/>
      <c r="C157" s="58"/>
      <c r="D157" s="58"/>
      <c r="E157" s="58"/>
      <c r="F157" s="58"/>
      <c r="G157" s="58"/>
      <c r="H157" s="60"/>
      <c r="I157" s="61"/>
      <c r="J157" s="114"/>
      <c r="K157" s="115"/>
      <c r="L157" s="116"/>
      <c r="M157" s="60"/>
      <c r="N157" s="117"/>
      <c r="O157" s="118"/>
      <c r="P157" s="58"/>
      <c r="Q157" s="60"/>
      <c r="R157" s="62"/>
      <c r="S157" s="58"/>
      <c r="T157" s="58"/>
      <c r="U157" s="119"/>
      <c r="V157" s="119"/>
      <c r="W157" s="119"/>
      <c r="X157" s="119"/>
      <c r="Y157" s="64"/>
      <c r="Z157" s="120"/>
      <c r="AA157" s="58"/>
      <c r="AB157" s="60"/>
      <c r="AC157" s="63"/>
      <c r="AD157" s="58"/>
      <c r="AE157" s="119"/>
      <c r="AF157" s="119"/>
      <c r="AG157" s="119"/>
      <c r="AH157" s="119"/>
      <c r="AI157" s="119"/>
      <c r="AJ157" s="64"/>
      <c r="AK157" s="120"/>
      <c r="AL157" s="58"/>
      <c r="AM157" s="60"/>
      <c r="AN157" s="119"/>
      <c r="AO157" s="58"/>
      <c r="AP157" s="61"/>
      <c r="AQ157" s="120"/>
      <c r="AR157" s="58"/>
      <c r="AS157" s="63"/>
      <c r="AT157" s="58"/>
      <c r="AU157" s="61"/>
      <c r="AV157" s="120"/>
      <c r="AW157" s="58"/>
      <c r="AX157" s="63"/>
      <c r="AY157" s="58"/>
      <c r="AZ157" s="61"/>
      <c r="BA157" s="120"/>
      <c r="BB157" s="58"/>
      <c r="BC157" s="64"/>
      <c r="BD157" s="120"/>
      <c r="BE157" s="61"/>
      <c r="BF157" s="56"/>
      <c r="BG157" s="56"/>
      <c r="BH157" s="56">
        <f t="shared" si="4"/>
        <v>0</v>
      </c>
      <c r="BI157" s="56">
        <f t="shared" si="2"/>
        <v>0</v>
      </c>
      <c r="BJ157" s="57"/>
      <c r="BK157" s="57"/>
      <c r="BL157" s="57"/>
      <c r="BM157" s="57"/>
    </row>
    <row r="158" ht="12.0" hidden="1" customHeight="1">
      <c r="A158" s="113">
        <v>119.0</v>
      </c>
      <c r="B158" s="59"/>
      <c r="C158" s="58"/>
      <c r="D158" s="58"/>
      <c r="E158" s="58"/>
      <c r="F158" s="58"/>
      <c r="G158" s="58"/>
      <c r="H158" s="60"/>
      <c r="I158" s="61"/>
      <c r="J158" s="114"/>
      <c r="K158" s="115"/>
      <c r="L158" s="116"/>
      <c r="M158" s="60"/>
      <c r="N158" s="117"/>
      <c r="O158" s="118"/>
      <c r="P158" s="58"/>
      <c r="Q158" s="60"/>
      <c r="R158" s="62"/>
      <c r="S158" s="58"/>
      <c r="T158" s="58"/>
      <c r="U158" s="119"/>
      <c r="V158" s="119"/>
      <c r="W158" s="119"/>
      <c r="X158" s="119"/>
      <c r="Y158" s="64"/>
      <c r="Z158" s="120"/>
      <c r="AA158" s="58"/>
      <c r="AB158" s="60"/>
      <c r="AC158" s="63"/>
      <c r="AD158" s="58"/>
      <c r="AE158" s="119"/>
      <c r="AF158" s="119"/>
      <c r="AG158" s="119"/>
      <c r="AH158" s="119"/>
      <c r="AI158" s="119"/>
      <c r="AJ158" s="64"/>
      <c r="AK158" s="120"/>
      <c r="AL158" s="58"/>
      <c r="AM158" s="60"/>
      <c r="AN158" s="119"/>
      <c r="AO158" s="58"/>
      <c r="AP158" s="61"/>
      <c r="AQ158" s="120"/>
      <c r="AR158" s="58"/>
      <c r="AS158" s="63"/>
      <c r="AT158" s="58"/>
      <c r="AU158" s="61"/>
      <c r="AV158" s="120"/>
      <c r="AW158" s="58"/>
      <c r="AX158" s="63"/>
      <c r="AY158" s="58"/>
      <c r="AZ158" s="61"/>
      <c r="BA158" s="120"/>
      <c r="BB158" s="58"/>
      <c r="BC158" s="64"/>
      <c r="BD158" s="120"/>
      <c r="BE158" s="61"/>
      <c r="BF158" s="56"/>
      <c r="BG158" s="56"/>
      <c r="BH158" s="56">
        <f t="shared" si="4"/>
        <v>0</v>
      </c>
      <c r="BI158" s="56">
        <f t="shared" si="2"/>
        <v>0</v>
      </c>
      <c r="BJ158" s="57"/>
      <c r="BK158" s="57"/>
      <c r="BL158" s="57"/>
      <c r="BM158" s="57"/>
    </row>
    <row r="159" ht="12.0" hidden="1" customHeight="1">
      <c r="A159" s="113">
        <v>120.0</v>
      </c>
      <c r="B159" s="59"/>
      <c r="C159" s="58"/>
      <c r="D159" s="58"/>
      <c r="E159" s="58"/>
      <c r="F159" s="58"/>
      <c r="G159" s="58"/>
      <c r="H159" s="60"/>
      <c r="I159" s="61"/>
      <c r="J159" s="114"/>
      <c r="K159" s="115"/>
      <c r="L159" s="116"/>
      <c r="M159" s="60"/>
      <c r="N159" s="117"/>
      <c r="O159" s="118"/>
      <c r="P159" s="58"/>
      <c r="Q159" s="60"/>
      <c r="R159" s="62"/>
      <c r="S159" s="58"/>
      <c r="T159" s="58"/>
      <c r="U159" s="119"/>
      <c r="V159" s="119"/>
      <c r="W159" s="119"/>
      <c r="X159" s="119"/>
      <c r="Y159" s="64"/>
      <c r="Z159" s="120"/>
      <c r="AA159" s="58"/>
      <c r="AB159" s="60"/>
      <c r="AC159" s="63"/>
      <c r="AD159" s="58"/>
      <c r="AE159" s="119"/>
      <c r="AF159" s="119"/>
      <c r="AG159" s="119"/>
      <c r="AH159" s="119"/>
      <c r="AI159" s="119"/>
      <c r="AJ159" s="64"/>
      <c r="AK159" s="120"/>
      <c r="AL159" s="58"/>
      <c r="AM159" s="60"/>
      <c r="AN159" s="119"/>
      <c r="AO159" s="58"/>
      <c r="AP159" s="61"/>
      <c r="AQ159" s="120"/>
      <c r="AR159" s="58"/>
      <c r="AS159" s="63"/>
      <c r="AT159" s="58"/>
      <c r="AU159" s="61"/>
      <c r="AV159" s="120"/>
      <c r="AW159" s="58"/>
      <c r="AX159" s="63"/>
      <c r="AY159" s="58"/>
      <c r="AZ159" s="61"/>
      <c r="BA159" s="120"/>
      <c r="BB159" s="58"/>
      <c r="BC159" s="64"/>
      <c r="BD159" s="120"/>
      <c r="BE159" s="61"/>
      <c r="BF159" s="56"/>
      <c r="BG159" s="56"/>
      <c r="BH159" s="56">
        <f t="shared" si="4"/>
        <v>0</v>
      </c>
      <c r="BI159" s="56">
        <f t="shared" si="2"/>
        <v>0</v>
      </c>
      <c r="BJ159" s="57"/>
      <c r="BK159" s="57"/>
      <c r="BL159" s="57"/>
      <c r="BM159" s="57"/>
    </row>
    <row r="160" ht="12.0" hidden="1" customHeight="1">
      <c r="A160" s="113">
        <v>121.0</v>
      </c>
      <c r="B160" s="59"/>
      <c r="C160" s="58"/>
      <c r="D160" s="58"/>
      <c r="E160" s="58"/>
      <c r="F160" s="58"/>
      <c r="G160" s="58"/>
      <c r="H160" s="60"/>
      <c r="I160" s="61"/>
      <c r="J160" s="114"/>
      <c r="K160" s="115"/>
      <c r="L160" s="116"/>
      <c r="M160" s="60"/>
      <c r="N160" s="117"/>
      <c r="O160" s="118"/>
      <c r="P160" s="58"/>
      <c r="Q160" s="60"/>
      <c r="R160" s="62"/>
      <c r="S160" s="58"/>
      <c r="T160" s="58"/>
      <c r="U160" s="119"/>
      <c r="V160" s="119"/>
      <c r="W160" s="119"/>
      <c r="X160" s="119"/>
      <c r="Y160" s="64"/>
      <c r="Z160" s="120"/>
      <c r="AA160" s="58"/>
      <c r="AB160" s="60"/>
      <c r="AC160" s="63"/>
      <c r="AD160" s="58"/>
      <c r="AE160" s="119"/>
      <c r="AF160" s="119"/>
      <c r="AG160" s="119"/>
      <c r="AH160" s="119"/>
      <c r="AI160" s="119"/>
      <c r="AJ160" s="64"/>
      <c r="AK160" s="120"/>
      <c r="AL160" s="58"/>
      <c r="AM160" s="60"/>
      <c r="AN160" s="119"/>
      <c r="AO160" s="58"/>
      <c r="AP160" s="61"/>
      <c r="AQ160" s="120"/>
      <c r="AR160" s="58"/>
      <c r="AS160" s="63"/>
      <c r="AT160" s="58"/>
      <c r="AU160" s="61"/>
      <c r="AV160" s="120"/>
      <c r="AW160" s="58"/>
      <c r="AX160" s="63"/>
      <c r="AY160" s="58"/>
      <c r="AZ160" s="61"/>
      <c r="BA160" s="120"/>
      <c r="BB160" s="58"/>
      <c r="BC160" s="64"/>
      <c r="BD160" s="120"/>
      <c r="BE160" s="61"/>
      <c r="BF160" s="56"/>
      <c r="BG160" s="56"/>
      <c r="BH160" s="56">
        <f t="shared" si="4"/>
        <v>0</v>
      </c>
      <c r="BI160" s="56">
        <f t="shared" si="2"/>
        <v>0</v>
      </c>
      <c r="BJ160" s="57"/>
      <c r="BK160" s="57"/>
      <c r="BL160" s="57"/>
      <c r="BM160" s="57"/>
    </row>
    <row r="161" ht="12.0" hidden="1" customHeight="1">
      <c r="A161" s="113">
        <v>122.0</v>
      </c>
      <c r="B161" s="59"/>
      <c r="C161" s="58"/>
      <c r="D161" s="58"/>
      <c r="E161" s="58"/>
      <c r="F161" s="58"/>
      <c r="G161" s="58"/>
      <c r="H161" s="60"/>
      <c r="I161" s="61"/>
      <c r="J161" s="114"/>
      <c r="K161" s="115"/>
      <c r="L161" s="116"/>
      <c r="M161" s="60"/>
      <c r="N161" s="117"/>
      <c r="O161" s="118"/>
      <c r="P161" s="58"/>
      <c r="Q161" s="60"/>
      <c r="R161" s="62"/>
      <c r="S161" s="58"/>
      <c r="T161" s="58"/>
      <c r="U161" s="119"/>
      <c r="V161" s="119"/>
      <c r="W161" s="119"/>
      <c r="X161" s="119"/>
      <c r="Y161" s="64"/>
      <c r="Z161" s="120"/>
      <c r="AA161" s="58"/>
      <c r="AB161" s="60"/>
      <c r="AC161" s="63"/>
      <c r="AD161" s="58"/>
      <c r="AE161" s="119"/>
      <c r="AF161" s="119"/>
      <c r="AG161" s="119"/>
      <c r="AH161" s="119"/>
      <c r="AI161" s="119"/>
      <c r="AJ161" s="64"/>
      <c r="AK161" s="120"/>
      <c r="AL161" s="58"/>
      <c r="AM161" s="60"/>
      <c r="AN161" s="119"/>
      <c r="AO161" s="58"/>
      <c r="AP161" s="61"/>
      <c r="AQ161" s="120"/>
      <c r="AR161" s="58"/>
      <c r="AS161" s="63"/>
      <c r="AT161" s="58"/>
      <c r="AU161" s="61"/>
      <c r="AV161" s="120"/>
      <c r="AW161" s="58"/>
      <c r="AX161" s="63"/>
      <c r="AY161" s="58"/>
      <c r="AZ161" s="61"/>
      <c r="BA161" s="120"/>
      <c r="BB161" s="58"/>
      <c r="BC161" s="64"/>
      <c r="BD161" s="120"/>
      <c r="BE161" s="61"/>
      <c r="BF161" s="56"/>
      <c r="BG161" s="56"/>
      <c r="BH161" s="56">
        <f t="shared" si="4"/>
        <v>0</v>
      </c>
      <c r="BI161" s="56">
        <f t="shared" si="2"/>
        <v>0</v>
      </c>
      <c r="BJ161" s="57"/>
      <c r="BK161" s="57"/>
      <c r="BL161" s="57"/>
      <c r="BM161" s="57"/>
    </row>
    <row r="162" ht="12.0" hidden="1" customHeight="1">
      <c r="A162" s="113">
        <v>123.0</v>
      </c>
      <c r="B162" s="59"/>
      <c r="C162" s="58"/>
      <c r="D162" s="58"/>
      <c r="E162" s="58"/>
      <c r="F162" s="58"/>
      <c r="G162" s="58"/>
      <c r="H162" s="60"/>
      <c r="I162" s="61"/>
      <c r="J162" s="114"/>
      <c r="K162" s="115"/>
      <c r="L162" s="116"/>
      <c r="M162" s="60"/>
      <c r="N162" s="117"/>
      <c r="O162" s="118"/>
      <c r="P162" s="58"/>
      <c r="Q162" s="60"/>
      <c r="R162" s="62"/>
      <c r="S162" s="58"/>
      <c r="T162" s="58"/>
      <c r="U162" s="119"/>
      <c r="V162" s="119"/>
      <c r="W162" s="119"/>
      <c r="X162" s="119"/>
      <c r="Y162" s="64"/>
      <c r="Z162" s="120"/>
      <c r="AA162" s="58"/>
      <c r="AB162" s="60"/>
      <c r="AC162" s="63"/>
      <c r="AD162" s="58"/>
      <c r="AE162" s="119"/>
      <c r="AF162" s="119"/>
      <c r="AG162" s="119"/>
      <c r="AH162" s="119"/>
      <c r="AI162" s="119"/>
      <c r="AJ162" s="64"/>
      <c r="AK162" s="120"/>
      <c r="AL162" s="58"/>
      <c r="AM162" s="60"/>
      <c r="AN162" s="119"/>
      <c r="AO162" s="58"/>
      <c r="AP162" s="61"/>
      <c r="AQ162" s="120"/>
      <c r="AR162" s="58"/>
      <c r="AS162" s="63"/>
      <c r="AT162" s="58"/>
      <c r="AU162" s="61"/>
      <c r="AV162" s="120"/>
      <c r="AW162" s="58"/>
      <c r="AX162" s="63"/>
      <c r="AY162" s="58"/>
      <c r="AZ162" s="61"/>
      <c r="BA162" s="120"/>
      <c r="BB162" s="58"/>
      <c r="BC162" s="64"/>
      <c r="BD162" s="120"/>
      <c r="BE162" s="61"/>
      <c r="BF162" s="56"/>
      <c r="BG162" s="56"/>
      <c r="BH162" s="56">
        <f t="shared" si="4"/>
        <v>0</v>
      </c>
      <c r="BI162" s="56">
        <f t="shared" si="2"/>
        <v>0</v>
      </c>
      <c r="BJ162" s="57"/>
      <c r="BK162" s="57"/>
      <c r="BL162" s="57"/>
      <c r="BM162" s="57"/>
    </row>
    <row r="163" ht="12.0" hidden="1" customHeight="1">
      <c r="A163" s="113">
        <v>124.0</v>
      </c>
      <c r="B163" s="59"/>
      <c r="C163" s="58"/>
      <c r="D163" s="58"/>
      <c r="E163" s="58"/>
      <c r="F163" s="58"/>
      <c r="G163" s="58"/>
      <c r="H163" s="60"/>
      <c r="I163" s="61"/>
      <c r="J163" s="114"/>
      <c r="K163" s="115"/>
      <c r="L163" s="116"/>
      <c r="M163" s="60"/>
      <c r="N163" s="117"/>
      <c r="O163" s="118"/>
      <c r="P163" s="58"/>
      <c r="Q163" s="60"/>
      <c r="R163" s="62"/>
      <c r="S163" s="58"/>
      <c r="T163" s="58"/>
      <c r="U163" s="119"/>
      <c r="V163" s="119"/>
      <c r="W163" s="119"/>
      <c r="X163" s="119"/>
      <c r="Y163" s="64"/>
      <c r="Z163" s="120"/>
      <c r="AA163" s="58"/>
      <c r="AB163" s="60"/>
      <c r="AC163" s="63"/>
      <c r="AD163" s="58"/>
      <c r="AE163" s="119"/>
      <c r="AF163" s="119"/>
      <c r="AG163" s="119"/>
      <c r="AH163" s="119"/>
      <c r="AI163" s="119"/>
      <c r="AJ163" s="64"/>
      <c r="AK163" s="120"/>
      <c r="AL163" s="58"/>
      <c r="AM163" s="60"/>
      <c r="AN163" s="119"/>
      <c r="AO163" s="58"/>
      <c r="AP163" s="61"/>
      <c r="AQ163" s="120"/>
      <c r="AR163" s="58"/>
      <c r="AS163" s="63"/>
      <c r="AT163" s="58"/>
      <c r="AU163" s="61"/>
      <c r="AV163" s="120"/>
      <c r="AW163" s="58"/>
      <c r="AX163" s="63"/>
      <c r="AY163" s="58"/>
      <c r="AZ163" s="61"/>
      <c r="BA163" s="120"/>
      <c r="BB163" s="58"/>
      <c r="BC163" s="64"/>
      <c r="BD163" s="120"/>
      <c r="BE163" s="61"/>
      <c r="BF163" s="56"/>
      <c r="BG163" s="56"/>
      <c r="BH163" s="56">
        <f t="shared" si="4"/>
        <v>0</v>
      </c>
      <c r="BI163" s="56">
        <f t="shared" si="2"/>
        <v>0</v>
      </c>
      <c r="BJ163" s="57"/>
      <c r="BK163" s="57"/>
      <c r="BL163" s="57"/>
      <c r="BM163" s="57"/>
    </row>
    <row r="164" ht="12.0" customHeight="1">
      <c r="A164" s="121"/>
      <c r="B164" s="121"/>
      <c r="C164" s="121"/>
      <c r="D164" s="121"/>
      <c r="E164" s="121"/>
      <c r="F164" s="121"/>
      <c r="G164" s="121"/>
      <c r="H164" s="122">
        <f>SUM(H2:H163)</f>
        <v>14836.94444</v>
      </c>
      <c r="I164" s="123"/>
      <c r="J164" s="124"/>
      <c r="K164" s="121"/>
      <c r="L164" s="121">
        <f>SUMIF($L$2:$L$83,"Gravel", $M$2:$M$83)</f>
        <v>0</v>
      </c>
      <c r="M164" s="122"/>
      <c r="N164" s="123"/>
      <c r="O164" s="124"/>
      <c r="P164" s="121"/>
      <c r="Q164" s="125"/>
      <c r="R164" s="126"/>
      <c r="S164" s="121"/>
      <c r="T164" s="121"/>
      <c r="U164" s="121"/>
      <c r="V164" s="121"/>
      <c r="W164" s="121"/>
      <c r="X164" s="121"/>
      <c r="Y164" s="123"/>
      <c r="Z164" s="124"/>
      <c r="AA164" s="121"/>
      <c r="AB164" s="122"/>
      <c r="AC164" s="121"/>
      <c r="AD164" s="121"/>
      <c r="AE164" s="121"/>
      <c r="AF164" s="121"/>
      <c r="AG164" s="121"/>
      <c r="AH164" s="121"/>
      <c r="AI164" s="121"/>
      <c r="AJ164" s="123"/>
      <c r="AK164" s="124"/>
      <c r="AL164" s="121"/>
      <c r="AM164" s="122"/>
      <c r="AN164" s="121"/>
      <c r="AO164" s="121"/>
      <c r="AP164" s="123"/>
      <c r="AQ164" s="124"/>
      <c r="AR164" s="121"/>
      <c r="AS164" s="121"/>
      <c r="AT164" s="121"/>
      <c r="AU164" s="123"/>
      <c r="AV164" s="124"/>
      <c r="AW164" s="121"/>
      <c r="AX164" s="121"/>
      <c r="AY164" s="121"/>
      <c r="AZ164" s="123"/>
      <c r="BA164" s="124"/>
      <c r="BB164" s="121"/>
      <c r="BC164" s="123"/>
      <c r="BD164" s="124"/>
      <c r="BE164" s="123"/>
      <c r="BF164" s="127"/>
      <c r="BG164" s="127"/>
      <c r="BH164" s="128" t="str">
        <f>SUMIF($P$2:$P$83,"Exposed soil", $BH$2:$BH$83)</f>
        <v>#VALUE!</v>
      </c>
      <c r="BI164" s="129" t="s">
        <v>434</v>
      </c>
      <c r="BJ164" s="121">
        <f>SUMIF($L$2:$L$83,"Gravel", $M$2:$M$83)</f>
        <v>0</v>
      </c>
      <c r="BK164" s="121"/>
      <c r="BL164" s="121"/>
      <c r="BM164" s="121"/>
    </row>
  </sheetData>
  <dataValidations>
    <dataValidation type="custom" allowBlank="1" showDropDown="1" sqref="H2:H163 M2:M163 Q2:Q163 AB2:AB163 AM2:AM163">
      <formula1>AND(ISNUMBER(H2),(NOT(OR(NOT(ISERROR(DATEVALUE(H2))), AND(ISNUMBER(H2), LEFT(CELL("format", H2))="D")))))</formula1>
    </dataValidation>
  </dataValidations>
  <hyperlinks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</hyperlinks>
  <drawing r:id="rId82"/>
  <legacyDrawing r:id="rId83"/>
  <tableParts count="1">
    <tablePart r:id="rId8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"/>
      <c r="B2" s="6" t="s">
        <v>10</v>
      </c>
      <c r="C2" s="7"/>
      <c r="D2" s="7"/>
      <c r="E2" s="9"/>
      <c r="F2" s="10" t="s">
        <v>13</v>
      </c>
      <c r="G2" s="10" t="s">
        <v>14</v>
      </c>
      <c r="H2" s="10" t="s">
        <v>16</v>
      </c>
      <c r="I2" s="11" t="s">
        <v>17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5" t="s">
        <v>31</v>
      </c>
      <c r="AK2" s="7"/>
      <c r="AL2" s="7"/>
      <c r="AM2" s="7"/>
      <c r="AN2" s="7"/>
      <c r="AO2" s="7"/>
      <c r="AP2" s="7"/>
      <c r="AQ2" s="7"/>
      <c r="AR2" s="7"/>
      <c r="AS2" s="7"/>
      <c r="AT2" s="9"/>
      <c r="AU2" s="16" t="s">
        <v>36</v>
      </c>
      <c r="AV2" s="7"/>
      <c r="AW2" s="7"/>
      <c r="AX2" s="7"/>
      <c r="AY2" s="9"/>
      <c r="AZ2" s="17" t="s">
        <v>39</v>
      </c>
      <c r="BA2" s="7"/>
      <c r="BB2" s="9"/>
      <c r="BC2" s="18" t="s">
        <v>41</v>
      </c>
      <c r="BD2" s="9"/>
    </row>
    <row r="3">
      <c r="A3" s="4"/>
      <c r="B3" s="19" t="s">
        <v>44</v>
      </c>
      <c r="C3" s="19" t="s">
        <v>46</v>
      </c>
      <c r="D3" s="19" t="s">
        <v>48</v>
      </c>
      <c r="E3" s="19" t="s">
        <v>50</v>
      </c>
      <c r="F3" s="19" t="s">
        <v>7</v>
      </c>
      <c r="G3" s="19" t="s">
        <v>53</v>
      </c>
      <c r="H3" s="19" t="s">
        <v>55</v>
      </c>
      <c r="I3" s="20" t="s">
        <v>57</v>
      </c>
      <c r="J3" s="7"/>
      <c r="K3" s="7"/>
      <c r="L3" s="7"/>
      <c r="M3" s="9"/>
      <c r="N3" s="21" t="s">
        <v>62</v>
      </c>
      <c r="O3" s="7"/>
      <c r="P3" s="7"/>
      <c r="Q3" s="7"/>
      <c r="R3" s="7"/>
      <c r="S3" s="7"/>
      <c r="T3" s="7"/>
      <c r="U3" s="7"/>
      <c r="V3" s="7"/>
      <c r="W3" s="7"/>
      <c r="X3" s="9"/>
      <c r="Y3" s="22" t="s">
        <v>66</v>
      </c>
      <c r="Z3" s="7"/>
      <c r="AA3" s="7"/>
      <c r="AB3" s="7"/>
      <c r="AC3" s="7"/>
      <c r="AD3" s="7"/>
      <c r="AE3" s="7"/>
      <c r="AF3" s="7"/>
      <c r="AG3" s="7"/>
      <c r="AH3" s="7"/>
      <c r="AI3" s="9"/>
      <c r="AJ3" s="6" t="s">
        <v>70</v>
      </c>
      <c r="AK3" s="7"/>
      <c r="AL3" s="7"/>
      <c r="AM3" s="7"/>
      <c r="AN3" s="7"/>
      <c r="AO3" s="9"/>
      <c r="AP3" s="6" t="s">
        <v>73</v>
      </c>
      <c r="AQ3" s="7"/>
      <c r="AR3" s="7"/>
      <c r="AS3" s="7"/>
      <c r="AT3" s="9"/>
      <c r="AU3" s="23" t="s">
        <v>76</v>
      </c>
      <c r="AV3" s="24" t="s">
        <v>79</v>
      </c>
      <c r="AW3" s="26"/>
      <c r="AX3" s="24" t="s">
        <v>82</v>
      </c>
      <c r="AY3" s="24" t="s">
        <v>84</v>
      </c>
      <c r="AZ3" s="24" t="s">
        <v>76</v>
      </c>
      <c r="BA3" s="24" t="s">
        <v>84</v>
      </c>
      <c r="BB3" s="24" t="s">
        <v>86</v>
      </c>
      <c r="BC3" s="24" t="s">
        <v>77</v>
      </c>
      <c r="BD3" s="24" t="s">
        <v>84</v>
      </c>
    </row>
    <row r="4">
      <c r="A4" s="19" t="s">
        <v>1</v>
      </c>
      <c r="B4" s="30"/>
      <c r="C4" s="30"/>
      <c r="D4" s="30"/>
      <c r="E4" s="30"/>
      <c r="F4" s="30"/>
      <c r="G4" s="30"/>
      <c r="H4" s="30"/>
      <c r="I4" s="19" t="s">
        <v>11</v>
      </c>
      <c r="J4" s="19" t="s">
        <v>12</v>
      </c>
      <c r="K4" s="19" t="s">
        <v>15</v>
      </c>
      <c r="L4" s="10" t="s">
        <v>91</v>
      </c>
      <c r="M4" s="10" t="s">
        <v>84</v>
      </c>
      <c r="N4" s="10" t="s">
        <v>93</v>
      </c>
      <c r="O4" s="10" t="s">
        <v>94</v>
      </c>
      <c r="P4" s="10" t="s">
        <v>91</v>
      </c>
      <c r="Q4" s="10" t="s">
        <v>95</v>
      </c>
      <c r="R4" s="10" t="s">
        <v>84</v>
      </c>
      <c r="S4" s="10" t="s">
        <v>97</v>
      </c>
      <c r="T4" s="10" t="s">
        <v>98</v>
      </c>
      <c r="U4" s="10" t="s">
        <v>91</v>
      </c>
      <c r="V4" s="10" t="s">
        <v>95</v>
      </c>
      <c r="W4" s="10" t="s">
        <v>84</v>
      </c>
      <c r="X4" s="10" t="s">
        <v>97</v>
      </c>
      <c r="Y4" s="10" t="s">
        <v>93</v>
      </c>
      <c r="Z4" s="10" t="s">
        <v>94</v>
      </c>
      <c r="AA4" s="10" t="s">
        <v>100</v>
      </c>
      <c r="AB4" s="10" t="s">
        <v>95</v>
      </c>
      <c r="AC4" s="10" t="s">
        <v>84</v>
      </c>
      <c r="AD4" s="10" t="s">
        <v>97</v>
      </c>
      <c r="AE4" s="10" t="s">
        <v>98</v>
      </c>
      <c r="AF4" s="10" t="s">
        <v>91</v>
      </c>
      <c r="AG4" s="10" t="s">
        <v>95</v>
      </c>
      <c r="AH4" s="10" t="s">
        <v>84</v>
      </c>
      <c r="AI4" s="10" t="s">
        <v>97</v>
      </c>
      <c r="AJ4" s="10" t="s">
        <v>93</v>
      </c>
      <c r="AK4" s="4"/>
      <c r="AL4" s="10" t="s">
        <v>91</v>
      </c>
      <c r="AM4" s="10" t="s">
        <v>95</v>
      </c>
      <c r="AN4" s="10" t="s">
        <v>84</v>
      </c>
      <c r="AO4" s="10" t="s">
        <v>97</v>
      </c>
      <c r="AP4" s="10" t="s">
        <v>93</v>
      </c>
      <c r="AQ4" s="10" t="s">
        <v>91</v>
      </c>
      <c r="AR4" s="10" t="s">
        <v>95</v>
      </c>
      <c r="AS4" s="10" t="s">
        <v>84</v>
      </c>
      <c r="AT4" s="10" t="s">
        <v>97</v>
      </c>
      <c r="AU4" s="39"/>
      <c r="AV4" s="39"/>
      <c r="AW4" s="41" t="s">
        <v>106</v>
      </c>
      <c r="AX4" s="39"/>
      <c r="AY4" s="39"/>
      <c r="AZ4" s="39"/>
      <c r="BA4" s="39"/>
      <c r="BB4" s="39"/>
      <c r="BC4" s="39"/>
      <c r="BD4" s="39"/>
    </row>
    <row r="5">
      <c r="A5" s="39"/>
      <c r="B5" s="39"/>
      <c r="C5" s="39"/>
      <c r="D5" s="39"/>
      <c r="E5" s="39"/>
      <c r="F5" s="39"/>
      <c r="G5" s="44" t="s">
        <v>108</v>
      </c>
      <c r="H5" s="39"/>
      <c r="I5" s="39"/>
      <c r="J5" s="39"/>
      <c r="K5" s="39"/>
      <c r="L5" s="23" t="s">
        <v>108</v>
      </c>
      <c r="M5" s="46"/>
      <c r="N5" s="46"/>
      <c r="O5" s="23" t="s">
        <v>110</v>
      </c>
      <c r="P5" s="23" t="s">
        <v>108</v>
      </c>
      <c r="Q5" s="46"/>
      <c r="R5" s="46"/>
      <c r="S5" s="46"/>
      <c r="T5" s="46"/>
      <c r="U5" s="23" t="s">
        <v>108</v>
      </c>
      <c r="V5" s="46"/>
      <c r="W5" s="46"/>
      <c r="X5" s="46"/>
      <c r="Y5" s="46"/>
      <c r="Z5" s="23" t="s">
        <v>110</v>
      </c>
      <c r="AA5" s="23" t="s">
        <v>108</v>
      </c>
      <c r="AB5" s="46"/>
      <c r="AC5" s="46"/>
      <c r="AD5" s="46"/>
      <c r="AE5" s="46"/>
      <c r="AF5" s="23" t="s">
        <v>108</v>
      </c>
      <c r="AG5" s="46"/>
      <c r="AH5" s="46"/>
      <c r="AI5" s="46"/>
      <c r="AJ5" s="46"/>
      <c r="AK5" s="46"/>
      <c r="AL5" s="23" t="s">
        <v>108</v>
      </c>
      <c r="AM5" s="46"/>
      <c r="AN5" s="46"/>
      <c r="AO5" s="46"/>
      <c r="AP5" s="46"/>
      <c r="AQ5" s="23" t="s">
        <v>108</v>
      </c>
      <c r="AR5" s="46"/>
      <c r="AS5" s="46"/>
      <c r="AT5" s="46"/>
      <c r="AU5" s="46"/>
      <c r="AV5" s="46"/>
      <c r="AW5" s="46"/>
      <c r="AX5" s="23" t="s">
        <v>112</v>
      </c>
      <c r="AY5" s="46"/>
      <c r="AZ5" s="46"/>
      <c r="BA5" s="46"/>
      <c r="BB5" s="46"/>
      <c r="BC5" s="46"/>
      <c r="BD5" s="46"/>
    </row>
    <row r="6">
      <c r="I6" s="50" t="s">
        <v>113</v>
      </c>
      <c r="J6" s="51" t="s">
        <v>114</v>
      </c>
      <c r="K6" s="50" t="s">
        <v>102</v>
      </c>
      <c r="L6" s="50"/>
      <c r="M6" s="50"/>
      <c r="N6" s="50" t="s">
        <v>117</v>
      </c>
      <c r="O6" s="52" t="s">
        <v>105</v>
      </c>
      <c r="P6" s="50"/>
      <c r="Q6" s="50"/>
      <c r="R6" s="50"/>
      <c r="S6" s="50"/>
      <c r="T6" s="52" t="s">
        <v>118</v>
      </c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 t="s">
        <v>121</v>
      </c>
      <c r="AV6" s="50"/>
      <c r="AW6" s="50"/>
      <c r="AX6" s="50"/>
      <c r="AY6" s="50"/>
      <c r="AZ6" s="50"/>
      <c r="BB6" s="50"/>
      <c r="BC6" s="50"/>
      <c r="BD6" s="50"/>
    </row>
    <row r="7">
      <c r="BA7" s="50"/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O6 T6 Z6 AE6">
      <formula1>"Divider (Concrete),Divider (Planter),Pavers,Pavers (Elevated),Pavers Ramp (Elevated),Bund,Planterbox (Curb),N/A,Explosed Soil"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"Concrete,UPVC,Stone"</formula1>
    </dataValidation>
  </dataValidations>
  <drawing r:id="rId1"/>
</worksheet>
</file>